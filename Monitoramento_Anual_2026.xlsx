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dicadores" sheetId="1" r:id="rId1"/>
    <sheet name="Monitoramento" sheetId="2" r:id="rId2"/>
    <sheet name="Quadro de Indicadores" sheetId="3" r:id="rId3"/>
    <sheet name="calculos" sheetId="4" state="hidden" r:id="rId4"/>
    <sheet name="Base" sheetId="5" r:id="rId5"/>
    <sheet name="calculos_quadro" sheetId="6" state="hidden" r:id="rId99"/>
  </sheets>
  <definedNames>
    <definedName name="_xlnm.Print_Area" localSheetId="0">'Indicadores'!$A$1:$Z$48</definedName>
    <definedName name="_xlnm.Print_Area" localSheetId="1">'Monitoramento'!$A$1:$AK$95</definedName>
    <definedName name="_xlnm.Print_Area" localSheetId="2">'Quadro de Indicadores'!$A$1:$AA$45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[$-416]d;@"/>
    <numFmt numFmtId="165" formatCode="#,##0.0"/>
    <numFmt numFmtId="166" formatCode="dd/mm/yyyy"/>
    <numFmt numFmtId="167" formatCode="dd/mm"/>
    <numFmt numFmtId="168" formatCode="#,##0;;"/>
    <numFmt numFmtId="169" formatCode="0.0%"/>
    <numFmt numFmtId="170" formatCode="&quot;▲ &quot;0%;&quot;▼ &quot;0%;&quot;= 0%&quot;"/>
    <numFmt numFmtId="171" formatCode="#,##0.0&quot; t recebidas&quot;"/>
    <numFmt numFmtId="172" formatCode="&quot;▲ &quot;0%&quot; vs mês ant.&quot;;&quot;▼ &quot;0%&quot; vs mês ant.&quot;;&quot;= mês ant.&quot;"/>
    <numFmt numFmtId="173" formatCode="#,##0.0&quot; t expedidas&quot;"/>
    <numFmt numFmtId="174" formatCode="#,##0&quot; no show&quot;"/>
    <numFmt numFmtId="175" formatCode="#,##0&quot; posições ocupadas&quot;"/>
    <numFmt numFmtId="176" formatCode="#,##0&quot; faltas no mês&quot;"/>
  </numFmts>
  <fonts count="27">
    <font>
      <sz val="10"/>
      <color rgb="FF000000"/>
      <name val="Calibri"/>
      <family val="2"/>
    </font>
    <font>
      <b/>
      <sz val="14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i/>
      <sz val="8"/>
      <color rgb="FF7F7F7F"/>
      <name val="Calibri"/>
      <family val="2"/>
    </font>
    <font>
      <b/>
      <sz val="9"/>
      <color rgb="FFFFFFFF"/>
      <name val="Calibri"/>
      <family val="2"/>
    </font>
    <font>
      <sz val="10"/>
      <color rgb="FF7F7F7F"/>
      <name val="Calibri"/>
      <family val="2"/>
    </font>
    <font>
      <b/>
      <sz val="11"/>
      <color rgb="FFC00000"/>
      <name val="Calibri"/>
      <family val="2"/>
    </font>
    <font>
      <sz val="9"/>
      <color rgb="FF000000"/>
      <name val="Calibri"/>
      <family val="2"/>
    </font>
    <font>
      <sz val="10"/>
      <color rgb="FF0000FF"/>
      <name val="Calibri"/>
      <family val="2"/>
    </font>
    <font>
      <b/>
      <sz val="8"/>
      <color rgb="FFFFFFFF"/>
      <name val="Calibri"/>
      <family val="2"/>
    </font>
    <font>
      <b/>
      <sz val="10"/>
      <color rgb="FFC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11"/>
      <color rgb="FF1B1B1F"/>
      <name val="Calibri"/>
      <family val="2"/>
    </font>
    <font>
      <b/>
      <sz val="10"/>
      <color rgb="FF595959"/>
      <name val="Calibri"/>
      <family val="2"/>
    </font>
    <font>
      <b/>
      <sz val="16"/>
      <color rgb="FFFFFFFF"/>
      <name val="Calibri"/>
      <family val="2"/>
    </font>
    <font>
      <b/>
      <sz val="12"/>
      <color rgb="FF1B1B1F"/>
      <name val="Calibri"/>
      <family val="2"/>
    </font>
    <font>
      <b/>
      <sz val="13"/>
      <color rgb="FF000000"/>
      <name val="Calibri"/>
      <family val="2"/>
    </font>
    <font>
      <b/>
      <sz val="28"/>
      <color rgb="FF1B1B1F"/>
      <name val="Calibri"/>
      <family val="2"/>
    </font>
    <font>
      <b/>
      <sz val="10"/>
      <color rgb="FF7F7F7F"/>
      <name val="Calibri"/>
      <family val="2"/>
    </font>
    <font>
      <i/>
      <sz val="8"/>
      <color rgb="FF9A9A9A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404040"/>
      <name val="Calibri"/>
      <family val="2"/>
    </font>
    <font>
      <b/>
      <sz val="12"/>
      <color rgb="FFC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1B1B1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2F2F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7F7F7F"/>
      </right>
      <top style="medium">
        <color rgb="FF000000"/>
      </top>
      <bottom style="medium">
        <color rgb="FF000000"/>
      </bottom>
      <diagonal/>
    </border>
    <border>
      <left style="dotted">
        <color rgb="FF7F7F7F"/>
      </left>
      <right style="dotted">
        <color rgb="FF7F7F7F"/>
      </right>
      <top style="medium">
        <color rgb="FF000000"/>
      </top>
      <bottom style="medium">
        <color rgb="FF000000"/>
      </bottom>
      <diagonal/>
    </border>
    <border>
      <left style="dotted">
        <color rgb="FF7F7F7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dotted">
        <color rgb="FF7F7F7F"/>
      </right>
      <top style="medium">
        <color rgb="FF000000"/>
      </top>
      <bottom style="dotted">
        <color rgb="FF7F7F7F"/>
      </bottom>
      <diagonal/>
    </border>
    <border>
      <left style="dotted">
        <color rgb="FF7F7F7F"/>
      </left>
      <right style="dotted">
        <color rgb="FF7F7F7F"/>
      </right>
      <top style="medium">
        <color rgb="FF000000"/>
      </top>
      <bottom style="dotted">
        <color rgb="FF7F7F7F"/>
      </bottom>
      <diagonal/>
    </border>
    <border>
      <left style="dotted">
        <color rgb="FF7F7F7F"/>
      </left>
      <right style="medium">
        <color rgb="FF000000"/>
      </right>
      <top style="medium">
        <color rgb="FF000000"/>
      </top>
      <bottom style="dotted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dotted">
        <color rgb="FF7F7F7F"/>
      </right>
      <top/>
      <bottom style="dotted">
        <color rgb="FF7F7F7F"/>
      </bottom>
      <diagonal/>
    </border>
    <border>
      <left style="dotted">
        <color rgb="FF7F7F7F"/>
      </left>
      <right style="dotted">
        <color rgb="FF7F7F7F"/>
      </right>
      <top/>
      <bottom style="dotted">
        <color rgb="FF7F7F7F"/>
      </bottom>
      <diagonal/>
    </border>
    <border>
      <left style="dotted">
        <color rgb="FF7F7F7F"/>
      </left>
      <right style="medium">
        <color rgb="FF000000"/>
      </right>
      <top/>
      <bottom style="dotted">
        <color rgb="FF7F7F7F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7F7F7F"/>
      </bottom>
      <diagonal/>
    </border>
    <border>
      <left style="medium">
        <color rgb="FF000000"/>
      </left>
      <right style="dotted">
        <color rgb="FF7F7F7F"/>
      </right>
      <top/>
      <bottom style="medium">
        <color rgb="FF000000"/>
      </bottom>
      <diagonal/>
    </border>
    <border>
      <left style="dotted">
        <color rgb="FF7F7F7F"/>
      </left>
      <right style="dotted">
        <color rgb="FF7F7F7F"/>
      </right>
      <top/>
      <bottom style="medium">
        <color rgb="FF000000"/>
      </bottom>
      <diagonal/>
    </border>
    <border>
      <left style="dotted">
        <color rgb="FF7F7F7F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595959"/>
      </bottom>
      <diagonal/>
    </border>
    <border>
      <left style="hair">
        <color rgb="FF7F7F7F"/>
      </left>
      <right/>
      <top style="medium">
        <color rgb="FF000000"/>
      </top>
      <bottom/>
      <diagonal/>
    </border>
    <border>
      <left/>
      <right/>
      <top style="hair">
        <color rgb="FF7F7F7F"/>
      </top>
      <bottom/>
      <diagonal/>
    </border>
    <border>
      <left style="hair">
        <color rgb="FF7F7F7F"/>
      </left>
      <right/>
      <top style="hair">
        <color rgb="FF7F7F7F"/>
      </top>
      <bottom/>
      <diagonal/>
    </border>
    <border>
      <left/>
      <right style="medium">
        <color rgb="FF000000"/>
      </right>
      <top style="hair">
        <color rgb="FF7F7F7F"/>
      </top>
      <bottom/>
      <diagonal/>
    </border>
    <border>
      <left/>
      <right/>
      <top style="hair">
        <color rgb="FF7F7F7F"/>
      </top>
      <bottom style="medium">
        <color rgb="FF000000"/>
      </bottom>
      <diagonal/>
    </border>
    <border>
      <left style="hair">
        <color rgb="FF7F7F7F"/>
      </left>
      <right/>
      <top style="hair">
        <color rgb="FF7F7F7F"/>
      </top>
      <bottom style="medium">
        <color rgb="FF000000"/>
      </bottom>
      <diagonal/>
    </border>
    <border>
      <left/>
      <right style="medium">
        <color rgb="FF000000"/>
      </right>
      <top style="hair">
        <color rgb="FF7F7F7F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E01E1E"/>
      </left>
      <right/>
      <top style="medium">
        <color rgb="FFE01E1E"/>
      </top>
      <bottom style="medium">
        <color rgb="FFE01E1E"/>
      </bottom>
      <diagonal/>
    </border>
    <border>
      <left/>
      <right/>
      <top style="medium">
        <color rgb="FFE01E1E"/>
      </top>
      <bottom style="medium">
        <color rgb="FFE01E1E"/>
      </bottom>
      <diagonal/>
    </border>
    <border>
      <left/>
      <right style="medium">
        <color rgb="FFE01E1E"/>
      </right>
      <top style="medium">
        <color rgb="FFE01E1E"/>
      </top>
      <bottom style="medium">
        <color rgb="FFE01E1E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thick">
        <color rgb="FFE01E1E"/>
      </top>
      <bottom/>
      <diagonal/>
    </border>
  </borders>
  <cellStyleXfs count="1">
    <xf numFmtId="0" fontId="0" fillId="0" borderId="0"/>
  </cellStyleXfs>
  <cellXfs count="469">
    <xf numFmtId="0" fontId="0" fillId="0" borderId="0" xfId="0"/>
    <xf numFmtId="0" fontId="0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right" vertical="center" indent="1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0" fontId="2" fillId="3" borderId="5" xfId="0" applyNumberFormat="1" applyFont="1" applyFill="1" applyBorder="1" applyAlignment="1">
      <alignment horizontal="center" vertical="center"/>
    </xf>
    <xf numFmtId="0" fontId="2" fillId="3" borderId="6" xfId="0" applyNumberFormat="1" applyFont="1" applyFill="1" applyBorder="1" applyAlignment="1">
      <alignment horizontal="center" vertical="center"/>
    </xf>
    <xf numFmtId="0" fontId="2" fillId="3" borderId="7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/>
    </xf>
    <xf numFmtId="0" fontId="3" fillId="4" borderId="8" xfId="0" applyNumberFormat="1" applyFont="1" applyFill="1" applyBorder="1" applyAlignment="1">
      <alignment horizontal="center" vertical="center"/>
    </xf>
    <xf numFmtId="0" fontId="3" fillId="4" borderId="9" xfId="0" applyNumberFormat="1" applyFont="1" applyFill="1" applyBorder="1" applyAlignment="1">
      <alignment horizontal="center" vertical="center"/>
    </xf>
    <xf numFmtId="0" fontId="3" fillId="4" borderId="10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/>
    </xf>
    <xf numFmtId="164" fontId="0" fillId="5" borderId="11" xfId="0" applyNumberFormat="1" applyFont="1" applyFill="1" applyBorder="1" applyAlignment="1">
      <alignment horizontal="center" vertical="center"/>
    </xf>
    <xf numFmtId="164" fontId="0" fillId="5" borderId="12" xfId="0" applyNumberFormat="1" applyFont="1" applyFill="1" applyBorder="1" applyAlignment="1">
      <alignment horizontal="center" vertical="center"/>
    </xf>
    <xf numFmtId="164" fontId="2" fillId="6" borderId="12" xfId="0" applyNumberFormat="1" applyFont="1" applyFill="1" applyBorder="1" applyAlignment="1">
      <alignment horizontal="center" vertical="center"/>
    </xf>
    <xf numFmtId="164" fontId="0" fillId="5" borderId="13" xfId="0" applyNumberFormat="1" applyFont="1" applyFill="1" applyBorder="1" applyAlignment="1">
      <alignment horizontal="center" vertical="center"/>
    </xf>
    <xf numFmtId="0" fontId="2" fillId="7" borderId="5" xfId="0" applyNumberFormat="1" applyFont="1" applyFill="1" applyBorder="1" applyAlignment="1">
      <alignment horizontal="center" vertical="center"/>
    </xf>
    <xf numFmtId="3" fontId="2" fillId="7" borderId="2" xfId="0" applyNumberFormat="1" applyFont="1" applyFill="1" applyBorder="1" applyAlignment="1">
      <alignment horizontal="center" vertical="center"/>
    </xf>
    <xf numFmtId="0" fontId="0" fillId="7" borderId="14" xfId="0" applyNumberFormat="1" applyFont="1" applyFill="1" applyBorder="1" applyAlignment="1">
      <alignment horizontal="center" vertical="center"/>
    </xf>
    <xf numFmtId="3" fontId="0" fillId="7" borderId="15" xfId="0" applyNumberFormat="1" applyFont="1" applyFill="1" applyBorder="1" applyAlignment="1">
      <alignment horizontal="center" vertical="center"/>
    </xf>
    <xf numFmtId="3" fontId="0" fillId="7" borderId="16" xfId="0" applyNumberFormat="1" applyFont="1" applyFill="1" applyBorder="1" applyAlignment="1">
      <alignment horizontal="center" vertical="center"/>
    </xf>
    <xf numFmtId="3" fontId="0" fillId="7" borderId="17" xfId="0" applyNumberFormat="1" applyFont="1" applyFill="1" applyBorder="1" applyAlignment="1">
      <alignment horizontal="center" vertical="center"/>
    </xf>
    <xf numFmtId="3" fontId="2" fillId="7" borderId="18" xfId="0" applyNumberFormat="1" applyFont="1" applyFill="1" applyBorder="1" applyAlignment="1">
      <alignment horizontal="center" vertical="center"/>
    </xf>
    <xf numFmtId="0" fontId="2" fillId="7" borderId="19" xfId="0" applyNumberFormat="1" applyFont="1" applyFill="1" applyBorder="1" applyAlignment="1">
      <alignment horizontal="center" vertical="center"/>
    </xf>
    <xf numFmtId="3" fontId="2" fillId="7" borderId="20" xfId="0" applyNumberFormat="1" applyFont="1" applyFill="1" applyBorder="1" applyAlignment="1">
      <alignment horizontal="center" vertical="center"/>
    </xf>
    <xf numFmtId="0" fontId="0" fillId="7" borderId="0" xfId="0" applyNumberFormat="1" applyFont="1" applyFill="1" applyBorder="1" applyAlignment="1">
      <alignment horizontal="center" vertical="center"/>
    </xf>
    <xf numFmtId="3" fontId="0" fillId="7" borderId="21" xfId="0" applyNumberFormat="1" applyFont="1" applyFill="1" applyBorder="1" applyAlignment="1">
      <alignment horizontal="center" vertical="center"/>
    </xf>
    <xf numFmtId="3" fontId="0" fillId="7" borderId="22" xfId="0" applyNumberFormat="1" applyFont="1" applyFill="1" applyBorder="1" applyAlignment="1">
      <alignment horizontal="center" vertical="center"/>
    </xf>
    <xf numFmtId="3" fontId="0" fillId="7" borderId="23" xfId="0" applyNumberFormat="1" applyFont="1" applyFill="1" applyBorder="1" applyAlignment="1">
      <alignment horizontal="center" vertical="center"/>
    </xf>
    <xf numFmtId="3" fontId="2" fillId="7" borderId="24" xfId="0" applyNumberFormat="1" applyFont="1" applyFill="1" applyBorder="1" applyAlignment="1">
      <alignment horizontal="center" vertical="center"/>
    </xf>
    <xf numFmtId="0" fontId="2" fillId="7" borderId="7" xfId="0" applyNumberFormat="1" applyFont="1" applyFill="1" applyBorder="1" applyAlignment="1">
      <alignment horizontal="center" vertical="center"/>
    </xf>
    <xf numFmtId="165" fontId="2" fillId="7" borderId="3" xfId="0" applyNumberFormat="1" applyFont="1" applyFill="1" applyBorder="1" applyAlignment="1">
      <alignment horizontal="center" vertical="center"/>
    </xf>
    <xf numFmtId="0" fontId="0" fillId="7" borderId="1" xfId="0" applyNumberFormat="1" applyFont="1" applyFill="1" applyBorder="1" applyAlignment="1">
      <alignment horizontal="center" vertical="center"/>
    </xf>
    <xf numFmtId="165" fontId="0" fillId="7" borderId="25" xfId="0" applyNumberFormat="1" applyFont="1" applyFill="1" applyBorder="1" applyAlignment="1">
      <alignment horizontal="center" vertical="center"/>
    </xf>
    <xf numFmtId="165" fontId="0" fillId="7" borderId="26" xfId="0" applyNumberFormat="1" applyFont="1" applyFill="1" applyBorder="1" applyAlignment="1">
      <alignment horizontal="center" vertical="center"/>
    </xf>
    <xf numFmtId="165" fontId="0" fillId="7" borderId="27" xfId="0" applyNumberFormat="1" applyFont="1" applyFill="1" applyBorder="1" applyAlignment="1">
      <alignment horizontal="center" vertical="center"/>
    </xf>
    <xf numFmtId="0" fontId="2" fillId="8" borderId="5" xfId="0" applyNumberFormat="1" applyFont="1" applyFill="1" applyBorder="1" applyAlignment="1">
      <alignment horizontal="center" vertical="center"/>
    </xf>
    <xf numFmtId="3" fontId="2" fillId="8" borderId="2" xfId="0" applyNumberFormat="1" applyFont="1" applyFill="1" applyBorder="1" applyAlignment="1">
      <alignment horizontal="center" vertical="center"/>
    </xf>
    <xf numFmtId="0" fontId="0" fillId="8" borderId="14" xfId="0" applyNumberFormat="1" applyFont="1" applyFill="1" applyBorder="1" applyAlignment="1">
      <alignment horizontal="center" vertical="center"/>
    </xf>
    <xf numFmtId="3" fontId="0" fillId="8" borderId="15" xfId="0" applyNumberFormat="1" applyFont="1" applyFill="1" applyBorder="1" applyAlignment="1">
      <alignment horizontal="center" vertical="center"/>
    </xf>
    <xf numFmtId="3" fontId="0" fillId="8" borderId="16" xfId="0" applyNumberFormat="1" applyFont="1" applyFill="1" applyBorder="1" applyAlignment="1">
      <alignment horizontal="center" vertical="center"/>
    </xf>
    <xf numFmtId="3" fontId="0" fillId="8" borderId="17" xfId="0" applyNumberFormat="1" applyFont="1" applyFill="1" applyBorder="1" applyAlignment="1">
      <alignment horizontal="center" vertical="center"/>
    </xf>
    <xf numFmtId="3" fontId="2" fillId="8" borderId="18" xfId="0" applyNumberFormat="1" applyFont="1" applyFill="1" applyBorder="1" applyAlignment="1">
      <alignment horizontal="center" vertical="center"/>
    </xf>
    <xf numFmtId="0" fontId="2" fillId="8" borderId="19" xfId="0" applyNumberFormat="1" applyFont="1" applyFill="1" applyBorder="1" applyAlignment="1">
      <alignment horizontal="center" vertical="center"/>
    </xf>
    <xf numFmtId="3" fontId="2" fillId="8" borderId="20" xfId="0" applyNumberFormat="1" applyFont="1" applyFill="1" applyBorder="1" applyAlignment="1">
      <alignment horizontal="center" vertical="center"/>
    </xf>
    <xf numFmtId="0" fontId="0" fillId="8" borderId="0" xfId="0" applyNumberFormat="1" applyFont="1" applyFill="1" applyBorder="1" applyAlignment="1">
      <alignment horizontal="center" vertical="center"/>
    </xf>
    <xf numFmtId="3" fontId="0" fillId="8" borderId="21" xfId="0" applyNumberFormat="1" applyFont="1" applyFill="1" applyBorder="1" applyAlignment="1">
      <alignment horizontal="center" vertical="center"/>
    </xf>
    <xf numFmtId="3" fontId="0" fillId="8" borderId="22" xfId="0" applyNumberFormat="1" applyFont="1" applyFill="1" applyBorder="1" applyAlignment="1">
      <alignment horizontal="center" vertical="center"/>
    </xf>
    <xf numFmtId="3" fontId="0" fillId="8" borderId="23" xfId="0" applyNumberFormat="1" applyFont="1" applyFill="1" applyBorder="1" applyAlignment="1">
      <alignment horizontal="center" vertical="center"/>
    </xf>
    <xf numFmtId="3" fontId="2" fillId="8" borderId="24" xfId="0" applyNumberFormat="1" applyFont="1" applyFill="1" applyBorder="1" applyAlignment="1">
      <alignment horizontal="center" vertical="center"/>
    </xf>
    <xf numFmtId="0" fontId="2" fillId="8" borderId="7" xfId="0" applyNumberFormat="1" applyFont="1" applyFill="1" applyBorder="1" applyAlignment="1">
      <alignment horizontal="center" vertical="center"/>
    </xf>
    <xf numFmtId="165" fontId="2" fillId="8" borderId="3" xfId="0" applyNumberFormat="1" applyFont="1" applyFill="1" applyBorder="1" applyAlignment="1">
      <alignment horizontal="center" vertical="center"/>
    </xf>
    <xf numFmtId="0" fontId="0" fillId="8" borderId="1" xfId="0" applyNumberFormat="1" applyFont="1" applyFill="1" applyBorder="1" applyAlignment="1">
      <alignment horizontal="center" vertical="center"/>
    </xf>
    <xf numFmtId="165" fontId="0" fillId="8" borderId="25" xfId="0" applyNumberFormat="1" applyFont="1" applyFill="1" applyBorder="1" applyAlignment="1">
      <alignment horizontal="center" vertical="center"/>
    </xf>
    <xf numFmtId="165" fontId="0" fillId="8" borderId="26" xfId="0" applyNumberFormat="1" applyFont="1" applyFill="1" applyBorder="1" applyAlignment="1">
      <alignment horizontal="center" vertical="center"/>
    </xf>
    <xf numFmtId="165" fontId="0" fillId="8" borderId="27" xfId="0" applyNumberFormat="1" applyFont="1" applyFill="1" applyBorder="1" applyAlignment="1">
      <alignment horizontal="center" vertical="center"/>
    </xf>
    <xf numFmtId="0" fontId="2" fillId="9" borderId="5" xfId="0" applyNumberFormat="1" applyFont="1" applyFill="1" applyBorder="1" applyAlignment="1">
      <alignment horizontal="center" vertical="center"/>
    </xf>
    <xf numFmtId="3" fontId="2" fillId="9" borderId="2" xfId="0" applyNumberFormat="1" applyFont="1" applyFill="1" applyBorder="1" applyAlignment="1">
      <alignment horizontal="center" vertical="center"/>
    </xf>
    <xf numFmtId="0" fontId="0" fillId="9" borderId="14" xfId="0" applyNumberFormat="1" applyFont="1" applyFill="1" applyBorder="1" applyAlignment="1">
      <alignment horizontal="center" vertical="center"/>
    </xf>
    <xf numFmtId="3" fontId="0" fillId="9" borderId="15" xfId="0" applyNumberFormat="1" applyFont="1" applyFill="1" applyBorder="1" applyAlignment="1">
      <alignment horizontal="center" vertical="center"/>
    </xf>
    <xf numFmtId="3" fontId="0" fillId="9" borderId="16" xfId="0" applyNumberFormat="1" applyFont="1" applyFill="1" applyBorder="1" applyAlignment="1">
      <alignment horizontal="center" vertical="center"/>
    </xf>
    <xf numFmtId="3" fontId="0" fillId="9" borderId="17" xfId="0" applyNumberFormat="1" applyFont="1" applyFill="1" applyBorder="1" applyAlignment="1">
      <alignment horizontal="center" vertical="center"/>
    </xf>
    <xf numFmtId="3" fontId="2" fillId="9" borderId="18" xfId="0" applyNumberFormat="1" applyFont="1" applyFill="1" applyBorder="1" applyAlignment="1">
      <alignment horizontal="center" vertical="center"/>
    </xf>
    <xf numFmtId="0" fontId="2" fillId="9" borderId="19" xfId="0" applyNumberFormat="1" applyFont="1" applyFill="1" applyBorder="1" applyAlignment="1">
      <alignment horizontal="center" vertical="center"/>
    </xf>
    <xf numFmtId="3" fontId="2" fillId="9" borderId="20" xfId="0" applyNumberFormat="1" applyFont="1" applyFill="1" applyBorder="1" applyAlignment="1">
      <alignment horizontal="center" vertical="center"/>
    </xf>
    <xf numFmtId="0" fontId="0" fillId="9" borderId="0" xfId="0" applyNumberFormat="1" applyFont="1" applyFill="1" applyBorder="1" applyAlignment="1">
      <alignment horizontal="center" vertical="center"/>
    </xf>
    <xf numFmtId="3" fontId="0" fillId="9" borderId="21" xfId="0" applyNumberFormat="1" applyFont="1" applyFill="1" applyBorder="1" applyAlignment="1">
      <alignment horizontal="center" vertical="center"/>
    </xf>
    <xf numFmtId="3" fontId="0" fillId="9" borderId="22" xfId="0" applyNumberFormat="1" applyFont="1" applyFill="1" applyBorder="1" applyAlignment="1">
      <alignment horizontal="center" vertical="center"/>
    </xf>
    <xf numFmtId="3" fontId="0" fillId="9" borderId="23" xfId="0" applyNumberFormat="1" applyFont="1" applyFill="1" applyBorder="1" applyAlignment="1">
      <alignment horizontal="center" vertical="center"/>
    </xf>
    <xf numFmtId="3" fontId="2" fillId="9" borderId="24" xfId="0" applyNumberFormat="1" applyFont="1" applyFill="1" applyBorder="1" applyAlignment="1">
      <alignment horizontal="center" vertical="center"/>
    </xf>
    <xf numFmtId="0" fontId="2" fillId="9" borderId="7" xfId="0" applyNumberFormat="1" applyFont="1" applyFill="1" applyBorder="1" applyAlignment="1">
      <alignment horizontal="center" vertical="center"/>
    </xf>
    <xf numFmtId="3" fontId="2" fillId="9" borderId="3" xfId="0" applyNumberFormat="1" applyFont="1" applyFill="1" applyBorder="1" applyAlignment="1">
      <alignment horizontal="center" vertical="center"/>
    </xf>
    <xf numFmtId="0" fontId="0" fillId="9" borderId="1" xfId="0" applyNumberFormat="1" applyFont="1" applyFill="1" applyBorder="1" applyAlignment="1">
      <alignment horizontal="center" vertical="center"/>
    </xf>
    <xf numFmtId="3" fontId="0" fillId="9" borderId="25" xfId="0" applyNumberFormat="1" applyFont="1" applyFill="1" applyBorder="1" applyAlignment="1">
      <alignment horizontal="center" vertical="center"/>
    </xf>
    <xf numFmtId="3" fontId="0" fillId="9" borderId="26" xfId="0" applyNumberFormat="1" applyFont="1" applyFill="1" applyBorder="1" applyAlignment="1">
      <alignment horizontal="center" vertical="center"/>
    </xf>
    <xf numFmtId="3" fontId="0" fillId="9" borderId="27" xfId="0" applyNumberFormat="1" applyFont="1" applyFill="1" applyBorder="1" applyAlignment="1">
      <alignment horizontal="center" vertical="center"/>
    </xf>
    <xf numFmtId="9" fontId="2" fillId="7" borderId="3" xfId="0" applyNumberFormat="1" applyFont="1" applyFill="1" applyBorder="1" applyAlignment="1">
      <alignment horizontal="center" vertical="center"/>
    </xf>
    <xf numFmtId="9" fontId="0" fillId="7" borderId="25" xfId="0" applyNumberFormat="1" applyFont="1" applyFill="1" applyBorder="1" applyAlignment="1">
      <alignment horizontal="center" vertical="center"/>
    </xf>
    <xf numFmtId="9" fontId="0" fillId="7" borderId="26" xfId="0" applyNumberFormat="1" applyFont="1" applyFill="1" applyBorder="1" applyAlignment="1">
      <alignment horizontal="center" vertical="center"/>
    </xf>
    <xf numFmtId="9" fontId="0" fillId="7" borderId="27" xfId="0" applyNumberFormat="1" applyFont="1" applyFill="1" applyBorder="1" applyAlignment="1">
      <alignment horizontal="center" vertical="center"/>
    </xf>
    <xf numFmtId="0" fontId="2" fillId="10" borderId="5" xfId="0" applyNumberFormat="1" applyFont="1" applyFill="1" applyBorder="1" applyAlignment="1">
      <alignment horizontal="center" vertical="center"/>
    </xf>
    <xf numFmtId="3" fontId="2" fillId="10" borderId="2" xfId="0" applyNumberFormat="1" applyFont="1" applyFill="1" applyBorder="1" applyAlignment="1">
      <alignment horizontal="center" vertical="center"/>
    </xf>
    <xf numFmtId="0" fontId="0" fillId="10" borderId="14" xfId="0" applyNumberFormat="1" applyFont="1" applyFill="1" applyBorder="1" applyAlignment="1">
      <alignment horizontal="center" vertical="center"/>
    </xf>
    <xf numFmtId="3" fontId="0" fillId="10" borderId="15" xfId="0" applyNumberFormat="1" applyFont="1" applyFill="1" applyBorder="1" applyAlignment="1">
      <alignment horizontal="center" vertical="center"/>
    </xf>
    <xf numFmtId="3" fontId="0" fillId="10" borderId="16" xfId="0" applyNumberFormat="1" applyFont="1" applyFill="1" applyBorder="1" applyAlignment="1">
      <alignment horizontal="center" vertical="center"/>
    </xf>
    <xf numFmtId="3" fontId="0" fillId="10" borderId="17" xfId="0" applyNumberFormat="1" applyFont="1" applyFill="1" applyBorder="1" applyAlignment="1">
      <alignment horizontal="center" vertical="center"/>
    </xf>
    <xf numFmtId="3" fontId="2" fillId="10" borderId="18" xfId="0" applyNumberFormat="1" applyFont="1" applyFill="1" applyBorder="1" applyAlignment="1">
      <alignment horizontal="center" vertical="center"/>
    </xf>
    <xf numFmtId="0" fontId="2" fillId="10" borderId="19" xfId="0" applyNumberFormat="1" applyFont="1" applyFill="1" applyBorder="1" applyAlignment="1">
      <alignment horizontal="center" vertical="center"/>
    </xf>
    <xf numFmtId="3" fontId="2" fillId="10" borderId="20" xfId="0" applyNumberFormat="1" applyFont="1" applyFill="1" applyBorder="1" applyAlignment="1">
      <alignment horizontal="center" vertical="center"/>
    </xf>
    <xf numFmtId="0" fontId="0" fillId="10" borderId="0" xfId="0" applyNumberFormat="1" applyFont="1" applyFill="1" applyBorder="1" applyAlignment="1">
      <alignment horizontal="center" vertical="center"/>
    </xf>
    <xf numFmtId="3" fontId="0" fillId="10" borderId="21" xfId="0" applyNumberFormat="1" applyFont="1" applyFill="1" applyBorder="1" applyAlignment="1">
      <alignment horizontal="center" vertical="center"/>
    </xf>
    <xf numFmtId="3" fontId="0" fillId="10" borderId="22" xfId="0" applyNumberFormat="1" applyFont="1" applyFill="1" applyBorder="1" applyAlignment="1">
      <alignment horizontal="center" vertical="center"/>
    </xf>
    <xf numFmtId="3" fontId="0" fillId="10" borderId="23" xfId="0" applyNumberFormat="1" applyFont="1" applyFill="1" applyBorder="1" applyAlignment="1">
      <alignment horizontal="center" vertical="center"/>
    </xf>
    <xf numFmtId="3" fontId="2" fillId="10" borderId="24" xfId="0" applyNumberFormat="1" applyFont="1" applyFill="1" applyBorder="1" applyAlignment="1">
      <alignment horizontal="center" vertical="center"/>
    </xf>
    <xf numFmtId="0" fontId="2" fillId="10" borderId="7" xfId="0" applyNumberFormat="1" applyFont="1" applyFill="1" applyBorder="1" applyAlignment="1">
      <alignment horizontal="center" vertical="center"/>
    </xf>
    <xf numFmtId="3" fontId="2" fillId="10" borderId="3" xfId="0" applyNumberFormat="1" applyFont="1" applyFill="1" applyBorder="1" applyAlignment="1">
      <alignment horizontal="center" vertical="center"/>
    </xf>
    <xf numFmtId="0" fontId="0" fillId="10" borderId="1" xfId="0" applyNumberFormat="1" applyFont="1" applyFill="1" applyBorder="1" applyAlignment="1">
      <alignment horizontal="center" vertical="center"/>
    </xf>
    <xf numFmtId="3" fontId="0" fillId="10" borderId="25" xfId="0" applyNumberFormat="1" applyFont="1" applyFill="1" applyBorder="1" applyAlignment="1">
      <alignment horizontal="center" vertical="center"/>
    </xf>
    <xf numFmtId="3" fontId="0" fillId="10" borderId="26" xfId="0" applyNumberFormat="1" applyFont="1" applyFill="1" applyBorder="1" applyAlignment="1">
      <alignment horizontal="center" vertical="center"/>
    </xf>
    <xf numFmtId="3" fontId="0" fillId="10" borderId="27" xfId="0" applyNumberFormat="1" applyFont="1" applyFill="1" applyBorder="1" applyAlignment="1">
      <alignment horizontal="center" vertical="center"/>
    </xf>
    <xf numFmtId="0" fontId="2" fillId="7" borderId="2" xfId="0" applyNumberFormat="1" applyFont="1" applyFill="1" applyBorder="1" applyAlignment="1">
      <alignment horizontal="center" vertical="center"/>
    </xf>
    <xf numFmtId="0" fontId="2" fillId="7" borderId="20" xfId="0" applyNumberFormat="1" applyFont="1" applyFill="1" applyBorder="1" applyAlignment="1">
      <alignment horizontal="center" vertical="center"/>
    </xf>
    <xf numFmtId="0" fontId="2" fillId="7" borderId="3" xfId="0" applyNumberFormat="1" applyFont="1" applyFill="1" applyBorder="1" applyAlignment="1">
      <alignment horizontal="center" vertical="center"/>
    </xf>
    <xf numFmtId="0" fontId="2" fillId="8" borderId="2" xfId="0" applyNumberFormat="1" applyFont="1" applyFill="1" applyBorder="1" applyAlignment="1">
      <alignment horizontal="center" vertical="center"/>
    </xf>
    <xf numFmtId="0" fontId="2" fillId="8" borderId="20" xfId="0" applyNumberFormat="1" applyFont="1" applyFill="1" applyBorder="1" applyAlignment="1">
      <alignment horizontal="center" vertical="center"/>
    </xf>
    <xf numFmtId="0" fontId="2" fillId="8" borderId="3" xfId="0" applyNumberFormat="1" applyFont="1" applyFill="1" applyBorder="1" applyAlignment="1">
      <alignment horizontal="center" vertical="center"/>
    </xf>
    <xf numFmtId="0" fontId="2" fillId="9" borderId="2" xfId="0" applyNumberFormat="1" applyFont="1" applyFill="1" applyBorder="1" applyAlignment="1">
      <alignment horizontal="center" vertical="center"/>
    </xf>
    <xf numFmtId="0" fontId="2" fillId="9" borderId="20" xfId="0" applyNumberFormat="1" applyFont="1" applyFill="1" applyBorder="1" applyAlignment="1">
      <alignment horizontal="center" vertical="center"/>
    </xf>
    <xf numFmtId="0" fontId="2" fillId="9" borderId="3" xfId="0" applyNumberFormat="1" applyFont="1" applyFill="1" applyBorder="1" applyAlignment="1">
      <alignment horizontal="center" vertical="center"/>
    </xf>
    <xf numFmtId="0" fontId="2" fillId="10" borderId="2" xfId="0" applyNumberFormat="1" applyFont="1" applyFill="1" applyBorder="1" applyAlignment="1">
      <alignment horizontal="center" vertical="center"/>
    </xf>
    <xf numFmtId="0" fontId="2" fillId="10" borderId="20" xfId="0" applyNumberFormat="1" applyFont="1" applyFill="1" applyBorder="1" applyAlignment="1">
      <alignment horizontal="center" vertical="center"/>
    </xf>
    <xf numFmtId="0" fontId="2" fillId="10" borderId="3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20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left" vertical="center"/>
    </xf>
    <xf numFmtId="0" fontId="6" fillId="11" borderId="28" xfId="0" applyNumberFormat="1" applyFont="1" applyFill="1" applyBorder="1" applyAlignment="1">
      <alignment horizontal="center" vertical="center" wrapText="1"/>
    </xf>
    <xf numFmtId="166" fontId="7" fillId="12" borderId="29" xfId="0" applyNumberFormat="1" applyFont="1" applyFill="1" applyBorder="1" applyAlignment="1">
      <alignment horizontal="center" vertical="center"/>
    </xf>
    <xf numFmtId="0" fontId="7" fillId="12" borderId="29" xfId="0" applyNumberFormat="1" applyFont="1" applyFill="1" applyBorder="1" applyAlignment="1">
      <alignment horizontal="left" vertical="center"/>
    </xf>
    <xf numFmtId="3" fontId="7" fillId="12" borderId="29" xfId="0" applyNumberFormat="1" applyFont="1" applyFill="1" applyBorder="1" applyAlignment="1">
      <alignment horizontal="center" vertical="center"/>
    </xf>
    <xf numFmtId="4" fontId="7" fillId="12" borderId="29" xfId="0" applyNumberFormat="1" applyFont="1" applyFill="1" applyBorder="1" applyAlignment="1">
      <alignment horizontal="center" vertical="center"/>
    </xf>
    <xf numFmtId="0" fontId="7" fillId="12" borderId="29" xfId="0" applyNumberFormat="1" applyFont="1" applyFill="1" applyBorder="1" applyAlignment="1">
      <alignment horizontal="center" vertical="center"/>
    </xf>
    <xf numFmtId="166" fontId="0" fillId="13" borderId="29" xfId="0" applyNumberFormat="1" applyFont="1" applyFill="1" applyBorder="1" applyAlignment="1">
      <alignment horizontal="center" vertical="center"/>
    </xf>
    <xf numFmtId="0" fontId="0" fillId="13" borderId="29" xfId="0" applyNumberFormat="1" applyFont="1" applyFill="1" applyBorder="1" applyAlignment="1">
      <alignment horizontal="left" vertical="center"/>
    </xf>
    <xf numFmtId="3" fontId="0" fillId="13" borderId="29" xfId="0" applyNumberFormat="1" applyFont="1" applyFill="1" applyBorder="1" applyAlignment="1">
      <alignment horizontal="center" vertical="center"/>
    </xf>
    <xf numFmtId="4" fontId="0" fillId="13" borderId="29" xfId="0" applyNumberFormat="1" applyFont="1" applyFill="1" applyBorder="1" applyAlignment="1">
      <alignment horizontal="center" vertical="center"/>
    </xf>
    <xf numFmtId="0" fontId="0" fillId="13" borderId="29" xfId="0" applyNumberFormat="1" applyFont="1" applyFill="1" applyBorder="1" applyAlignment="1">
      <alignment horizontal="center" vertical="center"/>
    </xf>
    <xf numFmtId="166" fontId="0" fillId="0" borderId="29" xfId="0" applyNumberFormat="1" applyFont="1" applyFill="1" applyBorder="1" applyAlignment="1">
      <alignment horizontal="center" vertical="center"/>
    </xf>
    <xf numFmtId="0" fontId="0" fillId="0" borderId="29" xfId="0" applyNumberFormat="1" applyFont="1" applyFill="1" applyBorder="1" applyAlignment="1">
      <alignment horizontal="left" vertical="center"/>
    </xf>
    <xf numFmtId="3" fontId="0" fillId="0" borderId="29" xfId="0" applyNumberFormat="1" applyFont="1" applyFill="1" applyBorder="1" applyAlignment="1">
      <alignment horizontal="center" vertical="center"/>
    </xf>
    <xf numFmtId="4" fontId="0" fillId="0" borderId="29" xfId="0" applyNumberFormat="1" applyFont="1" applyFill="1" applyBorder="1" applyAlignment="1">
      <alignment horizontal="center" vertical="center"/>
    </xf>
    <xf numFmtId="0" fontId="0" fillId="0" borderId="29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center" vertical="center"/>
    </xf>
    <xf numFmtId="3" fontId="10" fillId="14" borderId="0" xfId="0" applyNumberFormat="1" applyFont="1" applyFill="1" applyBorder="1" applyAlignment="1">
      <alignment horizontal="left" vertical="center"/>
    </xf>
    <xf numFmtId="9" fontId="10" fillId="14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 vertical="center"/>
    </xf>
    <xf numFmtId="166" fontId="9" fillId="0" borderId="0" xfId="0" applyNumberFormat="1" applyFont="1" applyFill="1" applyBorder="1" applyAlignment="1">
      <alignment horizontal="center" vertical="center"/>
    </xf>
    <xf numFmtId="1" fontId="10" fillId="14" borderId="0" xfId="0" applyNumberFormat="1" applyFont="1" applyFill="1" applyBorder="1" applyAlignment="1">
      <alignment horizontal="left" vertical="center"/>
    </xf>
    <xf numFmtId="0" fontId="11" fillId="11" borderId="0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horizontal="left" vertical="center"/>
    </xf>
    <xf numFmtId="0" fontId="13" fillId="0" borderId="0" xfId="0" applyNumberFormat="1" applyFont="1" applyFill="1" applyBorder="1" applyAlignment="1">
      <alignment horizontal="center" vertical="center"/>
    </xf>
    <xf numFmtId="167" fontId="13" fillId="0" borderId="0" xfId="0" applyNumberFormat="1" applyFont="1" applyFill="1" applyBorder="1" applyAlignment="1">
      <alignment horizontal="center" vertical="center"/>
    </xf>
    <xf numFmtId="3" fontId="13" fillId="0" borderId="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left" vertical="center"/>
    </xf>
    <xf numFmtId="3" fontId="14" fillId="0" borderId="0" xfId="0" applyNumberFormat="1" applyFont="1" applyFill="1" applyBorder="1" applyAlignment="1">
      <alignment horizontal="center" vertical="center"/>
    </xf>
    <xf numFmtId="167" fontId="9" fillId="0" borderId="0" xfId="0" applyNumberFormat="1" applyFont="1" applyFill="1" applyBorder="1" applyAlignment="1">
      <alignment horizontal="center" vertical="center"/>
    </xf>
    <xf numFmtId="3" fontId="9" fillId="0" borderId="0" xfId="0" applyNumberFormat="1" applyFont="1" applyFill="1" applyBorder="1" applyAlignment="1">
      <alignment horizontal="center" vertical="center"/>
    </xf>
    <xf numFmtId="4" fontId="9" fillId="0" borderId="0" xfId="0" applyNumberFormat="1" applyFont="1" applyFill="1" applyBorder="1" applyAlignment="1">
      <alignment horizontal="center" vertical="center"/>
    </xf>
    <xf numFmtId="168" fontId="9" fillId="0" borderId="0" xfId="0" applyNumberFormat="1" applyFont="1" applyFill="1" applyBorder="1" applyAlignment="1">
      <alignment horizontal="center" vertical="center"/>
    </xf>
    <xf numFmtId="169" fontId="9" fillId="0" borderId="0" xfId="0" applyNumberFormat="1" applyFont="1" applyFill="1" applyBorder="1" applyAlignment="1">
      <alignment horizontal="center" vertical="center"/>
    </xf>
    <xf numFmtId="165" fontId="9" fillId="0" borderId="0" xfId="0" applyNumberFormat="1" applyFont="1" applyFill="1" applyBorder="1" applyAlignment="1">
      <alignment horizontal="center" vertical="center"/>
    </xf>
    <xf numFmtId="9" fontId="9" fillId="0" borderId="0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left" vertical="center"/>
    </xf>
    <xf numFmtId="3" fontId="10" fillId="14" borderId="0" xfId="0" applyNumberFormat="1" applyFont="1" applyFill="1" applyBorder="1" applyAlignment="1">
      <alignment horizontal="center" vertical="center"/>
    </xf>
    <xf numFmtId="9" fontId="10" fillId="14" borderId="0" xfId="0" applyNumberFormat="1" applyFont="1" applyFill="1" applyBorder="1" applyAlignment="1">
      <alignment horizontal="center" vertical="center"/>
    </xf>
    <xf numFmtId="0" fontId="4" fillId="15" borderId="30" xfId="0" applyNumberFormat="1" applyFont="1" applyFill="1" applyBorder="1" applyAlignment="1">
      <alignment horizontal="left" vertical="center"/>
    </xf>
    <xf numFmtId="0" fontId="4" fillId="15" borderId="0" xfId="0" applyNumberFormat="1" applyFont="1" applyFill="1" applyBorder="1" applyAlignment="1">
      <alignment horizontal="left" vertical="center"/>
    </xf>
    <xf numFmtId="3" fontId="4" fillId="15" borderId="30" xfId="0" applyNumberFormat="1" applyFont="1" applyFill="1" applyBorder="1" applyAlignment="1">
      <alignment horizontal="center" vertical="center"/>
    </xf>
    <xf numFmtId="165" fontId="9" fillId="15" borderId="0" xfId="0" applyNumberFormat="1" applyFont="1" applyFill="1" applyBorder="1" applyAlignment="1">
      <alignment horizontal="center" vertical="center"/>
    </xf>
    <xf numFmtId="3" fontId="9" fillId="15" borderId="0" xfId="0" applyNumberFormat="1" applyFont="1" applyFill="1" applyBorder="1" applyAlignment="1">
      <alignment horizontal="center" vertical="center"/>
    </xf>
    <xf numFmtId="169" fontId="9" fillId="15" borderId="0" xfId="0" applyNumberFormat="1" applyFont="1" applyFill="1" applyBorder="1" applyAlignment="1">
      <alignment horizontal="center" vertical="center"/>
    </xf>
    <xf numFmtId="9" fontId="9" fillId="15" borderId="0" xfId="0" applyNumberFormat="1" applyFont="1" applyFill="1" applyBorder="1" applyAlignment="1">
      <alignment horizontal="center" vertical="center"/>
    </xf>
    <xf numFmtId="0" fontId="9" fillId="15" borderId="0" xfId="0" applyNumberFormat="1" applyFont="1" applyFill="1" applyBorder="1" applyAlignment="1">
      <alignment horizontal="center" vertical="center"/>
    </xf>
    <xf numFmtId="165" fontId="4" fillId="15" borderId="30" xfId="0" applyNumberFormat="1" applyFont="1" applyFill="1" applyBorder="1" applyAlignment="1">
      <alignment horizontal="center" vertical="center"/>
    </xf>
    <xf numFmtId="169" fontId="4" fillId="15" borderId="30" xfId="0" applyNumberFormat="1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/>
    </xf>
    <xf numFmtId="165" fontId="4" fillId="0" borderId="0" xfId="0" applyNumberFormat="1" applyFont="1" applyFill="1" applyBorder="1" applyAlignment="1">
      <alignment horizontal="center" vertical="center"/>
    </xf>
    <xf numFmtId="9" fontId="4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left" vertical="center" indent="1"/>
    </xf>
    <xf numFmtId="0" fontId="16" fillId="0" borderId="0" xfId="0" applyNumberFormat="1" applyFont="1" applyFill="1" applyBorder="1" applyAlignment="1">
      <alignment horizontal="right" vertical="center"/>
    </xf>
    <xf numFmtId="0" fontId="15" fillId="0" borderId="31" xfId="0" applyNumberFormat="1" applyFont="1" applyFill="1" applyBorder="1" applyAlignment="1">
      <alignment horizontal="left" vertical="center"/>
    </xf>
    <xf numFmtId="0" fontId="2" fillId="3" borderId="8" xfId="0" applyNumberFormat="1" applyFont="1" applyFill="1" applyBorder="1" applyAlignment="1">
      <alignment horizontal="center" vertical="center" wrapText="1"/>
    </xf>
    <xf numFmtId="0" fontId="2" fillId="3" borderId="10" xfId="0" applyNumberFormat="1" applyFont="1" applyFill="1" applyBorder="1" applyAlignment="1">
      <alignment horizontal="center" vertical="center" wrapText="1"/>
    </xf>
    <xf numFmtId="0" fontId="2" fillId="3" borderId="9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 wrapText="1"/>
    </xf>
    <xf numFmtId="0" fontId="2" fillId="4" borderId="10" xfId="0" applyNumberFormat="1" applyFont="1" applyFill="1" applyBorder="1" applyAlignment="1">
      <alignment horizontal="center" vertical="center" wrapText="1"/>
    </xf>
    <xf numFmtId="0" fontId="2" fillId="4" borderId="9" xfId="0" applyNumberFormat="1" applyFont="1" applyFill="1" applyBorder="1" applyAlignment="1">
      <alignment horizontal="center" vertical="center" wrapText="1"/>
    </xf>
    <xf numFmtId="0" fontId="2" fillId="7" borderId="14" xfId="0" applyNumberFormat="1" applyFont="1" applyFill="1" applyBorder="1" applyAlignment="1">
      <alignment horizontal="left" vertical="center" indent="1"/>
    </xf>
    <xf numFmtId="0" fontId="2" fillId="7" borderId="32" xfId="0" applyNumberFormat="1" applyFont="1" applyFill="1" applyBorder="1" applyAlignment="1">
      <alignment horizontal="left" vertical="center" indent="1"/>
    </xf>
    <xf numFmtId="3" fontId="2" fillId="7" borderId="14" xfId="0" applyNumberFormat="1" applyFont="1" applyFill="1" applyBorder="1" applyAlignment="1">
      <alignment horizontal="center" vertical="center"/>
    </xf>
    <xf numFmtId="3" fontId="2" fillId="7" borderId="32" xfId="0" applyNumberFormat="1" applyFont="1" applyFill="1" applyBorder="1" applyAlignment="1">
      <alignment horizontal="center" vertical="center"/>
    </xf>
    <xf numFmtId="3" fontId="3" fillId="7" borderId="14" xfId="0" applyNumberFormat="1" applyFont="1" applyFill="1" applyBorder="1" applyAlignment="1">
      <alignment horizontal="center" vertical="center"/>
    </xf>
    <xf numFmtId="3" fontId="3" fillId="7" borderId="32" xfId="0" applyNumberFormat="1" applyFont="1" applyFill="1" applyBorder="1" applyAlignment="1">
      <alignment horizontal="center" vertical="center"/>
    </xf>
    <xf numFmtId="165" fontId="0" fillId="7" borderId="14" xfId="0" applyNumberFormat="1" applyFont="1" applyFill="1" applyBorder="1" applyAlignment="1">
      <alignment horizontal="center" vertical="center"/>
    </xf>
    <xf numFmtId="165" fontId="0" fillId="7" borderId="32" xfId="0" applyNumberFormat="1" applyFont="1" applyFill="1" applyBorder="1" applyAlignment="1">
      <alignment horizontal="center" vertical="center"/>
    </xf>
    <xf numFmtId="3" fontId="0" fillId="7" borderId="14" xfId="0" applyNumberFormat="1" applyFont="1" applyFill="1" applyBorder="1" applyAlignment="1">
      <alignment horizontal="center" vertical="center"/>
    </xf>
    <xf numFmtId="3" fontId="0" fillId="7" borderId="32" xfId="0" applyNumberFormat="1" applyFont="1" applyFill="1" applyBorder="1" applyAlignment="1">
      <alignment horizontal="center" vertical="center"/>
    </xf>
    <xf numFmtId="170" fontId="2" fillId="7" borderId="14" xfId="0" applyNumberFormat="1" applyFont="1" applyFill="1" applyBorder="1" applyAlignment="1">
      <alignment horizontal="center" vertical="center"/>
    </xf>
    <xf numFmtId="170" fontId="2" fillId="7" borderId="32" xfId="0" applyNumberFormat="1" applyFont="1" applyFill="1" applyBorder="1" applyAlignment="1">
      <alignment horizontal="center" vertical="center"/>
    </xf>
    <xf numFmtId="9" fontId="0" fillId="7" borderId="14" xfId="0" applyNumberFormat="1" applyFont="1" applyFill="1" applyBorder="1" applyAlignment="1">
      <alignment horizontal="center" vertical="center"/>
    </xf>
    <xf numFmtId="9" fontId="0" fillId="7" borderId="32" xfId="0" applyNumberFormat="1" applyFont="1" applyFill="1" applyBorder="1" applyAlignment="1">
      <alignment horizontal="center" vertical="center"/>
    </xf>
    <xf numFmtId="0" fontId="4" fillId="7" borderId="14" xfId="0" applyNumberFormat="1" applyFont="1" applyFill="1" applyBorder="1" applyAlignment="1">
      <alignment horizontal="center" vertical="center"/>
    </xf>
    <xf numFmtId="0" fontId="4" fillId="7" borderId="32" xfId="0" applyNumberFormat="1" applyFont="1" applyFill="1" applyBorder="1" applyAlignment="1">
      <alignment horizontal="center" vertical="center"/>
    </xf>
    <xf numFmtId="0" fontId="4" fillId="7" borderId="5" xfId="0" applyNumberFormat="1" applyFont="1" applyFill="1" applyBorder="1" applyAlignment="1">
      <alignment horizontal="center" vertical="center"/>
    </xf>
    <xf numFmtId="0" fontId="2" fillId="7" borderId="33" xfId="0" applyNumberFormat="1" applyFont="1" applyFill="1" applyBorder="1" applyAlignment="1">
      <alignment horizontal="left" vertical="center" indent="1"/>
    </xf>
    <xf numFmtId="0" fontId="2" fillId="7" borderId="34" xfId="0" applyNumberFormat="1" applyFont="1" applyFill="1" applyBorder="1" applyAlignment="1">
      <alignment horizontal="left" vertical="center" indent="1"/>
    </xf>
    <xf numFmtId="3" fontId="2" fillId="7" borderId="33" xfId="0" applyNumberFormat="1" applyFont="1" applyFill="1" applyBorder="1" applyAlignment="1">
      <alignment horizontal="center" vertical="center"/>
    </xf>
    <xf numFmtId="3" fontId="2" fillId="7" borderId="34" xfId="0" applyNumberFormat="1" applyFont="1" applyFill="1" applyBorder="1" applyAlignment="1">
      <alignment horizontal="center" vertical="center"/>
    </xf>
    <xf numFmtId="3" fontId="3" fillId="7" borderId="33" xfId="0" applyNumberFormat="1" applyFont="1" applyFill="1" applyBorder="1" applyAlignment="1">
      <alignment horizontal="center" vertical="center"/>
    </xf>
    <xf numFmtId="3" fontId="3" fillId="7" borderId="34" xfId="0" applyNumberFormat="1" applyFont="1" applyFill="1" applyBorder="1" applyAlignment="1">
      <alignment horizontal="center" vertical="center"/>
    </xf>
    <xf numFmtId="165" fontId="0" fillId="7" borderId="33" xfId="0" applyNumberFormat="1" applyFont="1" applyFill="1" applyBorder="1" applyAlignment="1">
      <alignment horizontal="center" vertical="center"/>
    </xf>
    <xf numFmtId="165" fontId="0" fillId="7" borderId="34" xfId="0" applyNumberFormat="1" applyFont="1" applyFill="1" applyBorder="1" applyAlignment="1">
      <alignment horizontal="center" vertical="center"/>
    </xf>
    <xf numFmtId="3" fontId="0" fillId="7" borderId="33" xfId="0" applyNumberFormat="1" applyFont="1" applyFill="1" applyBorder="1" applyAlignment="1">
      <alignment horizontal="center" vertical="center"/>
    </xf>
    <xf numFmtId="3" fontId="0" fillId="7" borderId="34" xfId="0" applyNumberFormat="1" applyFont="1" applyFill="1" applyBorder="1" applyAlignment="1">
      <alignment horizontal="center" vertical="center"/>
    </xf>
    <xf numFmtId="170" fontId="2" fillId="7" borderId="33" xfId="0" applyNumberFormat="1" applyFont="1" applyFill="1" applyBorder="1" applyAlignment="1">
      <alignment horizontal="center" vertical="center"/>
    </xf>
    <xf numFmtId="170" fontId="2" fillId="7" borderId="34" xfId="0" applyNumberFormat="1" applyFont="1" applyFill="1" applyBorder="1" applyAlignment="1">
      <alignment horizontal="center" vertical="center"/>
    </xf>
    <xf numFmtId="9" fontId="0" fillId="7" borderId="33" xfId="0" applyNumberFormat="1" applyFont="1" applyFill="1" applyBorder="1" applyAlignment="1">
      <alignment horizontal="center" vertical="center"/>
    </xf>
    <xf numFmtId="9" fontId="0" fillId="7" borderId="34" xfId="0" applyNumberFormat="1" applyFont="1" applyFill="1" applyBorder="1" applyAlignment="1">
      <alignment horizontal="center" vertical="center"/>
    </xf>
    <xf numFmtId="0" fontId="4" fillId="7" borderId="33" xfId="0" applyNumberFormat="1" applyFont="1" applyFill="1" applyBorder="1" applyAlignment="1">
      <alignment horizontal="center" vertical="center"/>
    </xf>
    <xf numFmtId="0" fontId="4" fillId="7" borderId="34" xfId="0" applyNumberFormat="1" applyFont="1" applyFill="1" applyBorder="1" applyAlignment="1">
      <alignment horizontal="center" vertical="center"/>
    </xf>
    <xf numFmtId="0" fontId="4" fillId="7" borderId="35" xfId="0" applyNumberFormat="1" applyFont="1" applyFill="1" applyBorder="1" applyAlignment="1">
      <alignment horizontal="center" vertical="center"/>
    </xf>
    <xf numFmtId="0" fontId="2" fillId="7" borderId="36" xfId="0" applyNumberFormat="1" applyFont="1" applyFill="1" applyBorder="1" applyAlignment="1">
      <alignment horizontal="left" vertical="center" indent="1"/>
    </xf>
    <xf numFmtId="0" fontId="2" fillId="7" borderId="37" xfId="0" applyNumberFormat="1" applyFont="1" applyFill="1" applyBorder="1" applyAlignment="1">
      <alignment horizontal="left" vertical="center" indent="1"/>
    </xf>
    <xf numFmtId="3" fontId="2" fillId="7" borderId="36" xfId="0" applyNumberFormat="1" applyFont="1" applyFill="1" applyBorder="1" applyAlignment="1">
      <alignment horizontal="center" vertical="center"/>
    </xf>
    <xf numFmtId="3" fontId="2" fillId="7" borderId="37" xfId="0" applyNumberFormat="1" applyFont="1" applyFill="1" applyBorder="1" applyAlignment="1">
      <alignment horizontal="center" vertical="center"/>
    </xf>
    <xf numFmtId="165" fontId="3" fillId="7" borderId="36" xfId="0" applyNumberFormat="1" applyFont="1" applyFill="1" applyBorder="1" applyAlignment="1">
      <alignment horizontal="center" vertical="center"/>
    </xf>
    <xf numFmtId="165" fontId="3" fillId="7" borderId="37" xfId="0" applyNumberFormat="1" applyFont="1" applyFill="1" applyBorder="1" applyAlignment="1">
      <alignment horizontal="center" vertical="center"/>
    </xf>
    <xf numFmtId="165" fontId="0" fillId="7" borderId="36" xfId="0" applyNumberFormat="1" applyFont="1" applyFill="1" applyBorder="1" applyAlignment="1">
      <alignment horizontal="center" vertical="center"/>
    </xf>
    <xf numFmtId="165" fontId="0" fillId="7" borderId="37" xfId="0" applyNumberFormat="1" applyFont="1" applyFill="1" applyBorder="1" applyAlignment="1">
      <alignment horizontal="center" vertical="center"/>
    </xf>
    <xf numFmtId="170" fontId="2" fillId="7" borderId="36" xfId="0" applyNumberFormat="1" applyFont="1" applyFill="1" applyBorder="1" applyAlignment="1">
      <alignment horizontal="center" vertical="center"/>
    </xf>
    <xf numFmtId="170" fontId="2" fillId="7" borderId="37" xfId="0" applyNumberFormat="1" applyFont="1" applyFill="1" applyBorder="1" applyAlignment="1">
      <alignment horizontal="center" vertical="center"/>
    </xf>
    <xf numFmtId="9" fontId="0" fillId="7" borderId="36" xfId="0" applyNumberFormat="1" applyFont="1" applyFill="1" applyBorder="1" applyAlignment="1">
      <alignment horizontal="center" vertical="center"/>
    </xf>
    <xf numFmtId="9" fontId="0" fillId="7" borderId="37" xfId="0" applyNumberFormat="1" applyFont="1" applyFill="1" applyBorder="1" applyAlignment="1">
      <alignment horizontal="center" vertical="center"/>
    </xf>
    <xf numFmtId="0" fontId="4" fillId="7" borderId="36" xfId="0" applyNumberFormat="1" applyFont="1" applyFill="1" applyBorder="1" applyAlignment="1">
      <alignment horizontal="center" vertical="center"/>
    </xf>
    <xf numFmtId="0" fontId="4" fillId="7" borderId="37" xfId="0" applyNumberFormat="1" applyFont="1" applyFill="1" applyBorder="1" applyAlignment="1">
      <alignment horizontal="center" vertical="center"/>
    </xf>
    <xf numFmtId="0" fontId="4" fillId="7" borderId="38" xfId="0" applyNumberFormat="1" applyFont="1" applyFill="1" applyBorder="1" applyAlignment="1">
      <alignment horizontal="center" vertical="center"/>
    </xf>
    <xf numFmtId="0" fontId="2" fillId="8" borderId="14" xfId="0" applyNumberFormat="1" applyFont="1" applyFill="1" applyBorder="1" applyAlignment="1">
      <alignment horizontal="left" vertical="center" indent="1"/>
    </xf>
    <xf numFmtId="0" fontId="2" fillId="8" borderId="32" xfId="0" applyNumberFormat="1" applyFont="1" applyFill="1" applyBorder="1" applyAlignment="1">
      <alignment horizontal="left" vertical="center" indent="1"/>
    </xf>
    <xf numFmtId="3" fontId="2" fillId="8" borderId="14" xfId="0" applyNumberFormat="1" applyFont="1" applyFill="1" applyBorder="1" applyAlignment="1">
      <alignment horizontal="center" vertical="center"/>
    </xf>
    <xf numFmtId="3" fontId="2" fillId="8" borderId="32" xfId="0" applyNumberFormat="1" applyFont="1" applyFill="1" applyBorder="1" applyAlignment="1">
      <alignment horizontal="center" vertical="center"/>
    </xf>
    <xf numFmtId="3" fontId="3" fillId="8" borderId="14" xfId="0" applyNumberFormat="1" applyFont="1" applyFill="1" applyBorder="1" applyAlignment="1">
      <alignment horizontal="center" vertical="center"/>
    </xf>
    <xf numFmtId="3" fontId="3" fillId="8" borderId="32" xfId="0" applyNumberFormat="1" applyFont="1" applyFill="1" applyBorder="1" applyAlignment="1">
      <alignment horizontal="center" vertical="center"/>
    </xf>
    <xf numFmtId="165" fontId="0" fillId="8" borderId="14" xfId="0" applyNumberFormat="1" applyFont="1" applyFill="1" applyBorder="1" applyAlignment="1">
      <alignment horizontal="center" vertical="center"/>
    </xf>
    <xf numFmtId="165" fontId="0" fillId="8" borderId="32" xfId="0" applyNumberFormat="1" applyFont="1" applyFill="1" applyBorder="1" applyAlignment="1">
      <alignment horizontal="center" vertical="center"/>
    </xf>
    <xf numFmtId="3" fontId="0" fillId="8" borderId="14" xfId="0" applyNumberFormat="1" applyFont="1" applyFill="1" applyBorder="1" applyAlignment="1">
      <alignment horizontal="center" vertical="center"/>
    </xf>
    <xf numFmtId="3" fontId="0" fillId="8" borderId="32" xfId="0" applyNumberFormat="1" applyFont="1" applyFill="1" applyBorder="1" applyAlignment="1">
      <alignment horizontal="center" vertical="center"/>
    </xf>
    <xf numFmtId="170" fontId="2" fillId="8" borderId="14" xfId="0" applyNumberFormat="1" applyFont="1" applyFill="1" applyBorder="1" applyAlignment="1">
      <alignment horizontal="center" vertical="center"/>
    </xf>
    <xf numFmtId="170" fontId="2" fillId="8" borderId="32" xfId="0" applyNumberFormat="1" applyFont="1" applyFill="1" applyBorder="1" applyAlignment="1">
      <alignment horizontal="center" vertical="center"/>
    </xf>
    <xf numFmtId="9" fontId="0" fillId="8" borderId="14" xfId="0" applyNumberFormat="1" applyFont="1" applyFill="1" applyBorder="1" applyAlignment="1">
      <alignment horizontal="center" vertical="center"/>
    </xf>
    <xf numFmtId="9" fontId="0" fillId="8" borderId="32" xfId="0" applyNumberFormat="1" applyFont="1" applyFill="1" applyBorder="1" applyAlignment="1">
      <alignment horizontal="center" vertical="center"/>
    </xf>
    <xf numFmtId="0" fontId="4" fillId="8" borderId="14" xfId="0" applyNumberFormat="1" applyFont="1" applyFill="1" applyBorder="1" applyAlignment="1">
      <alignment horizontal="center" vertical="center"/>
    </xf>
    <xf numFmtId="0" fontId="4" fillId="8" borderId="32" xfId="0" applyNumberFormat="1" applyFont="1" applyFill="1" applyBorder="1" applyAlignment="1">
      <alignment horizontal="center" vertical="center"/>
    </xf>
    <xf numFmtId="0" fontId="4" fillId="8" borderId="5" xfId="0" applyNumberFormat="1" applyFont="1" applyFill="1" applyBorder="1" applyAlignment="1">
      <alignment horizontal="center" vertical="center"/>
    </xf>
    <xf numFmtId="0" fontId="2" fillId="8" borderId="33" xfId="0" applyNumberFormat="1" applyFont="1" applyFill="1" applyBorder="1" applyAlignment="1">
      <alignment horizontal="left" vertical="center" indent="1"/>
    </xf>
    <xf numFmtId="0" fontId="2" fillId="8" borderId="34" xfId="0" applyNumberFormat="1" applyFont="1" applyFill="1" applyBorder="1" applyAlignment="1">
      <alignment horizontal="left" vertical="center" indent="1"/>
    </xf>
    <xf numFmtId="3" fontId="2" fillId="8" borderId="33" xfId="0" applyNumberFormat="1" applyFont="1" applyFill="1" applyBorder="1" applyAlignment="1">
      <alignment horizontal="center" vertical="center"/>
    </xf>
    <xf numFmtId="3" fontId="2" fillId="8" borderId="34" xfId="0" applyNumberFormat="1" applyFont="1" applyFill="1" applyBorder="1" applyAlignment="1">
      <alignment horizontal="center" vertical="center"/>
    </xf>
    <xf numFmtId="3" fontId="3" fillId="8" borderId="33" xfId="0" applyNumberFormat="1" applyFont="1" applyFill="1" applyBorder="1" applyAlignment="1">
      <alignment horizontal="center" vertical="center"/>
    </xf>
    <xf numFmtId="3" fontId="3" fillId="8" borderId="34" xfId="0" applyNumberFormat="1" applyFont="1" applyFill="1" applyBorder="1" applyAlignment="1">
      <alignment horizontal="center" vertical="center"/>
    </xf>
    <xf numFmtId="165" fontId="0" fillId="8" borderId="33" xfId="0" applyNumberFormat="1" applyFont="1" applyFill="1" applyBorder="1" applyAlignment="1">
      <alignment horizontal="center" vertical="center"/>
    </xf>
    <xf numFmtId="165" fontId="0" fillId="8" borderId="34" xfId="0" applyNumberFormat="1" applyFont="1" applyFill="1" applyBorder="1" applyAlignment="1">
      <alignment horizontal="center" vertical="center"/>
    </xf>
    <xf numFmtId="3" fontId="0" fillId="8" borderId="33" xfId="0" applyNumberFormat="1" applyFont="1" applyFill="1" applyBorder="1" applyAlignment="1">
      <alignment horizontal="center" vertical="center"/>
    </xf>
    <xf numFmtId="3" fontId="0" fillId="8" borderId="34" xfId="0" applyNumberFormat="1" applyFont="1" applyFill="1" applyBorder="1" applyAlignment="1">
      <alignment horizontal="center" vertical="center"/>
    </xf>
    <xf numFmtId="170" fontId="2" fillId="8" borderId="33" xfId="0" applyNumberFormat="1" applyFont="1" applyFill="1" applyBorder="1" applyAlignment="1">
      <alignment horizontal="center" vertical="center"/>
    </xf>
    <xf numFmtId="170" fontId="2" fillId="8" borderId="34" xfId="0" applyNumberFormat="1" applyFont="1" applyFill="1" applyBorder="1" applyAlignment="1">
      <alignment horizontal="center" vertical="center"/>
    </xf>
    <xf numFmtId="9" fontId="0" fillId="8" borderId="33" xfId="0" applyNumberFormat="1" applyFont="1" applyFill="1" applyBorder="1" applyAlignment="1">
      <alignment horizontal="center" vertical="center"/>
    </xf>
    <xf numFmtId="9" fontId="0" fillId="8" borderId="34" xfId="0" applyNumberFormat="1" applyFont="1" applyFill="1" applyBorder="1" applyAlignment="1">
      <alignment horizontal="center" vertical="center"/>
    </xf>
    <xf numFmtId="0" fontId="4" fillId="8" borderId="33" xfId="0" applyNumberFormat="1" applyFont="1" applyFill="1" applyBorder="1" applyAlignment="1">
      <alignment horizontal="center" vertical="center"/>
    </xf>
    <xf numFmtId="0" fontId="4" fillId="8" borderId="34" xfId="0" applyNumberFormat="1" applyFont="1" applyFill="1" applyBorder="1" applyAlignment="1">
      <alignment horizontal="center" vertical="center"/>
    </xf>
    <xf numFmtId="0" fontId="4" fillId="8" borderId="35" xfId="0" applyNumberFormat="1" applyFont="1" applyFill="1" applyBorder="1" applyAlignment="1">
      <alignment horizontal="center" vertical="center"/>
    </xf>
    <xf numFmtId="0" fontId="2" fillId="8" borderId="36" xfId="0" applyNumberFormat="1" applyFont="1" applyFill="1" applyBorder="1" applyAlignment="1">
      <alignment horizontal="left" vertical="center" indent="1"/>
    </xf>
    <xf numFmtId="0" fontId="2" fillId="8" borderId="37" xfId="0" applyNumberFormat="1" applyFont="1" applyFill="1" applyBorder="1" applyAlignment="1">
      <alignment horizontal="left" vertical="center" indent="1"/>
    </xf>
    <xf numFmtId="3" fontId="2" fillId="8" borderId="36" xfId="0" applyNumberFormat="1" applyFont="1" applyFill="1" applyBorder="1" applyAlignment="1">
      <alignment horizontal="center" vertical="center"/>
    </xf>
    <xf numFmtId="3" fontId="2" fillId="8" borderId="37" xfId="0" applyNumberFormat="1" applyFont="1" applyFill="1" applyBorder="1" applyAlignment="1">
      <alignment horizontal="center" vertical="center"/>
    </xf>
    <xf numFmtId="165" fontId="3" fillId="8" borderId="36" xfId="0" applyNumberFormat="1" applyFont="1" applyFill="1" applyBorder="1" applyAlignment="1">
      <alignment horizontal="center" vertical="center"/>
    </xf>
    <xf numFmtId="165" fontId="3" fillId="8" borderId="37" xfId="0" applyNumberFormat="1" applyFont="1" applyFill="1" applyBorder="1" applyAlignment="1">
      <alignment horizontal="center" vertical="center"/>
    </xf>
    <xf numFmtId="165" fontId="0" fillId="8" borderId="36" xfId="0" applyNumberFormat="1" applyFont="1" applyFill="1" applyBorder="1" applyAlignment="1">
      <alignment horizontal="center" vertical="center"/>
    </xf>
    <xf numFmtId="165" fontId="0" fillId="8" borderId="37" xfId="0" applyNumberFormat="1" applyFont="1" applyFill="1" applyBorder="1" applyAlignment="1">
      <alignment horizontal="center" vertical="center"/>
    </xf>
    <xf numFmtId="170" fontId="2" fillId="8" borderId="36" xfId="0" applyNumberFormat="1" applyFont="1" applyFill="1" applyBorder="1" applyAlignment="1">
      <alignment horizontal="center" vertical="center"/>
    </xf>
    <xf numFmtId="170" fontId="2" fillId="8" borderId="37" xfId="0" applyNumberFormat="1" applyFont="1" applyFill="1" applyBorder="1" applyAlignment="1">
      <alignment horizontal="center" vertical="center"/>
    </xf>
    <xf numFmtId="9" fontId="0" fillId="8" borderId="36" xfId="0" applyNumberFormat="1" applyFont="1" applyFill="1" applyBorder="1" applyAlignment="1">
      <alignment horizontal="center" vertical="center"/>
    </xf>
    <xf numFmtId="9" fontId="0" fillId="8" borderId="37" xfId="0" applyNumberFormat="1" applyFont="1" applyFill="1" applyBorder="1" applyAlignment="1">
      <alignment horizontal="center" vertical="center"/>
    </xf>
    <xf numFmtId="0" fontId="4" fillId="8" borderId="36" xfId="0" applyNumberFormat="1" applyFont="1" applyFill="1" applyBorder="1" applyAlignment="1">
      <alignment horizontal="center" vertical="center"/>
    </xf>
    <xf numFmtId="0" fontId="4" fillId="8" borderId="37" xfId="0" applyNumberFormat="1" applyFont="1" applyFill="1" applyBorder="1" applyAlignment="1">
      <alignment horizontal="center" vertical="center"/>
    </xf>
    <xf numFmtId="0" fontId="4" fillId="8" borderId="38" xfId="0" applyNumberFormat="1" applyFont="1" applyFill="1" applyBorder="1" applyAlignment="1">
      <alignment horizontal="center" vertical="center"/>
    </xf>
    <xf numFmtId="0" fontId="2" fillId="9" borderId="14" xfId="0" applyNumberFormat="1" applyFont="1" applyFill="1" applyBorder="1" applyAlignment="1">
      <alignment horizontal="left" vertical="center" indent="1"/>
    </xf>
    <xf numFmtId="0" fontId="2" fillId="9" borderId="32" xfId="0" applyNumberFormat="1" applyFont="1" applyFill="1" applyBorder="1" applyAlignment="1">
      <alignment horizontal="left" vertical="center" indent="1"/>
    </xf>
    <xf numFmtId="3" fontId="2" fillId="9" borderId="14" xfId="0" applyNumberFormat="1" applyFont="1" applyFill="1" applyBorder="1" applyAlignment="1">
      <alignment horizontal="center" vertical="center"/>
    </xf>
    <xf numFmtId="3" fontId="2" fillId="9" borderId="32" xfId="0" applyNumberFormat="1" applyFont="1" applyFill="1" applyBorder="1" applyAlignment="1">
      <alignment horizontal="center" vertical="center"/>
    </xf>
    <xf numFmtId="3" fontId="3" fillId="9" borderId="14" xfId="0" applyNumberFormat="1" applyFont="1" applyFill="1" applyBorder="1" applyAlignment="1">
      <alignment horizontal="center" vertical="center"/>
    </xf>
    <xf numFmtId="3" fontId="3" fillId="9" borderId="32" xfId="0" applyNumberFormat="1" applyFont="1" applyFill="1" applyBorder="1" applyAlignment="1">
      <alignment horizontal="center" vertical="center"/>
    </xf>
    <xf numFmtId="165" fontId="0" fillId="9" borderId="14" xfId="0" applyNumberFormat="1" applyFont="1" applyFill="1" applyBorder="1" applyAlignment="1">
      <alignment horizontal="center" vertical="center"/>
    </xf>
    <xf numFmtId="165" fontId="0" fillId="9" borderId="32" xfId="0" applyNumberFormat="1" applyFont="1" applyFill="1" applyBorder="1" applyAlignment="1">
      <alignment horizontal="center" vertical="center"/>
    </xf>
    <xf numFmtId="3" fontId="0" fillId="9" borderId="14" xfId="0" applyNumberFormat="1" applyFont="1" applyFill="1" applyBorder="1" applyAlignment="1">
      <alignment horizontal="center" vertical="center"/>
    </xf>
    <xf numFmtId="3" fontId="0" fillId="9" borderId="32" xfId="0" applyNumberFormat="1" applyFont="1" applyFill="1" applyBorder="1" applyAlignment="1">
      <alignment horizontal="center" vertical="center"/>
    </xf>
    <xf numFmtId="170" fontId="2" fillId="9" borderId="14" xfId="0" applyNumberFormat="1" applyFont="1" applyFill="1" applyBorder="1" applyAlignment="1">
      <alignment horizontal="center" vertical="center"/>
    </xf>
    <xf numFmtId="170" fontId="2" fillId="9" borderId="32" xfId="0" applyNumberFormat="1" applyFont="1" applyFill="1" applyBorder="1" applyAlignment="1">
      <alignment horizontal="center" vertical="center"/>
    </xf>
    <xf numFmtId="9" fontId="0" fillId="9" borderId="14" xfId="0" applyNumberFormat="1" applyFont="1" applyFill="1" applyBorder="1" applyAlignment="1">
      <alignment horizontal="center" vertical="center"/>
    </xf>
    <xf numFmtId="9" fontId="0" fillId="9" borderId="32" xfId="0" applyNumberFormat="1" applyFont="1" applyFill="1" applyBorder="1" applyAlignment="1">
      <alignment horizontal="center" vertical="center"/>
    </xf>
    <xf numFmtId="0" fontId="4" fillId="9" borderId="14" xfId="0" applyNumberFormat="1" applyFont="1" applyFill="1" applyBorder="1" applyAlignment="1">
      <alignment horizontal="center" vertical="center"/>
    </xf>
    <xf numFmtId="0" fontId="4" fillId="9" borderId="32" xfId="0" applyNumberFormat="1" applyFont="1" applyFill="1" applyBorder="1" applyAlignment="1">
      <alignment horizontal="center" vertical="center"/>
    </xf>
    <xf numFmtId="0" fontId="4" fillId="9" borderId="5" xfId="0" applyNumberFormat="1" applyFont="1" applyFill="1" applyBorder="1" applyAlignment="1">
      <alignment horizontal="center" vertical="center"/>
    </xf>
    <xf numFmtId="0" fontId="2" fillId="9" borderId="33" xfId="0" applyNumberFormat="1" applyFont="1" applyFill="1" applyBorder="1" applyAlignment="1">
      <alignment horizontal="left" vertical="center" indent="1"/>
    </xf>
    <xf numFmtId="0" fontId="2" fillId="9" borderId="34" xfId="0" applyNumberFormat="1" applyFont="1" applyFill="1" applyBorder="1" applyAlignment="1">
      <alignment horizontal="left" vertical="center" indent="1"/>
    </xf>
    <xf numFmtId="3" fontId="2" fillId="9" borderId="33" xfId="0" applyNumberFormat="1" applyFont="1" applyFill="1" applyBorder="1" applyAlignment="1">
      <alignment horizontal="center" vertical="center"/>
    </xf>
    <xf numFmtId="3" fontId="2" fillId="9" borderId="34" xfId="0" applyNumberFormat="1" applyFont="1" applyFill="1" applyBorder="1" applyAlignment="1">
      <alignment horizontal="center" vertical="center"/>
    </xf>
    <xf numFmtId="3" fontId="3" fillId="9" borderId="33" xfId="0" applyNumberFormat="1" applyFont="1" applyFill="1" applyBorder="1" applyAlignment="1">
      <alignment horizontal="center" vertical="center"/>
    </xf>
    <xf numFmtId="3" fontId="3" fillId="9" borderId="34" xfId="0" applyNumberFormat="1" applyFont="1" applyFill="1" applyBorder="1" applyAlignment="1">
      <alignment horizontal="center" vertical="center"/>
    </xf>
    <xf numFmtId="165" fontId="0" fillId="9" borderId="33" xfId="0" applyNumberFormat="1" applyFont="1" applyFill="1" applyBorder="1" applyAlignment="1">
      <alignment horizontal="center" vertical="center"/>
    </xf>
    <xf numFmtId="165" fontId="0" fillId="9" borderId="34" xfId="0" applyNumberFormat="1" applyFont="1" applyFill="1" applyBorder="1" applyAlignment="1">
      <alignment horizontal="center" vertical="center"/>
    </xf>
    <xf numFmtId="3" fontId="0" fillId="9" borderId="33" xfId="0" applyNumberFormat="1" applyFont="1" applyFill="1" applyBorder="1" applyAlignment="1">
      <alignment horizontal="center" vertical="center"/>
    </xf>
    <xf numFmtId="3" fontId="0" fillId="9" borderId="34" xfId="0" applyNumberFormat="1" applyFont="1" applyFill="1" applyBorder="1" applyAlignment="1">
      <alignment horizontal="center" vertical="center"/>
    </xf>
    <xf numFmtId="170" fontId="2" fillId="9" borderId="33" xfId="0" applyNumberFormat="1" applyFont="1" applyFill="1" applyBorder="1" applyAlignment="1">
      <alignment horizontal="center" vertical="center"/>
    </xf>
    <xf numFmtId="170" fontId="2" fillId="9" borderId="34" xfId="0" applyNumberFormat="1" applyFont="1" applyFill="1" applyBorder="1" applyAlignment="1">
      <alignment horizontal="center" vertical="center"/>
    </xf>
    <xf numFmtId="9" fontId="0" fillId="9" borderId="33" xfId="0" applyNumberFormat="1" applyFont="1" applyFill="1" applyBorder="1" applyAlignment="1">
      <alignment horizontal="center" vertical="center"/>
    </xf>
    <xf numFmtId="9" fontId="0" fillId="9" borderId="34" xfId="0" applyNumberFormat="1" applyFont="1" applyFill="1" applyBorder="1" applyAlignment="1">
      <alignment horizontal="center" vertical="center"/>
    </xf>
    <xf numFmtId="0" fontId="4" fillId="9" borderId="33" xfId="0" applyNumberFormat="1" applyFont="1" applyFill="1" applyBorder="1" applyAlignment="1">
      <alignment horizontal="center" vertical="center"/>
    </xf>
    <xf numFmtId="0" fontId="4" fillId="9" borderId="34" xfId="0" applyNumberFormat="1" applyFont="1" applyFill="1" applyBorder="1" applyAlignment="1">
      <alignment horizontal="center" vertical="center"/>
    </xf>
    <xf numFmtId="0" fontId="4" fillId="9" borderId="35" xfId="0" applyNumberFormat="1" applyFont="1" applyFill="1" applyBorder="1" applyAlignment="1">
      <alignment horizontal="center" vertical="center"/>
    </xf>
    <xf numFmtId="0" fontId="2" fillId="9" borderId="36" xfId="0" applyNumberFormat="1" applyFont="1" applyFill="1" applyBorder="1" applyAlignment="1">
      <alignment horizontal="left" vertical="center" indent="1"/>
    </xf>
    <xf numFmtId="0" fontId="2" fillId="9" borderId="37" xfId="0" applyNumberFormat="1" applyFont="1" applyFill="1" applyBorder="1" applyAlignment="1">
      <alignment horizontal="left" vertical="center" indent="1"/>
    </xf>
    <xf numFmtId="3" fontId="2" fillId="9" borderId="36" xfId="0" applyNumberFormat="1" applyFont="1" applyFill="1" applyBorder="1" applyAlignment="1">
      <alignment horizontal="center" vertical="center"/>
    </xf>
    <xf numFmtId="3" fontId="2" fillId="9" borderId="37" xfId="0" applyNumberFormat="1" applyFont="1" applyFill="1" applyBorder="1" applyAlignment="1">
      <alignment horizontal="center" vertical="center"/>
    </xf>
    <xf numFmtId="3" fontId="3" fillId="9" borderId="36" xfId="0" applyNumberFormat="1" applyFont="1" applyFill="1" applyBorder="1" applyAlignment="1">
      <alignment horizontal="center" vertical="center"/>
    </xf>
    <xf numFmtId="3" fontId="3" fillId="9" borderId="37" xfId="0" applyNumberFormat="1" applyFont="1" applyFill="1" applyBorder="1" applyAlignment="1">
      <alignment horizontal="center" vertical="center"/>
    </xf>
    <xf numFmtId="165" fontId="0" fillId="9" borderId="36" xfId="0" applyNumberFormat="1" applyFont="1" applyFill="1" applyBorder="1" applyAlignment="1">
      <alignment horizontal="center" vertical="center"/>
    </xf>
    <xf numFmtId="165" fontId="0" fillId="9" borderId="37" xfId="0" applyNumberFormat="1" applyFont="1" applyFill="1" applyBorder="1" applyAlignment="1">
      <alignment horizontal="center" vertical="center"/>
    </xf>
    <xf numFmtId="3" fontId="0" fillId="9" borderId="36" xfId="0" applyNumberFormat="1" applyFont="1" applyFill="1" applyBorder="1" applyAlignment="1">
      <alignment horizontal="center" vertical="center"/>
    </xf>
    <xf numFmtId="3" fontId="0" fillId="9" borderId="37" xfId="0" applyNumberFormat="1" applyFont="1" applyFill="1" applyBorder="1" applyAlignment="1">
      <alignment horizontal="center" vertical="center"/>
    </xf>
    <xf numFmtId="170" fontId="2" fillId="9" borderId="36" xfId="0" applyNumberFormat="1" applyFont="1" applyFill="1" applyBorder="1" applyAlignment="1">
      <alignment horizontal="center" vertical="center"/>
    </xf>
    <xf numFmtId="170" fontId="2" fillId="9" borderId="37" xfId="0" applyNumberFormat="1" applyFont="1" applyFill="1" applyBorder="1" applyAlignment="1">
      <alignment horizontal="center" vertical="center"/>
    </xf>
    <xf numFmtId="9" fontId="0" fillId="9" borderId="36" xfId="0" applyNumberFormat="1" applyFont="1" applyFill="1" applyBorder="1" applyAlignment="1">
      <alignment horizontal="center" vertical="center"/>
    </xf>
    <xf numFmtId="9" fontId="0" fillId="9" borderId="37" xfId="0" applyNumberFormat="1" applyFont="1" applyFill="1" applyBorder="1" applyAlignment="1">
      <alignment horizontal="center" vertical="center"/>
    </xf>
    <xf numFmtId="0" fontId="4" fillId="9" borderId="36" xfId="0" applyNumberFormat="1" applyFont="1" applyFill="1" applyBorder="1" applyAlignment="1">
      <alignment horizontal="center" vertical="center"/>
    </xf>
    <xf numFmtId="0" fontId="4" fillId="9" borderId="37" xfId="0" applyNumberFormat="1" applyFont="1" applyFill="1" applyBorder="1" applyAlignment="1">
      <alignment horizontal="center" vertical="center"/>
    </xf>
    <xf numFmtId="0" fontId="4" fillId="9" borderId="38" xfId="0" applyNumberFormat="1" applyFont="1" applyFill="1" applyBorder="1" applyAlignment="1">
      <alignment horizontal="center" vertical="center"/>
    </xf>
    <xf numFmtId="168" fontId="3" fillId="7" borderId="14" xfId="0" applyNumberFormat="1" applyFont="1" applyFill="1" applyBorder="1" applyAlignment="1">
      <alignment horizontal="center" vertical="center"/>
    </xf>
    <xf numFmtId="168" fontId="3" fillId="7" borderId="32" xfId="0" applyNumberFormat="1" applyFont="1" applyFill="1" applyBorder="1" applyAlignment="1">
      <alignment horizontal="center" vertical="center"/>
    </xf>
    <xf numFmtId="168" fontId="0" fillId="7" borderId="14" xfId="0" applyNumberFormat="1" applyFont="1" applyFill="1" applyBorder="1" applyAlignment="1">
      <alignment horizontal="center" vertical="center"/>
    </xf>
    <xf numFmtId="168" fontId="0" fillId="7" borderId="32" xfId="0" applyNumberFormat="1" applyFont="1" applyFill="1" applyBorder="1" applyAlignment="1">
      <alignment horizontal="center" vertical="center"/>
    </xf>
    <xf numFmtId="9" fontId="2" fillId="7" borderId="36" xfId="0" applyNumberFormat="1" applyFont="1" applyFill="1" applyBorder="1" applyAlignment="1">
      <alignment horizontal="center" vertical="center"/>
    </xf>
    <xf numFmtId="9" fontId="2" fillId="7" borderId="37" xfId="0" applyNumberFormat="1" applyFont="1" applyFill="1" applyBorder="1" applyAlignment="1">
      <alignment horizontal="center" vertical="center"/>
    </xf>
    <xf numFmtId="169" fontId="3" fillId="7" borderId="36" xfId="0" applyNumberFormat="1" applyFont="1" applyFill="1" applyBorder="1" applyAlignment="1">
      <alignment horizontal="center" vertical="center"/>
    </xf>
    <xf numFmtId="169" fontId="3" fillId="7" borderId="37" xfId="0" applyNumberFormat="1" applyFont="1" applyFill="1" applyBorder="1" applyAlignment="1">
      <alignment horizontal="center" vertical="center"/>
    </xf>
    <xf numFmtId="169" fontId="0" fillId="7" borderId="36" xfId="0" applyNumberFormat="1" applyFont="1" applyFill="1" applyBorder="1" applyAlignment="1">
      <alignment horizontal="center" vertical="center"/>
    </xf>
    <xf numFmtId="169" fontId="0" fillId="7" borderId="37" xfId="0" applyNumberFormat="1" applyFont="1" applyFill="1" applyBorder="1" applyAlignment="1">
      <alignment horizontal="center" vertical="center"/>
    </xf>
    <xf numFmtId="0" fontId="2" fillId="10" borderId="14" xfId="0" applyNumberFormat="1" applyFont="1" applyFill="1" applyBorder="1" applyAlignment="1">
      <alignment horizontal="left" vertical="center" indent="1"/>
    </xf>
    <xf numFmtId="0" fontId="2" fillId="10" borderId="32" xfId="0" applyNumberFormat="1" applyFont="1" applyFill="1" applyBorder="1" applyAlignment="1">
      <alignment horizontal="left" vertical="center" indent="1"/>
    </xf>
    <xf numFmtId="3" fontId="2" fillId="10" borderId="14" xfId="0" applyNumberFormat="1" applyFont="1" applyFill="1" applyBorder="1" applyAlignment="1">
      <alignment horizontal="center" vertical="center"/>
    </xf>
    <xf numFmtId="3" fontId="2" fillId="10" borderId="32" xfId="0" applyNumberFormat="1" applyFont="1" applyFill="1" applyBorder="1" applyAlignment="1">
      <alignment horizontal="center" vertical="center"/>
    </xf>
    <xf numFmtId="3" fontId="3" fillId="10" borderId="14" xfId="0" applyNumberFormat="1" applyFont="1" applyFill="1" applyBorder="1" applyAlignment="1">
      <alignment horizontal="center" vertical="center"/>
    </xf>
    <xf numFmtId="3" fontId="3" fillId="10" borderId="32" xfId="0" applyNumberFormat="1" applyFont="1" applyFill="1" applyBorder="1" applyAlignment="1">
      <alignment horizontal="center" vertical="center"/>
    </xf>
    <xf numFmtId="165" fontId="0" fillId="10" borderId="14" xfId="0" applyNumberFormat="1" applyFont="1" applyFill="1" applyBorder="1" applyAlignment="1">
      <alignment horizontal="center" vertical="center"/>
    </xf>
    <xf numFmtId="165" fontId="0" fillId="10" borderId="32" xfId="0" applyNumberFormat="1" applyFont="1" applyFill="1" applyBorder="1" applyAlignment="1">
      <alignment horizontal="center" vertical="center"/>
    </xf>
    <xf numFmtId="3" fontId="0" fillId="10" borderId="14" xfId="0" applyNumberFormat="1" applyFont="1" applyFill="1" applyBorder="1" applyAlignment="1">
      <alignment horizontal="center" vertical="center"/>
    </xf>
    <xf numFmtId="3" fontId="0" fillId="10" borderId="32" xfId="0" applyNumberFormat="1" applyFont="1" applyFill="1" applyBorder="1" applyAlignment="1">
      <alignment horizontal="center" vertical="center"/>
    </xf>
    <xf numFmtId="170" fontId="2" fillId="10" borderId="14" xfId="0" applyNumberFormat="1" applyFont="1" applyFill="1" applyBorder="1" applyAlignment="1">
      <alignment horizontal="center" vertical="center"/>
    </xf>
    <xf numFmtId="170" fontId="2" fillId="10" borderId="32" xfId="0" applyNumberFormat="1" applyFont="1" applyFill="1" applyBorder="1" applyAlignment="1">
      <alignment horizontal="center" vertical="center"/>
    </xf>
    <xf numFmtId="9" fontId="0" fillId="10" borderId="14" xfId="0" applyNumberFormat="1" applyFont="1" applyFill="1" applyBorder="1" applyAlignment="1">
      <alignment horizontal="center" vertical="center"/>
    </xf>
    <xf numFmtId="9" fontId="0" fillId="10" borderId="32" xfId="0" applyNumberFormat="1" applyFont="1" applyFill="1" applyBorder="1" applyAlignment="1">
      <alignment horizontal="center" vertical="center"/>
    </xf>
    <xf numFmtId="0" fontId="4" fillId="10" borderId="14" xfId="0" applyNumberFormat="1" applyFont="1" applyFill="1" applyBorder="1" applyAlignment="1">
      <alignment horizontal="center" vertical="center"/>
    </xf>
    <xf numFmtId="0" fontId="4" fillId="10" borderId="32" xfId="0" applyNumberFormat="1" applyFont="1" applyFill="1" applyBorder="1" applyAlignment="1">
      <alignment horizontal="center" vertical="center"/>
    </xf>
    <xf numFmtId="0" fontId="4" fillId="10" borderId="5" xfId="0" applyNumberFormat="1" applyFont="1" applyFill="1" applyBorder="1" applyAlignment="1">
      <alignment horizontal="center" vertical="center"/>
    </xf>
    <xf numFmtId="0" fontId="2" fillId="10" borderId="33" xfId="0" applyNumberFormat="1" applyFont="1" applyFill="1" applyBorder="1" applyAlignment="1">
      <alignment horizontal="left" vertical="center" indent="1"/>
    </xf>
    <xf numFmtId="0" fontId="2" fillId="10" borderId="34" xfId="0" applyNumberFormat="1" applyFont="1" applyFill="1" applyBorder="1" applyAlignment="1">
      <alignment horizontal="left" vertical="center" indent="1"/>
    </xf>
    <xf numFmtId="3" fontId="2" fillId="10" borderId="33" xfId="0" applyNumberFormat="1" applyFont="1" applyFill="1" applyBorder="1" applyAlignment="1">
      <alignment horizontal="center" vertical="center"/>
    </xf>
    <xf numFmtId="3" fontId="2" fillId="10" borderId="34" xfId="0" applyNumberFormat="1" applyFont="1" applyFill="1" applyBorder="1" applyAlignment="1">
      <alignment horizontal="center" vertical="center"/>
    </xf>
    <xf numFmtId="3" fontId="3" fillId="10" borderId="33" xfId="0" applyNumberFormat="1" applyFont="1" applyFill="1" applyBorder="1" applyAlignment="1">
      <alignment horizontal="center" vertical="center"/>
    </xf>
    <xf numFmtId="3" fontId="3" fillId="10" borderId="34" xfId="0" applyNumberFormat="1" applyFont="1" applyFill="1" applyBorder="1" applyAlignment="1">
      <alignment horizontal="center" vertical="center"/>
    </xf>
    <xf numFmtId="165" fontId="0" fillId="10" borderId="33" xfId="0" applyNumberFormat="1" applyFont="1" applyFill="1" applyBorder="1" applyAlignment="1">
      <alignment horizontal="center" vertical="center"/>
    </xf>
    <xf numFmtId="165" fontId="0" fillId="10" borderId="34" xfId="0" applyNumberFormat="1" applyFont="1" applyFill="1" applyBorder="1" applyAlignment="1">
      <alignment horizontal="center" vertical="center"/>
    </xf>
    <xf numFmtId="3" fontId="0" fillId="10" borderId="33" xfId="0" applyNumberFormat="1" applyFont="1" applyFill="1" applyBorder="1" applyAlignment="1">
      <alignment horizontal="center" vertical="center"/>
    </xf>
    <xf numFmtId="3" fontId="0" fillId="10" borderId="34" xfId="0" applyNumberFormat="1" applyFont="1" applyFill="1" applyBorder="1" applyAlignment="1">
      <alignment horizontal="center" vertical="center"/>
    </xf>
    <xf numFmtId="170" fontId="2" fillId="10" borderId="33" xfId="0" applyNumberFormat="1" applyFont="1" applyFill="1" applyBorder="1" applyAlignment="1">
      <alignment horizontal="center" vertical="center"/>
    </xf>
    <xf numFmtId="170" fontId="2" fillId="10" borderId="34" xfId="0" applyNumberFormat="1" applyFont="1" applyFill="1" applyBorder="1" applyAlignment="1">
      <alignment horizontal="center" vertical="center"/>
    </xf>
    <xf numFmtId="9" fontId="0" fillId="10" borderId="33" xfId="0" applyNumberFormat="1" applyFont="1" applyFill="1" applyBorder="1" applyAlignment="1">
      <alignment horizontal="center" vertical="center"/>
    </xf>
    <xf numFmtId="9" fontId="0" fillId="10" borderId="34" xfId="0" applyNumberFormat="1" applyFont="1" applyFill="1" applyBorder="1" applyAlignment="1">
      <alignment horizontal="center" vertical="center"/>
    </xf>
    <xf numFmtId="0" fontId="4" fillId="10" borderId="33" xfId="0" applyNumberFormat="1" applyFont="1" applyFill="1" applyBorder="1" applyAlignment="1">
      <alignment horizontal="center" vertical="center"/>
    </xf>
    <xf numFmtId="0" fontId="4" fillId="10" borderId="34" xfId="0" applyNumberFormat="1" applyFont="1" applyFill="1" applyBorder="1" applyAlignment="1">
      <alignment horizontal="center" vertical="center"/>
    </xf>
    <xf numFmtId="0" fontId="4" fillId="10" borderId="35" xfId="0" applyNumberFormat="1" applyFont="1" applyFill="1" applyBorder="1" applyAlignment="1">
      <alignment horizontal="center" vertical="center"/>
    </xf>
    <xf numFmtId="0" fontId="2" fillId="10" borderId="36" xfId="0" applyNumberFormat="1" applyFont="1" applyFill="1" applyBorder="1" applyAlignment="1">
      <alignment horizontal="left" vertical="center" indent="1"/>
    </xf>
    <xf numFmtId="0" fontId="2" fillId="10" borderId="37" xfId="0" applyNumberFormat="1" applyFont="1" applyFill="1" applyBorder="1" applyAlignment="1">
      <alignment horizontal="left" vertical="center" indent="1"/>
    </xf>
    <xf numFmtId="3" fontId="2" fillId="10" borderId="36" xfId="0" applyNumberFormat="1" applyFont="1" applyFill="1" applyBorder="1" applyAlignment="1">
      <alignment horizontal="center" vertical="center"/>
    </xf>
    <xf numFmtId="3" fontId="2" fillId="10" borderId="37" xfId="0" applyNumberFormat="1" applyFont="1" applyFill="1" applyBorder="1" applyAlignment="1">
      <alignment horizontal="center" vertical="center"/>
    </xf>
    <xf numFmtId="3" fontId="3" fillId="10" borderId="36" xfId="0" applyNumberFormat="1" applyFont="1" applyFill="1" applyBorder="1" applyAlignment="1">
      <alignment horizontal="center" vertical="center"/>
    </xf>
    <xf numFmtId="3" fontId="3" fillId="10" borderId="37" xfId="0" applyNumberFormat="1" applyFont="1" applyFill="1" applyBorder="1" applyAlignment="1">
      <alignment horizontal="center" vertical="center"/>
    </xf>
    <xf numFmtId="165" fontId="0" fillId="10" borderId="36" xfId="0" applyNumberFormat="1" applyFont="1" applyFill="1" applyBorder="1" applyAlignment="1">
      <alignment horizontal="center" vertical="center"/>
    </xf>
    <xf numFmtId="165" fontId="0" fillId="10" borderId="37" xfId="0" applyNumberFormat="1" applyFont="1" applyFill="1" applyBorder="1" applyAlignment="1">
      <alignment horizontal="center" vertical="center"/>
    </xf>
    <xf numFmtId="3" fontId="0" fillId="10" borderId="36" xfId="0" applyNumberFormat="1" applyFont="1" applyFill="1" applyBorder="1" applyAlignment="1">
      <alignment horizontal="center" vertical="center"/>
    </xf>
    <xf numFmtId="3" fontId="0" fillId="10" borderId="37" xfId="0" applyNumberFormat="1" applyFont="1" applyFill="1" applyBorder="1" applyAlignment="1">
      <alignment horizontal="center" vertical="center"/>
    </xf>
    <xf numFmtId="170" fontId="2" fillId="10" borderId="36" xfId="0" applyNumberFormat="1" applyFont="1" applyFill="1" applyBorder="1" applyAlignment="1">
      <alignment horizontal="center" vertical="center"/>
    </xf>
    <xf numFmtId="170" fontId="2" fillId="10" borderId="37" xfId="0" applyNumberFormat="1" applyFont="1" applyFill="1" applyBorder="1" applyAlignment="1">
      <alignment horizontal="center" vertical="center"/>
    </xf>
    <xf numFmtId="9" fontId="0" fillId="10" borderId="36" xfId="0" applyNumberFormat="1" applyFont="1" applyFill="1" applyBorder="1" applyAlignment="1">
      <alignment horizontal="center" vertical="center"/>
    </xf>
    <xf numFmtId="9" fontId="0" fillId="10" borderId="37" xfId="0" applyNumberFormat="1" applyFont="1" applyFill="1" applyBorder="1" applyAlignment="1">
      <alignment horizontal="center" vertical="center"/>
    </xf>
    <xf numFmtId="0" fontId="4" fillId="10" borderId="36" xfId="0" applyNumberFormat="1" applyFont="1" applyFill="1" applyBorder="1" applyAlignment="1">
      <alignment horizontal="center" vertical="center"/>
    </xf>
    <xf numFmtId="0" fontId="4" fillId="10" borderId="37" xfId="0" applyNumberFormat="1" applyFont="1" applyFill="1" applyBorder="1" applyAlignment="1">
      <alignment horizontal="center" vertical="center"/>
    </xf>
    <xf numFmtId="0" fontId="4" fillId="10" borderId="38" xfId="0" applyNumberFormat="1" applyFont="1" applyFill="1" applyBorder="1" applyAlignment="1">
      <alignment horizontal="center" vertical="center"/>
    </xf>
    <xf numFmtId="0" fontId="2" fillId="7" borderId="4" xfId="0" applyNumberFormat="1" applyFont="1" applyFill="1" applyBorder="1" applyAlignment="1">
      <alignment horizontal="center" vertical="center"/>
    </xf>
    <xf numFmtId="0" fontId="2" fillId="7" borderId="39" xfId="0" applyNumberFormat="1" applyFont="1" applyFill="1" applyBorder="1" applyAlignment="1">
      <alignment horizontal="center" vertical="center"/>
    </xf>
    <xf numFmtId="0" fontId="2" fillId="7" borderId="6" xfId="0" applyNumberFormat="1" applyFont="1" applyFill="1" applyBorder="1" applyAlignment="1">
      <alignment horizontal="center" vertical="center"/>
    </xf>
    <xf numFmtId="0" fontId="2" fillId="8" borderId="4" xfId="0" applyNumberFormat="1" applyFont="1" applyFill="1" applyBorder="1" applyAlignment="1">
      <alignment horizontal="center" vertical="center"/>
    </xf>
    <xf numFmtId="0" fontId="2" fillId="8" borderId="39" xfId="0" applyNumberFormat="1" applyFont="1" applyFill="1" applyBorder="1" applyAlignment="1">
      <alignment horizontal="center" vertical="center"/>
    </xf>
    <xf numFmtId="0" fontId="2" fillId="8" borderId="6" xfId="0" applyNumberFormat="1" applyFont="1" applyFill="1" applyBorder="1" applyAlignment="1">
      <alignment horizontal="center" vertical="center"/>
    </xf>
    <xf numFmtId="0" fontId="2" fillId="9" borderId="4" xfId="0" applyNumberFormat="1" applyFont="1" applyFill="1" applyBorder="1" applyAlignment="1">
      <alignment horizontal="center" vertical="center"/>
    </xf>
    <xf numFmtId="0" fontId="2" fillId="9" borderId="39" xfId="0" applyNumberFormat="1" applyFont="1" applyFill="1" applyBorder="1" applyAlignment="1">
      <alignment horizontal="center" vertical="center"/>
    </xf>
    <xf numFmtId="0" fontId="2" fillId="9" borderId="6" xfId="0" applyNumberFormat="1" applyFont="1" applyFill="1" applyBorder="1" applyAlignment="1">
      <alignment horizontal="center" vertical="center"/>
    </xf>
    <xf numFmtId="0" fontId="2" fillId="10" borderId="4" xfId="0" applyNumberFormat="1" applyFont="1" applyFill="1" applyBorder="1" applyAlignment="1">
      <alignment horizontal="center" vertical="center"/>
    </xf>
    <xf numFmtId="0" fontId="2" fillId="10" borderId="39" xfId="0" applyNumberFormat="1" applyFont="1" applyFill="1" applyBorder="1" applyAlignment="1">
      <alignment horizontal="center" vertical="center"/>
    </xf>
    <xf numFmtId="0" fontId="2" fillId="10" borderId="6" xfId="0" applyNumberFormat="1" applyFont="1" applyFill="1" applyBorder="1" applyAlignment="1">
      <alignment horizontal="center" vertical="center"/>
    </xf>
    <xf numFmtId="0" fontId="4" fillId="3" borderId="8" xfId="0" applyNumberFormat="1" applyFont="1" applyFill="1" applyBorder="1" applyAlignment="1">
      <alignment horizontal="center" vertical="center" wrapText="1"/>
    </xf>
    <xf numFmtId="0" fontId="4" fillId="3" borderId="10" xfId="0" applyNumberFormat="1" applyFont="1" applyFill="1" applyBorder="1" applyAlignment="1">
      <alignment horizontal="center" vertical="center" wrapText="1"/>
    </xf>
    <xf numFmtId="0" fontId="4" fillId="3" borderId="9" xfId="0" applyNumberFormat="1" applyFont="1" applyFill="1" applyBorder="1" applyAlignment="1">
      <alignment horizontal="center" vertical="center" wrapText="1"/>
    </xf>
    <xf numFmtId="0" fontId="4" fillId="5" borderId="8" xfId="0" applyNumberFormat="1" applyFont="1" applyFill="1" applyBorder="1" applyAlignment="1">
      <alignment horizontal="center" vertical="center" wrapText="1"/>
    </xf>
    <xf numFmtId="0" fontId="4" fillId="5" borderId="10" xfId="0" applyNumberFormat="1" applyFont="1" applyFill="1" applyBorder="1" applyAlignment="1">
      <alignment horizontal="center" vertical="center" wrapText="1"/>
    </xf>
    <xf numFmtId="0" fontId="4" fillId="5" borderId="9" xfId="0" applyNumberFormat="1" applyFont="1" applyFill="1" applyBorder="1" applyAlignment="1">
      <alignment horizontal="center" vertical="center" wrapText="1"/>
    </xf>
    <xf numFmtId="0" fontId="4" fillId="4" borderId="8" xfId="0" applyNumberFormat="1" applyFont="1" applyFill="1" applyBorder="1" applyAlignment="1">
      <alignment horizontal="center" vertical="center" wrapText="1"/>
    </xf>
    <xf numFmtId="0" fontId="4" fillId="4" borderId="9" xfId="0" applyNumberFormat="1" applyFont="1" applyFill="1" applyBorder="1" applyAlignment="1">
      <alignment horizontal="center" vertical="center" wrapText="1"/>
    </xf>
    <xf numFmtId="0" fontId="4" fillId="4" borderId="10" xfId="0" applyNumberFormat="1" applyFont="1" applyFill="1" applyBorder="1" applyAlignment="1">
      <alignment horizontal="center" vertical="center" wrapText="1"/>
    </xf>
    <xf numFmtId="3" fontId="2" fillId="7" borderId="5" xfId="0" applyNumberFormat="1" applyFont="1" applyFill="1" applyBorder="1" applyAlignment="1">
      <alignment horizontal="center" vertical="center"/>
    </xf>
    <xf numFmtId="3" fontId="2" fillId="7" borderId="35" xfId="0" applyNumberFormat="1" applyFont="1" applyFill="1" applyBorder="1" applyAlignment="1">
      <alignment horizontal="center" vertical="center"/>
    </xf>
    <xf numFmtId="165" fontId="2" fillId="7" borderId="36" xfId="0" applyNumberFormat="1" applyFont="1" applyFill="1" applyBorder="1" applyAlignment="1">
      <alignment horizontal="center" vertical="center"/>
    </xf>
    <xf numFmtId="165" fontId="2" fillId="7" borderId="37" xfId="0" applyNumberFormat="1" applyFont="1" applyFill="1" applyBorder="1" applyAlignment="1">
      <alignment horizontal="center" vertical="center"/>
    </xf>
    <xf numFmtId="165" fontId="2" fillId="7" borderId="38" xfId="0" applyNumberFormat="1" applyFont="1" applyFill="1" applyBorder="1" applyAlignment="1">
      <alignment horizontal="center" vertical="center"/>
    </xf>
    <xf numFmtId="3" fontId="2" fillId="8" borderId="5" xfId="0" applyNumberFormat="1" applyFont="1" applyFill="1" applyBorder="1" applyAlignment="1">
      <alignment horizontal="center" vertical="center"/>
    </xf>
    <xf numFmtId="3" fontId="2" fillId="8" borderId="35" xfId="0" applyNumberFormat="1" applyFont="1" applyFill="1" applyBorder="1" applyAlignment="1">
      <alignment horizontal="center" vertical="center"/>
    </xf>
    <xf numFmtId="165" fontId="2" fillId="8" borderId="36" xfId="0" applyNumberFormat="1" applyFont="1" applyFill="1" applyBorder="1" applyAlignment="1">
      <alignment horizontal="center" vertical="center"/>
    </xf>
    <xf numFmtId="165" fontId="2" fillId="8" borderId="37" xfId="0" applyNumberFormat="1" applyFont="1" applyFill="1" applyBorder="1" applyAlignment="1">
      <alignment horizontal="center" vertical="center"/>
    </xf>
    <xf numFmtId="165" fontId="2" fillId="8" borderId="38" xfId="0" applyNumberFormat="1" applyFont="1" applyFill="1" applyBorder="1" applyAlignment="1">
      <alignment horizontal="center" vertical="center"/>
    </xf>
    <xf numFmtId="3" fontId="2" fillId="9" borderId="5" xfId="0" applyNumberFormat="1" applyFont="1" applyFill="1" applyBorder="1" applyAlignment="1">
      <alignment horizontal="center" vertical="center"/>
    </xf>
    <xf numFmtId="3" fontId="2" fillId="9" borderId="35" xfId="0" applyNumberFormat="1" applyFont="1" applyFill="1" applyBorder="1" applyAlignment="1">
      <alignment horizontal="center" vertical="center"/>
    </xf>
    <xf numFmtId="3" fontId="2" fillId="9" borderId="38" xfId="0" applyNumberFormat="1" applyFont="1" applyFill="1" applyBorder="1" applyAlignment="1">
      <alignment horizontal="center" vertical="center"/>
    </xf>
    <xf numFmtId="9" fontId="2" fillId="7" borderId="38" xfId="0" applyNumberFormat="1" applyFont="1" applyFill="1" applyBorder="1" applyAlignment="1">
      <alignment horizontal="center" vertical="center"/>
    </xf>
    <xf numFmtId="3" fontId="2" fillId="10" borderId="5" xfId="0" applyNumberFormat="1" applyFont="1" applyFill="1" applyBorder="1" applyAlignment="1">
      <alignment horizontal="center" vertical="center"/>
    </xf>
    <xf numFmtId="3" fontId="2" fillId="10" borderId="35" xfId="0" applyNumberFormat="1" applyFont="1" applyFill="1" applyBorder="1" applyAlignment="1">
      <alignment horizontal="center" vertical="center"/>
    </xf>
    <xf numFmtId="3" fontId="2" fillId="10" borderId="38" xfId="0" applyNumberFormat="1" applyFont="1" applyFill="1" applyBorder="1" applyAlignment="1">
      <alignment horizontal="center" vertical="center"/>
    </xf>
    <xf numFmtId="0" fontId="17" fillId="2" borderId="1" xfId="0" applyNumberFormat="1" applyFont="1" applyFill="1" applyBorder="1" applyAlignment="1">
      <alignment horizontal="center" vertical="center"/>
    </xf>
    <xf numFmtId="0" fontId="17" fillId="2" borderId="1" xfId="0" applyNumberFormat="1" applyFont="1" applyFill="1" applyBorder="1" applyAlignment="1">
      <alignment horizontal="right" vertical="center" indent="1"/>
    </xf>
    <xf numFmtId="0" fontId="18" fillId="0" borderId="0" xfId="0" applyNumberFormat="1" applyFont="1" applyFill="1" applyBorder="1" applyAlignment="1">
      <alignment horizontal="right" vertical="center" indent="1"/>
    </xf>
    <xf numFmtId="0" fontId="19" fillId="14" borderId="40" xfId="0" applyNumberFormat="1" applyFont="1" applyFill="1" applyBorder="1" applyAlignment="1" applyProtection="1">
      <alignment horizontal="center" vertical="center"/>
      <protection locked="0"/>
    </xf>
    <xf numFmtId="0" fontId="19" fillId="14" borderId="41" xfId="0" applyNumberFormat="1" applyFont="1" applyFill="1" applyBorder="1" applyAlignment="1" applyProtection="1">
      <alignment horizontal="center" vertical="center"/>
      <protection locked="0"/>
    </xf>
    <xf numFmtId="0" fontId="19" fillId="14" borderId="42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NumberFormat="1" applyFont="1" applyFill="1" applyBorder="1" applyAlignment="1">
      <alignment horizontal="right" vertical="center"/>
    </xf>
    <xf numFmtId="0" fontId="0" fillId="13" borderId="43" xfId="0" applyNumberFormat="1" applyFont="1" applyFill="1" applyBorder="1" applyAlignment="1">
      <alignment horizontal="center" vertical="center"/>
    </xf>
    <xf numFmtId="0" fontId="0" fillId="13" borderId="0" xfId="0" applyNumberFormat="1" applyFont="1" applyFill="1" applyBorder="1" applyAlignment="1">
      <alignment horizontal="center" vertical="center"/>
    </xf>
    <xf numFmtId="0" fontId="0" fillId="13" borderId="44" xfId="0" applyNumberFormat="1" applyFont="1" applyFill="1" applyBorder="1" applyAlignment="1">
      <alignment horizontal="center" vertical="center"/>
    </xf>
    <xf numFmtId="0" fontId="0" fillId="13" borderId="45" xfId="0" applyNumberFormat="1" applyFont="1" applyFill="1" applyBorder="1" applyAlignment="1">
      <alignment horizontal="center" vertical="center"/>
    </xf>
    <xf numFmtId="0" fontId="0" fillId="13" borderId="46" xfId="0" applyNumberFormat="1" applyFont="1" applyFill="1" applyBorder="1" applyAlignment="1">
      <alignment horizontal="center" vertical="center"/>
    </xf>
    <xf numFmtId="0" fontId="0" fillId="13" borderId="47" xfId="0" applyNumberFormat="1" applyFont="1" applyFill="1" applyBorder="1" applyAlignment="1">
      <alignment horizontal="center" vertical="center"/>
    </xf>
    <xf numFmtId="0" fontId="15" fillId="7" borderId="48" xfId="0" applyNumberFormat="1" applyFont="1" applyFill="1" applyBorder="1" applyAlignment="1">
      <alignment horizontal="center" vertical="center"/>
    </xf>
    <xf numFmtId="3" fontId="20" fillId="13" borderId="0" xfId="0" applyNumberFormat="1" applyFont="1" applyFill="1" applyBorder="1" applyAlignment="1">
      <alignment horizontal="center" vertical="center"/>
    </xf>
    <xf numFmtId="0" fontId="16" fillId="13" borderId="0" xfId="0" applyNumberFormat="1" applyFont="1" applyFill="1" applyBorder="1" applyAlignment="1">
      <alignment horizontal="center" vertical="center"/>
    </xf>
    <xf numFmtId="171" fontId="7" fillId="13" borderId="0" xfId="0" applyNumberFormat="1" applyFont="1" applyFill="1" applyBorder="1" applyAlignment="1">
      <alignment horizontal="center" vertical="center"/>
    </xf>
    <xf numFmtId="172" fontId="21" fillId="13" borderId="46" xfId="0" applyNumberFormat="1" applyFont="1" applyFill="1" applyBorder="1" applyAlignment="1">
      <alignment horizontal="center" vertical="center"/>
    </xf>
    <xf numFmtId="0" fontId="15" fillId="8" borderId="48" xfId="0" applyNumberFormat="1" applyFont="1" applyFill="1" applyBorder="1" applyAlignment="1">
      <alignment horizontal="center" vertical="center"/>
    </xf>
    <xf numFmtId="173" fontId="7" fillId="13" borderId="0" xfId="0" applyNumberFormat="1" applyFont="1" applyFill="1" applyBorder="1" applyAlignment="1">
      <alignment horizontal="center" vertical="center"/>
    </xf>
    <xf numFmtId="0" fontId="15" fillId="9" borderId="48" xfId="0" applyNumberFormat="1" applyFont="1" applyFill="1" applyBorder="1" applyAlignment="1">
      <alignment horizontal="center" vertical="center"/>
    </xf>
    <xf numFmtId="174" fontId="7" fillId="13" borderId="0" xfId="0" applyNumberFormat="1" applyFont="1" applyFill="1" applyBorder="1" applyAlignment="1">
      <alignment horizontal="center" vertical="center"/>
    </xf>
    <xf numFmtId="9" fontId="20" fillId="13" borderId="0" xfId="0" applyNumberFormat="1" applyFont="1" applyFill="1" applyBorder="1" applyAlignment="1">
      <alignment horizontal="center" vertical="center"/>
    </xf>
    <xf numFmtId="175" fontId="7" fillId="13" borderId="0" xfId="0" applyNumberFormat="1" applyFont="1" applyFill="1" applyBorder="1" applyAlignment="1">
      <alignment horizontal="center" vertical="center"/>
    </xf>
    <xf numFmtId="0" fontId="15" fillId="10" borderId="48" xfId="0" applyNumberFormat="1" applyFont="1" applyFill="1" applyBorder="1" applyAlignment="1">
      <alignment horizontal="center" vertical="center"/>
    </xf>
    <xf numFmtId="176" fontId="7" fillId="13" borderId="0" xfId="0" applyNumberFormat="1" applyFont="1" applyFill="1" applyBorder="1" applyAlignment="1">
      <alignment horizontal="center" vertical="center"/>
    </xf>
    <xf numFmtId="0" fontId="22" fillId="0" borderId="0" xfId="0" applyNumberFormat="1" applyFont="1" applyFill="1" applyBorder="1" applyAlignment="1">
      <alignment horizontal="left" vertical="center"/>
    </xf>
    <xf numFmtId="0" fontId="23" fillId="16" borderId="28" xfId="0" applyFont="1" applyFill="1" applyBorder="1" applyAlignment="1">
      <alignment horizontal="center" vertical="center"/>
    </xf>
    <xf numFmtId="0" fontId="24" fillId="17" borderId="28" xfId="0" applyFont="1" applyFill="1" applyBorder="1" applyAlignment="1">
      <alignment horizontal="center" vertical="center"/>
    </xf>
    <xf numFmtId="0" fontId="24" fillId="18" borderId="28" xfId="0" applyFont="1" applyFill="1" applyBorder="1" applyAlignment="1">
      <alignment horizontal="center" vertical="center"/>
    </xf>
    <xf numFmtId="0" fontId="24" fillId="19" borderId="28" xfId="0" applyFont="1" applyFill="1" applyBorder="1" applyAlignment="1">
      <alignment horizontal="center" vertical="center"/>
    </xf>
    <xf numFmtId="0" fontId="24" fillId="20" borderId="28" xfId="0" applyFont="1" applyFill="1" applyBorder="1" applyAlignment="1">
      <alignment horizontal="center" vertical="center"/>
    </xf>
    <xf numFmtId="0" fontId="24" fillId="21" borderId="28" xfId="0" applyFont="1" applyFill="1" applyBorder="1" applyAlignment="1">
      <alignment horizontal="center" vertical="center"/>
    </xf>
    <xf numFmtId="0" fontId="24" fillId="22" borderId="28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/>
    </xf>
  </cellXfs>
  <cellStyles count="1">
    <cellStyle name="Normal" xfId="0" builtinId="0"/>
  </cellStyles>
  <dxfs count="10"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2F7D4E"/>
      </font>
      <fill>
        <patternFill>
          <bgColor rgb="FFE2EFD9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2F7D4E"/>
      </font>
    </dxf>
    <dxf>
      <font>
        <b/>
        <color rgb="FFC00000"/>
      </font>
    </dxf>
    <dxf>
      <font>
        <b/>
        <color rgb="FFC98A00"/>
      </font>
    </dxf>
    <dxf>
      <font>
        <b/>
        <color rgb="FF000000"/>
      </font>
      <fill>
        <patternFill>
          <bgColor rgb="FFD9D9D9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99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strRef>
          <c:f>calculos!$AF$19</c:f>
          <c:strCache>
            <c:ptCount val="1"/>
            <c:pt idx="0">
              <c:v>Veículos por dia · recebidos x expedidos — todos os clientes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404040"/>
              </a:solidFill>
              <a:latin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Recebidos (IN)</c:v>
          </c:tx>
          <c:spPr>
            <a:solidFill>
              <a:srgbClr val="E01E1E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calculos!$C$12:$C$42</c:f>
              <c:numCache>
                <c:formatCode>General</c:formatCode>
                <c:ptCount val="30"/>
                <c:pt idx="0">
                  <c:v>24</c:v>
                </c:pt>
                <c:pt idx="1">
                  <c:v>15</c:v>
                </c:pt>
                <c:pt idx="2">
                  <c:v>25</c:v>
                </c:pt>
                <c:pt idx="3">
                  <c:v>20</c:v>
                </c:pt>
                <c:pt idx="4">
                  <c:v>3</c:v>
                </c:pt>
                <c:pt idx="5">
                  <c:v>4</c:v>
                </c:pt>
                <c:pt idx="6">
                  <c:v>16</c:v>
                </c:pt>
                <c:pt idx="7">
                  <c:v>19</c:v>
                </c:pt>
                <c:pt idx="8">
                  <c:v>22</c:v>
                </c:pt>
                <c:pt idx="9">
                  <c:v>29</c:v>
                </c:pt>
                <c:pt idx="10">
                  <c:v>28</c:v>
                </c:pt>
                <c:pt idx="11">
                  <c:v>0</c:v>
                </c:pt>
                <c:pt idx="12">
                  <c:v>6</c:v>
                </c:pt>
                <c:pt idx="13">
                  <c:v>21</c:v>
                </c:pt>
                <c:pt idx="14">
                  <c:v>18</c:v>
                </c:pt>
                <c:pt idx="15">
                  <c:v>15</c:v>
                </c:pt>
                <c:pt idx="16">
                  <c:v>19</c:v>
                </c:pt>
                <c:pt idx="17">
                  <c:v>22</c:v>
                </c:pt>
                <c:pt idx="18">
                  <c:v>0</c:v>
                </c:pt>
                <c:pt idx="19">
                  <c:v>2</c:v>
                </c:pt>
                <c:pt idx="20">
                  <c:v>11</c:v>
                </c:pt>
                <c:pt idx="21">
                  <c:v>20</c:v>
                </c:pt>
                <c:pt idx="22">
                  <c:v>35</c:v>
                </c:pt>
                <c:pt idx="23">
                  <c:v>27</c:v>
                </c:pt>
                <c:pt idx="24">
                  <c:v>20</c:v>
                </c:pt>
                <c:pt idx="25">
                  <c:v>4</c:v>
                </c:pt>
                <c:pt idx="26">
                  <c:v>0</c:v>
                </c:pt>
                <c:pt idx="27">
                  <c:v>15</c:v>
                </c:pt>
                <c:pt idx="28">
                  <c:v>18</c:v>
                </c:pt>
                <c:pt idx="29">
                  <c:v>0</c:v>
                </c:pt>
              </c:numCache>
            </c:numRef>
          </c:val>
        </c:ser>
        <c:ser>
          <c:idx val="1"/>
          <c:order val="1"/>
          <c:tx>
            <c:v>Expedidos (OUT)</c:v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calculos!$F$12:$F$42</c:f>
              <c:numCache>
                <c:formatCode>General</c:formatCode>
                <c:ptCount val="30"/>
                <c:pt idx="0">
                  <c:v>34</c:v>
                </c:pt>
                <c:pt idx="1">
                  <c:v>30</c:v>
                </c:pt>
                <c:pt idx="2">
                  <c:v>33</c:v>
                </c:pt>
                <c:pt idx="3">
                  <c:v>36</c:v>
                </c:pt>
                <c:pt idx="4">
                  <c:v>18</c:v>
                </c:pt>
                <c:pt idx="5">
                  <c:v>17</c:v>
                </c:pt>
                <c:pt idx="6">
                  <c:v>29</c:v>
                </c:pt>
                <c:pt idx="7">
                  <c:v>40</c:v>
                </c:pt>
                <c:pt idx="8">
                  <c:v>27</c:v>
                </c:pt>
                <c:pt idx="9">
                  <c:v>26</c:v>
                </c:pt>
                <c:pt idx="10">
                  <c:v>54</c:v>
                </c:pt>
                <c:pt idx="11">
                  <c:v>11</c:v>
                </c:pt>
                <c:pt idx="12">
                  <c:v>17</c:v>
                </c:pt>
                <c:pt idx="13">
                  <c:v>42</c:v>
                </c:pt>
                <c:pt idx="14">
                  <c:v>20</c:v>
                </c:pt>
                <c:pt idx="15">
                  <c:v>23</c:v>
                </c:pt>
                <c:pt idx="16">
                  <c:v>28</c:v>
                </c:pt>
                <c:pt idx="17">
                  <c:v>22</c:v>
                </c:pt>
                <c:pt idx="18">
                  <c:v>0</c:v>
                </c:pt>
                <c:pt idx="19">
                  <c:v>11</c:v>
                </c:pt>
                <c:pt idx="20">
                  <c:v>17</c:v>
                </c:pt>
                <c:pt idx="21">
                  <c:v>19</c:v>
                </c:pt>
                <c:pt idx="22">
                  <c:v>20</c:v>
                </c:pt>
                <c:pt idx="23">
                  <c:v>20</c:v>
                </c:pt>
                <c:pt idx="24">
                  <c:v>37</c:v>
                </c:pt>
                <c:pt idx="25">
                  <c:v>7</c:v>
                </c:pt>
                <c:pt idx="26">
                  <c:v>11</c:v>
                </c:pt>
                <c:pt idx="27">
                  <c:v>38</c:v>
                </c:pt>
                <c:pt idx="28">
                  <c:v>15</c:v>
                </c:pt>
                <c:pt idx="29">
                  <c:v>0</c:v>
                </c:pt>
              </c:numCache>
            </c:numRef>
          </c:val>
        </c:ser>
        <c:gapWidth val="60"/>
        <c:overlap val="-10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strRef>
          <c:f>calculos!$AF$20</c:f>
          <c:strCache>
            <c:ptCount val="1"/>
            <c:pt idx="0">
              <c:v>Taxa de ocupação por dia — todos os clientes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404040"/>
              </a:solidFill>
              <a:latin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Taxa de ocupação</c:v>
          </c:tx>
          <c:spPr>
            <a:solidFill>
              <a:srgbClr val="E01E1E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calculos!$N$12:$N$42</c:f>
              <c:numCache>
                <c:formatCode>General</c:formatCode>
                <c:ptCount val="30"/>
                <c:pt idx="0">
                  <c:v>0.633174386920981</c:v>
                </c:pt>
                <c:pt idx="1">
                  <c:v>0.550579019073569</c:v>
                </c:pt>
                <c:pt idx="2">
                  <c:v>0.67574931880109</c:v>
                </c:pt>
                <c:pt idx="3">
                  <c:v>0.524863760217984</c:v>
                </c:pt>
                <c:pt idx="4">
                  <c:v>0.556198910081744</c:v>
                </c:pt>
                <c:pt idx="5">
                  <c:v>0.588555858310627</c:v>
                </c:pt>
                <c:pt idx="6">
                  <c:v>0.549557220708447</c:v>
                </c:pt>
                <c:pt idx="7">
                  <c:v>0.571014986376022</c:v>
                </c:pt>
                <c:pt idx="8">
                  <c:v>0.515156675749319</c:v>
                </c:pt>
                <c:pt idx="9">
                  <c:v>0.590599455040872</c:v>
                </c:pt>
                <c:pt idx="10">
                  <c:v>0.553303814713896</c:v>
                </c:pt>
                <c:pt idx="11">
                  <c:v>0.628235694822888</c:v>
                </c:pt>
                <c:pt idx="12">
                  <c:v>0.64458446866485</c:v>
                </c:pt>
                <c:pt idx="13">
                  <c:v>0.618358310626703</c:v>
                </c:pt>
                <c:pt idx="14">
                  <c:v>0.616144414168937</c:v>
                </c:pt>
                <c:pt idx="15">
                  <c:v>0.603371934604905</c:v>
                </c:pt>
                <c:pt idx="16">
                  <c:v>0.529972752043597</c:v>
                </c:pt>
                <c:pt idx="17">
                  <c:v>0.615974114441417</c:v>
                </c:pt>
                <c:pt idx="18">
                  <c:v>0.615974114441417</c:v>
                </c:pt>
                <c:pt idx="19">
                  <c:v>0.619891008174387</c:v>
                </c:pt>
                <c:pt idx="20">
                  <c:v>0.676430517711172</c:v>
                </c:pt>
                <c:pt idx="21">
                  <c:v>0.651907356948229</c:v>
                </c:pt>
                <c:pt idx="22">
                  <c:v>0.561137602179837</c:v>
                </c:pt>
                <c:pt idx="23">
                  <c:v>0.637091280653951</c:v>
                </c:pt>
                <c:pt idx="24">
                  <c:v>0.649693460490463</c:v>
                </c:pt>
                <c:pt idx="25">
                  <c:v>0.635899182561308</c:v>
                </c:pt>
                <c:pt idx="26">
                  <c:v>0.533038147138965</c:v>
                </c:pt>
                <c:pt idx="27">
                  <c:v>0.474625340599455</c:v>
                </c:pt>
                <c:pt idx="28">
                  <c:v>0.719856948228883</c:v>
                </c:pt>
              </c:numCache>
            </c:numRef>
          </c:val>
        </c:ser>
        <c:gapWidth val="40"/>
        <c:axId val="101"/>
        <c:axId val="102"/>
      </c:barChart>
      <c:lineChart>
        <c:grouping val="standard"/>
        <c:varyColors val="0"/>
        <c:ser>
          <c:idx val="1"/>
          <c:order val="1"/>
          <c:tx>
            <c:v>Atenção 70%</c:v>
          </c:tx>
          <c:spPr>
            <a:ln w="19050" cap="rnd">
              <a:solidFill>
                <a:srgbClr val="C98A00"/>
              </a:solidFill>
              <a:prstDash val="dash"/>
              <a:round/>
            </a:ln>
          </c:spPr>
          <c:marker>
            <c:symbol val="none"/>
          </c:marker>
          <c:cat>
            <c:numRef>
              <c:f>calculos!$A$12:$A$42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calculos!$Y$12:$Y$42</c:f>
              <c:numCache>
                <c:formatCode>General</c:formatCode>
                <c:ptCount val="30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</c:numCache>
            </c:numRef>
          </c:val>
          <c:smooth val="0"/>
        </c:ser>
        <c:ser>
          <c:idx val="2"/>
          <c:order val="2"/>
          <c:tx>
            <c:v>Crítico 90%</c:v>
          </c:tx>
          <c:spPr>
            <a:ln w="19050" cap="rnd">
              <a:solidFill>
                <a:srgbClr val="7B0000"/>
              </a:solidFill>
              <a:prstDash val="dash"/>
              <a:round/>
            </a:ln>
          </c:spPr>
          <c:marker>
            <c:symbol val="none"/>
          </c:marker>
          <c:cat>
            <c:numRef>
              <c:f>calculos!$A$12:$A$42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calculos!$Z$12:$Z$42</c:f>
              <c:numCache>
                <c:formatCode>General</c:formatCode>
                <c:ptCount val="30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</c:numCache>
            </c:numRef>
          </c:val>
          <c:smooth val="0"/>
        </c:ser>
        <c:marker val="1"/>
        <c:axId val="101"/>
        <c:axId val="102"/>
      </c:line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strRef>
          <c:f>calculos!$AF$21</c:f>
          <c:strCache>
            <c:ptCount val="1"/>
            <c:pt idx="0">
              <c:v>Toneladas por semana · IN x OUT — todos os clientes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404040"/>
              </a:solidFill>
              <a:latin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</c:v>
          </c:tx>
          <c:spPr>
            <a:solidFill>
              <a:srgbClr val="E01E1E"/>
            </a:solidFill>
            <a:ln>
              <a:noFill/>
            </a:ln>
          </c:spPr>
          <c:invertIfNegative val="0"/>
          <c:dLbls>
            <c:numFmt formatCode="#,##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calculos!$F$77:$F$81</c:f>
              <c:strCache>
                <c:ptCount val="5"/>
                <c:pt idx="0">
                  <c:v>Sem 1 (01–07)</c:v>
                </c:pt>
                <c:pt idx="1">
                  <c:v>Sem 2 (08–14)</c:v>
                </c:pt>
                <c:pt idx="2">
                  <c:v>Sem 3 (15–21)</c:v>
                </c:pt>
                <c:pt idx="3">
                  <c:v>Sem 4 (22–28)</c:v>
                </c:pt>
                <c:pt idx="4">
                  <c:v>Sem 5 (29–30)</c:v>
                </c:pt>
              </c:strCache>
            </c:strRef>
          </c:cat>
          <c:val>
            <c:numRef>
              <c:f>calculos!$I$77:$I$81</c:f>
              <c:numCache>
                <c:formatCode>General</c:formatCode>
                <c:ptCount val="5"/>
                <c:pt idx="0">
                  <c:v>1869.26</c:v>
                </c:pt>
                <c:pt idx="1">
                  <c:v>2196.65</c:v>
                </c:pt>
                <c:pt idx="2">
                  <c:v>1290.73</c:v>
                </c:pt>
                <c:pt idx="3">
                  <c:v>1789.19</c:v>
                </c:pt>
                <c:pt idx="4">
                  <c:v>227.51</c:v>
                </c:pt>
              </c:numCache>
            </c:numRef>
          </c:val>
        </c:ser>
        <c:ser>
          <c:idx val="1"/>
          <c:order val="1"/>
          <c:tx>
            <c:v>OUT</c:v>
          </c:tx>
          <c:spPr>
            <a:solidFill>
              <a:srgbClr val="A6A6A6"/>
            </a:solidFill>
            <a:ln>
              <a:noFill/>
            </a:ln>
          </c:spPr>
          <c:invertIfNegative val="0"/>
          <c:dLbls>
            <c:numFmt formatCode="#,##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calculos!$F$77:$F$81</c:f>
              <c:strCache>
                <c:ptCount val="5"/>
                <c:pt idx="0">
                  <c:v>Sem 1 (01–07)</c:v>
                </c:pt>
                <c:pt idx="1">
                  <c:v>Sem 2 (08–14)</c:v>
                </c:pt>
                <c:pt idx="2">
                  <c:v>Sem 3 (15–21)</c:v>
                </c:pt>
                <c:pt idx="3">
                  <c:v>Sem 4 (22–28)</c:v>
                </c:pt>
                <c:pt idx="4">
                  <c:v>Sem 5 (29–30)</c:v>
                </c:pt>
              </c:strCache>
            </c:strRef>
          </c:cat>
          <c:val>
            <c:numRef>
              <c:f>calculos!$J$77:$J$81</c:f>
              <c:numCache>
                <c:formatCode>General</c:formatCode>
                <c:ptCount val="5"/>
                <c:pt idx="0">
                  <c:v>2403.75</c:v>
                </c:pt>
                <c:pt idx="1">
                  <c:v>2857.7</c:v>
                </c:pt>
                <c:pt idx="2">
                  <c:v>1297.46</c:v>
                </c:pt>
                <c:pt idx="3">
                  <c:v>1666.14</c:v>
                </c:pt>
                <c:pt idx="4">
                  <c:v>168.46</c:v>
                </c:pt>
              </c:numCache>
            </c:numRef>
          </c:val>
        </c:ser>
        <c:gapWidth val="70"/>
        <c:overlap val="-10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1"/>
        <c:axPos val="l"/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rich>
          <a:bodyPr/>
          <a:lstStyle/>
          <a:p>
            <a:pPr>
              <a:defRPr sz="1100" b="1"/>
            </a:pPr>
            <a:r>
              <a:rPr lang="pt-BR" sz="1100" b="1">
                <a:solidFill>
                  <a:srgbClr val="404040"/>
                </a:solidFill>
                <a:latin typeface="Calibri"/>
              </a:rPr>
              <a:t>Veículos por cliente no mês · recebidos x expedidos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Recebidos (IN)</c:v>
          </c:tx>
          <c:spPr>
            <a:solidFill>
              <a:srgbClr val="E01E1E"/>
            </a:solidFill>
            <a:ln>
              <a:noFill/>
            </a:ln>
          </c:spPr>
          <c:invertIfNegative val="0"/>
          <c:dLbls>
            <c:numFmt formatCode="#,##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calculos!$B$87:$F$87</c:f>
              <c:strCache>
                <c:ptCount val="5"/>
                <c:pt idx="0">
                  <c:v>Barry Callebaut</c:v>
                </c:pt>
                <c:pt idx="1">
                  <c:v>PMB</c:v>
                </c:pt>
                <c:pt idx="2">
                  <c:v>Nestlé</c:v>
                </c:pt>
                <c:pt idx="3">
                  <c:v>Mondelez</c:v>
                </c:pt>
                <c:pt idx="4">
                  <c:v>Gm</c:v>
                </c:pt>
              </c:strCache>
            </c:strRef>
          </c:cat>
          <c:val>
            <c:numRef>
              <c:f>calculos!$B$88:$F$88</c:f>
              <c:numCache>
                <c:formatCode>General</c:formatCode>
                <c:ptCount val="5"/>
                <c:pt idx="0">
                  <c:v>84</c:v>
                </c:pt>
                <c:pt idx="1">
                  <c:v>102</c:v>
                </c:pt>
                <c:pt idx="2">
                  <c:v>104</c:v>
                </c:pt>
                <c:pt idx="3">
                  <c:v>88</c:v>
                </c:pt>
                <c:pt idx="4">
                  <c:v>80</c:v>
                </c:pt>
              </c:numCache>
            </c:numRef>
          </c:val>
        </c:ser>
        <c:ser>
          <c:idx val="1"/>
          <c:order val="1"/>
          <c:tx>
            <c:v>Expedidos (OUT)</c:v>
          </c:tx>
          <c:spPr>
            <a:solidFill>
              <a:srgbClr val="A6A6A6"/>
            </a:solidFill>
            <a:ln>
              <a:noFill/>
            </a:ln>
          </c:spPr>
          <c:invertIfNegative val="0"/>
          <c:dLbls>
            <c:numFmt formatCode="#,##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calculos!$B$87:$F$87</c:f>
              <c:strCache>
                <c:ptCount val="5"/>
                <c:pt idx="0">
                  <c:v>Barry Callebaut</c:v>
                </c:pt>
                <c:pt idx="1">
                  <c:v>PMB</c:v>
                </c:pt>
                <c:pt idx="2">
                  <c:v>Nestlé</c:v>
                </c:pt>
                <c:pt idx="3">
                  <c:v>Mondelez</c:v>
                </c:pt>
                <c:pt idx="4">
                  <c:v>Gm</c:v>
                </c:pt>
              </c:strCache>
            </c:strRef>
          </c:cat>
          <c:val>
            <c:numRef>
              <c:f>calculos!$B$91:$F$91</c:f>
              <c:numCache>
                <c:formatCode>General</c:formatCode>
                <c:ptCount val="5"/>
                <c:pt idx="0">
                  <c:v>205</c:v>
                </c:pt>
                <c:pt idx="1">
                  <c:v>141</c:v>
                </c:pt>
                <c:pt idx="2">
                  <c:v>130</c:v>
                </c:pt>
                <c:pt idx="3">
                  <c:v>140</c:v>
                </c:pt>
                <c:pt idx="4">
                  <c:v>86</c:v>
                </c:pt>
              </c:numCache>
            </c:numRef>
          </c:val>
        </c:ser>
        <c:gapWidth val="50"/>
        <c:overlap val="-10"/>
        <c:axId val="101"/>
        <c:axId val="102"/>
      </c:barChart>
      <c:catAx>
        <c:axId val="10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10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1"/>
        <c:axPos val="b"/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chart" Target="../charts/chart1.xml"/><Relationship Id="rId8" Type="http://schemas.openxmlformats.org/officeDocument/2006/relationships/chart" Target="../charts/chart2.xml"/><Relationship Id="rId9" Type="http://schemas.openxmlformats.org/officeDocument/2006/relationships/chart" Target="../charts/chart3.xml"/><Relationship Id="rId10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47625</xdr:rowOff>
    </xdr:from>
    <xdr:ext cx="1152525" cy="323850"/>
    <xdr:pic>
      <xdr:nvPicPr>
        <xdr:cNvPr id="2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52525" cy="32385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5</xdr:row>
      <xdr:rowOff>57150</xdr:rowOff>
    </xdr:from>
    <xdr:ext cx="438150" cy="323850"/>
    <xdr:pic>
      <xdr:nvPicPr>
        <xdr:cNvPr id="3" name="Imagem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438150" cy="32385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5</xdr:row>
      <xdr:rowOff>57150</xdr:rowOff>
    </xdr:from>
    <xdr:ext cx="438150" cy="381000"/>
    <xdr:pic>
      <xdr:nvPicPr>
        <xdr:cNvPr id="4" name="Imagem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438150" cy="381000"/>
        </a:xfrm>
        <a:prstGeom prst="rect">
          <a:avLst/>
        </a:prstGeom>
      </xdr:spPr>
    </xdr:pic>
    <xdr:clientData/>
  </xdr:oneCellAnchor>
  <xdr:oneCellAnchor>
    <xdr:from>
      <xdr:col>11</xdr:col>
      <xdr:colOff>38100</xdr:colOff>
      <xdr:row>5</xdr:row>
      <xdr:rowOff>57150</xdr:rowOff>
    </xdr:from>
    <xdr:ext cx="438150" cy="381000"/>
    <xdr:pic>
      <xdr:nvPicPr>
        <xdr:cNvPr id="5" name="Imagem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438150" cy="381000"/>
        </a:xfrm>
        <a:prstGeom prst="rect">
          <a:avLst/>
        </a:prstGeom>
      </xdr:spPr>
    </xdr:pic>
    <xdr:clientData/>
  </xdr:oneCellAnchor>
  <xdr:oneCellAnchor>
    <xdr:from>
      <xdr:col>16</xdr:col>
      <xdr:colOff>38100</xdr:colOff>
      <xdr:row>5</xdr:row>
      <xdr:rowOff>57150</xdr:rowOff>
    </xdr:from>
    <xdr:ext cx="438150" cy="333375"/>
    <xdr:pic>
      <xdr:nvPicPr>
        <xdr:cNvPr id="6" name="Imagem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438150" cy="333375"/>
        </a:xfrm>
        <a:prstGeom prst="rect">
          <a:avLst/>
        </a:prstGeom>
      </xdr:spPr>
    </xdr:pic>
    <xdr:clientData/>
  </xdr:oneCellAnchor>
  <xdr:oneCellAnchor>
    <xdr:from>
      <xdr:col>21</xdr:col>
      <xdr:colOff>38100</xdr:colOff>
      <xdr:row>5</xdr:row>
      <xdr:rowOff>57150</xdr:rowOff>
    </xdr:from>
    <xdr:ext cx="438150" cy="438150"/>
    <xdr:pic>
      <xdr:nvPicPr>
        <xdr:cNvPr id="7" name="Imagem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0"/>
          <a:ext cx="438150" cy="43815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12</xdr:row>
      <xdr:rowOff>0</xdr:rowOff>
    </xdr:from>
    <xdr:to>
      <xdr:col>13</xdr:col>
      <xdr:colOff>0</xdr:colOff>
      <xdr:row>29</xdr:row>
      <xdr:rowOff>0</xdr:rowOff>
    </xdr:to>
    <xdr:graphicFrame macro="">
      <xdr:nvGraphicFramePr>
        <xdr:cNvPr id="8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  <xdr:twoCellAnchor editAs="oneCell">
    <xdr:from>
      <xdr:col>14</xdr:col>
      <xdr:colOff>0</xdr:colOff>
      <xdr:row>12</xdr:row>
      <xdr:rowOff>0</xdr:rowOff>
    </xdr:from>
    <xdr:to>
      <xdr:col>25</xdr:col>
      <xdr:colOff>0</xdr:colOff>
      <xdr:row>29</xdr:row>
      <xdr:rowOff>0</xdr:rowOff>
    </xdr:to>
    <xdr:graphicFrame macro="">
      <xdr:nvGraphicFramePr>
        <xdr:cNvPr id="9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8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13</xdr:col>
      <xdr:colOff>0</xdr:colOff>
      <xdr:row>47</xdr:row>
      <xdr:rowOff>0</xdr:rowOff>
    </xdr:to>
    <xdr:graphicFrame macro="">
      <xdr:nvGraphicFramePr>
        <xdr:cNvPr id="10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9"/>
        </a:graphicData>
      </a:graphic>
    </xdr:graphicFrame>
    <xdr:clientData/>
  </xdr:twoCellAnchor>
  <xdr:twoCellAnchor editAs="oneCell">
    <xdr:from>
      <xdr:col>14</xdr:col>
      <xdr:colOff>0</xdr:colOff>
      <xdr:row>30</xdr:row>
      <xdr:rowOff>0</xdr:rowOff>
    </xdr:from>
    <xdr:to>
      <xdr:col>25</xdr:col>
      <xdr:colOff>0</xdr:colOff>
      <xdr:row>47</xdr:row>
      <xdr:rowOff>0</xdr:rowOff>
    </xdr:to>
    <xdr:graphicFrame macro="">
      <xdr:nvGraphicFramePr>
        <xdr:cNvPr id="11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0</xdr:row>
      <xdr:rowOff>47625</xdr:rowOff>
    </xdr:from>
    <xdr:ext cx="1152525" cy="323850"/>
    <xdr:pic>
      <xdr:nvPicPr>
        <xdr:cNvPr id="2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52525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47625</xdr:rowOff>
    </xdr:from>
    <xdr:ext cx="1152525" cy="323850"/>
    <xdr:pic>
      <xdr:nvPicPr>
        <xdr:cNvPr id="2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52525" cy="32385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bBase" displayName="tbBase" ref="A2:S241" totalsRowShown="0">
  <autoFilter ref="A2:S241"/>
  <tableColumns count="19">
    <tableColumn id="1" name="Data"/>
    <tableColumn id="2" name="Cliente"/>
    <tableColumn id="3" name="IN Veículos Recebidos"/>
    <tableColumn id="4" name="IN Pallets Movimentados"/>
    <tableColumn id="5" name="IN Toneladas Movimentadas"/>
    <tableColumn id="6" name="OUT Veículos Expedidos"/>
    <tableColumn id="7" name="OUT Pallets Movimentados"/>
    <tableColumn id="8" name="OUT Toneladas Movimentadas"/>
    <tableColumn id="9" name="NC Incidentes"/>
    <tableColumn id="10" name="NC No show"/>
    <tableColumn id="11" name="NC Backlog"/>
    <tableColumn id="12" name="Posições Disponíveis"/>
    <tableColumn id="13" name="Posições Ocupadas"/>
    <tableColumn id="14" name="Efetivo Op."/>
    <tableColumn id="15" name="Falta"/>
    <tableColumn id="16" name="Folga"/>
    <tableColumn id="17" name="Férias"/>
    <tableColumn id="18" name="Desligamento"/>
    <tableColumn id="19" name="Modalidade"/>
  </tableColumns>
  <tableStyleInfo name="TableStyleLight1" showFirstColumn="0" showLastColumn="0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<Relationships xmlns="http://schemas.openxmlformats.org/package/2006/relationships"><Relationship Id="rIdTb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01E1E"/>
    <pageSetUpPr fitToPage="1"/>
  </sheetPr>
  <dimension ref="A1:Z48"/>
  <sheetViews>
    <sheetView showGridLines="0" tabSelected="1" zoomScale="90" zoomScaleNormal="90" workbookViewId="0"/>
  </sheetViews>
  <sheetFormatPr defaultRowHeight="15"/>
  <cols>
    <col min="1" max="1" width="1.5" customWidth="1"/>
    <col min="2" max="2" width="7.4" customWidth="1"/>
    <col min="3" max="3" width="7.4" customWidth="1"/>
    <col min="4" max="4" width="7.4" customWidth="1"/>
    <col min="5" max="5" width="7.4" customWidth="1"/>
    <col min="6" max="6" width="1.8" customWidth="1"/>
    <col min="7" max="7" width="7.4" customWidth="1"/>
    <col min="8" max="8" width="7.4" customWidth="1"/>
    <col min="9" max="9" width="7.4" customWidth="1"/>
    <col min="10" max="10" width="7.4" customWidth="1"/>
    <col min="11" max="11" width="1.8" customWidth="1"/>
    <col min="12" max="12" width="7.4" customWidth="1"/>
    <col min="13" max="13" width="7.4" customWidth="1"/>
    <col min="14" max="14" width="7.4" customWidth="1"/>
    <col min="15" max="15" width="7.4" customWidth="1"/>
    <col min="16" max="16" width="1.8" customWidth="1"/>
    <col min="17" max="17" width="7.4" customWidth="1"/>
    <col min="18" max="18" width="7.4" customWidth="1"/>
    <col min="19" max="19" width="7.4" customWidth="1"/>
    <col min="20" max="20" width="7.4" customWidth="1"/>
    <col min="21" max="21" width="1.8" customWidth="1"/>
    <col min="22" max="22" width="7.4" customWidth="1"/>
    <col min="23" max="23" width="7.4" customWidth="1"/>
    <col min="24" max="24" width="7.4" customWidth="1"/>
    <col min="25" max="25" width="7.4" customWidth="1"/>
    <col min="26" max="26" width="1.5" customWidth="1"/>
  </cols>
  <sheetData>
    <row r="1" ht="34.5" customHeight="1">
      <c r="A1" s="1"/>
      <c r="B1" s="1"/>
      <c r="C1" s="1"/>
      <c r="D1" s="1"/>
      <c r="E1" s="1"/>
      <c r="F1" s="1"/>
      <c r="G1" s="432" t="inlineStr">
        <is>
          <t xml:space="preserve">INDICADORES OPERACIONAIS</t>
        </is>
      </c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3" t="inlineStr">
        <is>
          <t xml:space="preserve">SETEMBRO · 2026</t>
        </is>
      </c>
      <c r="V1" s="433"/>
      <c r="W1" s="433"/>
      <c r="X1" s="433"/>
      <c r="Y1" s="433"/>
      <c r="Z1" s="433"/>
    </row>
    <row r="3" ht="26" customHeight="1">
      <c r="B3" s="434" t="inlineStr">
        <is>
          <t xml:space="preserve">CLIENTE  ▸</t>
        </is>
      </c>
      <c r="C3" s="434"/>
      <c r="D3" s="435" t="inlineStr">
        <is>
          <t xml:space="preserve">Todos</t>
        </is>
      </c>
      <c r="E3" s="436"/>
      <c r="F3" s="436"/>
      <c r="G3" s="436"/>
      <c r="H3" s="436"/>
      <c r="I3" s="437"/>
      <c r="Q3" s="438" t="str">
        <f>IF(calculos!$B$9=0,"Sem dados na Base para o mês escolhido","Dados até "&amp;TEXT(calculos!$C$7+calculos!$B$9-1,"dd/mm")&amp;"  ·  ▲▼ comparado a "&amp;LOWER(LEFT(calculos!$B$8,FIND("/",calculos!$B$8)-1))&amp;" (dias 1 a "&amp;calculos!$B$9&amp;")")</f>
        <v>Dados até 29/09  ·  ▲▼ comparado a agosto (dias 1 a 29)</v>
      </c>
      <c r="R3" s="438"/>
      <c r="S3" s="438"/>
      <c r="T3" s="438"/>
      <c r="U3" s="438"/>
      <c r="V3" s="438"/>
      <c r="W3" s="438"/>
      <c r="X3" s="438"/>
      <c r="Y3" s="438"/>
    </row>
    <row r="5" ht="22" customHeight="1">
      <c r="B5" s="445" t="inlineStr">
        <is>
          <t xml:space="preserve">RECEBIMENTO (IN)</t>
        </is>
      </c>
      <c r="C5" s="445"/>
      <c r="D5" s="445"/>
      <c r="E5" s="445"/>
      <c r="G5" s="450" t="inlineStr">
        <is>
          <t xml:space="preserve">EXPEDIÇÃO (OUT)</t>
        </is>
      </c>
      <c r="H5" s="450"/>
      <c r="I5" s="450"/>
      <c r="J5" s="450"/>
      <c r="L5" s="452" t="inlineStr">
        <is>
          <t xml:space="preserve">NÃO CONFORMIDADES</t>
        </is>
      </c>
      <c r="M5" s="452"/>
      <c r="N5" s="452"/>
      <c r="O5" s="452"/>
      <c r="Q5" s="445" t="inlineStr">
        <is>
          <t xml:space="preserve">OCUPAÇÃO (P.P)</t>
        </is>
      </c>
      <c r="R5" s="445"/>
      <c r="S5" s="445"/>
      <c r="T5" s="445"/>
      <c r="V5" s="456" t="inlineStr">
        <is>
          <t xml:space="preserve">GENTE</t>
        </is>
      </c>
      <c r="W5" s="456"/>
      <c r="X5" s="456"/>
      <c r="Y5" s="456"/>
    </row>
    <row r="6" ht="19" customHeight="1">
      <c r="B6" s="439"/>
      <c r="C6" s="446">
        <f>calculos!$C$43</f>
        <v>458</v>
      </c>
      <c r="D6" s="446"/>
      <c r="E6" s="446"/>
      <c r="G6" s="439"/>
      <c r="H6" s="446">
        <f>calculos!$F$43</f>
        <v>702</v>
      </c>
      <c r="I6" s="446"/>
      <c r="J6" s="446"/>
      <c r="L6" s="439"/>
      <c r="M6" s="446">
        <f>calculos!$I$43</f>
        <v>11</v>
      </c>
      <c r="N6" s="446"/>
      <c r="O6" s="446"/>
      <c r="Q6" s="439"/>
      <c r="R6" s="454">
        <f>calculos!$N$43</f>
        <v>0.719856948228883</v>
      </c>
      <c r="S6" s="454"/>
      <c r="T6" s="454"/>
      <c r="V6" s="439"/>
      <c r="W6" s="446">
        <f>calculos!$O$43</f>
        <v>26</v>
      </c>
      <c r="X6" s="446"/>
      <c r="Y6" s="446"/>
    </row>
    <row r="7" ht="19" customHeight="1">
      <c r="B7" s="439"/>
      <c r="C7" s="446"/>
      <c r="D7" s="446"/>
      <c r="E7" s="446"/>
      <c r="G7" s="439"/>
      <c r="H7" s="446"/>
      <c r="I7" s="446"/>
      <c r="J7" s="446"/>
      <c r="L7" s="439"/>
      <c r="M7" s="446"/>
      <c r="N7" s="446"/>
      <c r="O7" s="446"/>
      <c r="Q7" s="439"/>
      <c r="R7" s="454"/>
      <c r="S7" s="454"/>
      <c r="T7" s="454"/>
      <c r="V7" s="439"/>
      <c r="W7" s="446"/>
      <c r="X7" s="446"/>
      <c r="Y7" s="446"/>
    </row>
    <row r="8" ht="19" customHeight="1">
      <c r="B8" s="439"/>
      <c r="C8" s="446"/>
      <c r="D8" s="446"/>
      <c r="E8" s="446"/>
      <c r="G8" s="439"/>
      <c r="H8" s="446"/>
      <c r="I8" s="446"/>
      <c r="J8" s="446"/>
      <c r="L8" s="439"/>
      <c r="M8" s="446"/>
      <c r="N8" s="446"/>
      <c r="O8" s="446"/>
      <c r="Q8" s="439"/>
      <c r="R8" s="454"/>
      <c r="S8" s="454"/>
      <c r="T8" s="454"/>
      <c r="V8" s="439"/>
      <c r="W8" s="446"/>
      <c r="X8" s="446"/>
      <c r="Y8" s="446"/>
    </row>
    <row r="9" ht="15" customHeight="1">
      <c r="B9" s="447" t="inlineStr">
        <is>
          <t xml:space="preserve">veículos recebidos</t>
        </is>
      </c>
      <c r="C9" s="447"/>
      <c r="D9" s="447"/>
      <c r="E9" s="447"/>
      <c r="G9" s="447" t="inlineStr">
        <is>
          <t xml:space="preserve">veículos expedidos</t>
        </is>
      </c>
      <c r="H9" s="447"/>
      <c r="I9" s="447"/>
      <c r="J9" s="447"/>
      <c r="L9" s="447" t="inlineStr">
        <is>
          <t xml:space="preserve">incidentes no mês</t>
        </is>
      </c>
      <c r="M9" s="447"/>
      <c r="N9" s="447"/>
      <c r="O9" s="447"/>
      <c r="Q9" s="447" t="str">
        <f>"taxa de ocupação · "&amp;calculos!$N$50</f>
        <v>taxa de ocupação · atenção</v>
      </c>
      <c r="R9" s="447"/>
      <c r="S9" s="447"/>
      <c r="T9" s="447"/>
      <c r="V9" s="447" t="inlineStr">
        <is>
          <t xml:space="preserve">efetivo operacional</t>
        </is>
      </c>
      <c r="W9" s="447"/>
      <c r="X9" s="447"/>
      <c r="Y9" s="447"/>
    </row>
    <row r="10" ht="15" customHeight="1">
      <c r="B10" s="448">
        <f>calculos!$E$43</f>
        <v>7373.34</v>
      </c>
      <c r="C10" s="448"/>
      <c r="D10" s="448"/>
      <c r="E10" s="448"/>
      <c r="G10" s="451">
        <f>calculos!$H$43</f>
        <v>8393.51</v>
      </c>
      <c r="H10" s="451"/>
      <c r="I10" s="451"/>
      <c r="J10" s="451"/>
      <c r="L10" s="453">
        <f>calculos!$J$43</f>
        <v>0</v>
      </c>
      <c r="M10" s="453"/>
      <c r="N10" s="453"/>
      <c r="O10" s="453"/>
      <c r="Q10" s="455">
        <f>calculos!$M$43</f>
        <v>4227</v>
      </c>
      <c r="R10" s="455"/>
      <c r="S10" s="455"/>
      <c r="T10" s="455"/>
      <c r="V10" s="457">
        <f>calculos!$P$43</f>
        <v>0</v>
      </c>
      <c r="W10" s="457"/>
      <c r="X10" s="457"/>
      <c r="Y10" s="457"/>
    </row>
    <row r="11" ht="16" customHeight="1">
      <c r="B11" s="449">
        <f>calculos!$C$47</f>
        <v>-0.0213675213675214</v>
      </c>
      <c r="C11" s="449"/>
      <c r="D11" s="449"/>
      <c r="E11" s="449"/>
      <c r="G11" s="449">
        <f>calculos!$F$47</f>
        <v>0.00573065902578795</v>
      </c>
      <c r="H11" s="449"/>
      <c r="I11" s="449"/>
      <c r="J11" s="449"/>
      <c r="L11" s="449">
        <f>calculos!$I$47</f>
        <v>1.75</v>
      </c>
      <c r="M11" s="449"/>
      <c r="N11" s="449"/>
      <c r="O11" s="449"/>
      <c r="Q11" s="449">
        <f>calculos!$N$47</f>
        <v>0.0761201629327901</v>
      </c>
      <c r="R11" s="449"/>
      <c r="S11" s="449"/>
      <c r="T11" s="449"/>
      <c r="V11" s="449">
        <f>calculos!$O$47</f>
        <v>0</v>
      </c>
      <c r="W11" s="449"/>
      <c r="X11" s="449"/>
      <c r="Y11" s="449"/>
    </row>
    <row r="48">
      <c r="B48" s="458" t="inlineStr">
        <is>
          <t xml:space="preserve">Cartões e gráficos seguem o filtro de cliente (o ranking mostra todos). Detalhe dos 16 indicadores na aba “Quadro de Indicadores”. Fonte: Power Automate · IntraLog.</t>
        </is>
      </c>
      <c r="C48" s="458"/>
      <c r="D48" s="458"/>
      <c r="E48" s="458"/>
      <c r="F48" s="458"/>
      <c r="G48" s="458"/>
      <c r="H48" s="458"/>
      <c r="I48" s="458"/>
      <c r="J48" s="458"/>
      <c r="K48" s="458"/>
      <c r="L48" s="458"/>
      <c r="M48" s="458"/>
      <c r="N48" s="458"/>
      <c r="O48" s="458"/>
      <c r="P48" s="458"/>
      <c r="Q48" s="458"/>
      <c r="R48" s="458"/>
      <c r="S48" s="458"/>
      <c r="T48" s="458"/>
      <c r="U48" s="458"/>
      <c r="V48" s="458"/>
      <c r="W48" s="458"/>
      <c r="X48" s="458"/>
      <c r="Y48" s="458"/>
    </row>
  </sheetData>
  <mergeCells count="31">
    <mergeCell ref="G1:T1"/>
    <mergeCell ref="U1:Z1"/>
    <mergeCell ref="B3:C3"/>
    <mergeCell ref="D3:I3"/>
    <mergeCell ref="Q3:Y3"/>
    <mergeCell ref="B5:E5"/>
    <mergeCell ref="C6:E8"/>
    <mergeCell ref="B9:E9"/>
    <mergeCell ref="B10:E10"/>
    <mergeCell ref="B11:E11"/>
    <mergeCell ref="G5:J5"/>
    <mergeCell ref="H6:J8"/>
    <mergeCell ref="G9:J9"/>
    <mergeCell ref="G10:J10"/>
    <mergeCell ref="G11:J11"/>
    <mergeCell ref="L5:O5"/>
    <mergeCell ref="M6:O8"/>
    <mergeCell ref="L9:O9"/>
    <mergeCell ref="L10:O10"/>
    <mergeCell ref="L11:O11"/>
    <mergeCell ref="Q5:T5"/>
    <mergeCell ref="R6:T8"/>
    <mergeCell ref="Q9:T9"/>
    <mergeCell ref="Q10:T10"/>
    <mergeCell ref="Q11:T11"/>
    <mergeCell ref="V5:Y5"/>
    <mergeCell ref="W6:Y8"/>
    <mergeCell ref="V9:Y9"/>
    <mergeCell ref="V10:Y10"/>
    <mergeCell ref="V11:Y11"/>
    <mergeCell ref="B48:Y48"/>
  </mergeCells>
  <conditionalFormatting sqref="B11">
    <cfRule type="expression" dxfId="6" priority="1">
      <formula>AND(ISNUMBER(B11),B11&gt;0)</formula>
    </cfRule>
  </conditionalFormatting>
  <conditionalFormatting sqref="B11">
    <cfRule type="expression" dxfId="7" priority="2">
      <formula>AND(ISNUMBER(B11),B11&lt;0)</formula>
    </cfRule>
  </conditionalFormatting>
  <conditionalFormatting sqref="G11">
    <cfRule type="expression" dxfId="6" priority="3">
      <formula>AND(ISNUMBER(G11),G11&gt;0)</formula>
    </cfRule>
  </conditionalFormatting>
  <conditionalFormatting sqref="G11">
    <cfRule type="expression" dxfId="7" priority="4">
      <formula>AND(ISNUMBER(G11),G11&lt;0)</formula>
    </cfRule>
  </conditionalFormatting>
  <conditionalFormatting sqref="L11">
    <cfRule type="expression" dxfId="6" priority="5">
      <formula>AND(ISNUMBER(L11),L11&lt;0)</formula>
    </cfRule>
  </conditionalFormatting>
  <conditionalFormatting sqref="L11">
    <cfRule type="expression" dxfId="7" priority="6">
      <formula>AND(ISNUMBER(L11),L11&gt;0)</formula>
    </cfRule>
  </conditionalFormatting>
  <conditionalFormatting sqref="R6">
    <cfRule type="expression" dxfId="7" priority="7" stopIfTrue="1">
      <formula>AND(ISNUMBER(R6),R6&gt;=calculos!$B$6)</formula>
    </cfRule>
  </conditionalFormatting>
  <conditionalFormatting sqref="R6">
    <cfRule type="expression" dxfId="8" priority="8" stopIfTrue="1">
      <formula>AND(ISNUMBER(R6),R6&gt;=calculos!$B$5)</formula>
    </cfRule>
  </conditionalFormatting>
  <conditionalFormatting sqref="R6">
    <cfRule type="expression" dxfId="6" priority="9">
      <formula>ISNUMBER(R6)</formula>
    </cfRule>
  </conditionalFormatting>
  <dataValidations count="2">
    <dataValidation type="list" allowBlank="1" showInputMessage="1" showErrorMessage="1" errorTitle="Cliente" error="Escolha um cliente da lista." promptTitle="Cliente" prompt="Escolha um cliente ou Todos. A página inteira se atualiza." sqref="D3">
      <formula1>calculos!$AD$12:$AD$17</formula1>
    </dataValidation>
    <dataValidation type="list" allowBlank="0" showInputMessage="1" showErrorMessage="1" errorTitle="Mês / ano" error="Escolha um mês da lista." promptTitle="Mês / ano" prompt="Escolha o mês / ano dos Indicadores. Os dados vêm da aba Base." sqref="U1">
      <formula1>calculos!$AH$12:$AH$35</formula1>
    </dataValidation>
  </dataValidations>
  <pageMargins left="0.25" right="0.25" top="0.4" bottom="0.4" header="0.2" footer="0.2"/>
  <pageSetup paperSize="9" orientation="landscape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00000"/>
    <pageSetUpPr fitToPage="1"/>
  </sheetPr>
  <dimension ref="A1:AK95"/>
  <sheetViews>
    <sheetView showGridLines="0" zoomScale="100" zoomScaleNormal="100" workbookViewId="0">
      <pane xSplit="5" ySplit="4" topLeftCell="F5" activePane="bottomRight" state="frozen"/>
      <selection pane="bottomRight" activeCell="F5" sqref="F5"/>
    </sheetView>
  </sheetViews>
  <sheetFormatPr defaultRowHeight="15"/>
  <cols>
    <col min="1" max="1" width="13" customWidth="1"/>
    <col min="2" max="2" width="17.3" customWidth="1"/>
    <col min="3" max="3" width="22.3" customWidth="1"/>
    <col min="4" max="4" width="8" customWidth="1"/>
    <col min="5" max="5" width="1.6" customWidth="1"/>
    <col min="6" max="6" width="6.3" customWidth="1"/>
    <col min="7" max="7" width="6.3" customWidth="1"/>
    <col min="8" max="8" width="6.3" customWidth="1"/>
    <col min="9" max="9" width="6.3" customWidth="1"/>
    <col min="10" max="10" width="6.3" customWidth="1"/>
    <col min="11" max="11" width="6.3" customWidth="1"/>
    <col min="12" max="12" width="6.3" customWidth="1"/>
    <col min="13" max="13" width="6.3" customWidth="1"/>
    <col min="14" max="14" width="6.3" customWidth="1"/>
    <col min="15" max="15" width="6.3" customWidth="1"/>
    <col min="16" max="16" width="6.3" customWidth="1"/>
    <col min="17" max="17" width="6.3" customWidth="1"/>
    <col min="18" max="18" width="6.3" customWidth="1"/>
    <col min="19" max="19" width="6.3" customWidth="1"/>
    <col min="20" max="20" width="6.3" customWidth="1"/>
    <col min="21" max="21" width="6.3" customWidth="1"/>
    <col min="22" max="22" width="6.3" customWidth="1"/>
    <col min="23" max="23" width="6.3" customWidth="1"/>
    <col min="24" max="24" width="6.3" customWidth="1"/>
    <col min="25" max="25" width="6.3" customWidth="1"/>
    <col min="26" max="26" width="6.3" customWidth="1"/>
    <col min="27" max="27" width="6.3" customWidth="1"/>
    <col min="28" max="28" width="6.3" customWidth="1"/>
    <col min="29" max="29" width="6.3" customWidth="1"/>
    <col min="30" max="30" width="6.3" customWidth="1"/>
    <col min="31" max="31" width="6.3" customWidth="1"/>
    <col min="32" max="32" width="6.3" customWidth="1"/>
    <col min="33" max="33" width="6.3" customWidth="1"/>
    <col min="34" max="34" width="6.3" customWidth="1"/>
    <col min="35" max="35" width="6.3" customWidth="1"/>
    <col min="36" max="36" width="6.3" customWidth="1"/>
    <col min="37" max="37" width="9.5" customWidth="1"/>
  </cols>
  <sheetData>
    <row r="1" ht="34.5" customHeight="1">
      <c r="A1" s="1"/>
      <c r="B1" s="1"/>
      <c r="C1" s="1"/>
      <c r="D1" s="1"/>
      <c r="E1" s="1"/>
      <c r="F1" s="2" t="inlineStr">
        <is>
          <t xml:space="preserve">MONITORAMENTO DIÁRIO DE PERFORMANCE</t>
        </is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 t="inlineStr">
        <is>
          <t xml:space="preserve">SETEMBRO · 2026</t>
        </is>
      </c>
      <c r="AF1" s="3"/>
      <c r="AG1" s="3"/>
      <c r="AH1" s="3"/>
      <c r="AI1" s="3"/>
      <c r="AJ1" s="3"/>
      <c r="AK1" s="3"/>
    </row>
    <row r="2" ht="19.5" customHeight="1">
      <c r="A2" s="4" t="inlineStr">
        <is>
          <t xml:space="preserve">CLIENTE</t>
        </is>
      </c>
      <c r="B2" s="6" t="inlineStr">
        <is>
          <t xml:space="preserve">INDICADORES</t>
        </is>
      </c>
      <c r="C2" s="7"/>
      <c r="D2" s="10" t="inlineStr">
        <is>
          <t xml:space="preserve">META</t>
        </is>
      </c>
      <c r="F2" s="12" t="inlineStr">
        <is>
          <t xml:space="preserve">REALIZADO P/DIA</t>
        </is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4"/>
      <c r="AK2" s="15" t="inlineStr">
        <is>
          <t xml:space="preserve">MÊS</t>
        </is>
      </c>
    </row>
    <row r="3" ht="13.5" customHeight="1">
      <c r="A3" s="5"/>
      <c r="B3" s="8"/>
      <c r="C3" s="9"/>
      <c r="D3" s="11"/>
      <c r="F3" s="17">
        <f>IF(ISNUMBER($AE$1),DATE(YEAR($AE$1),MONTH($AE$1),1),IFERROR(DATE(VALUE(RIGHT(TRIM($AE$1),4)),MATCH(TRIM(LEFT($AE$1,FIND("·",$AE$1)-1)),{"JANEIRO","FEVEREIRO","MARÇO","ABRIL","MAIO","JUNHO","JULHO","AGOSTO","SETEMBRO","OUTUBRO","NOVEMBRO","DEZEMBRO"},0),1),DATE(2026,9,1)))</f>
        <v>46266</v>
      </c>
      <c r="G3" s="18">
        <f>IF(F3="","",IF(MONTH(F3+1)=MONTH($F$3),F3+1,""))</f>
        <v>46267</v>
      </c>
      <c r="H3" s="18">
        <f>IF(G3="","",IF(MONTH(G3+1)=MONTH($F$3),G3+1,""))</f>
        <v>46268</v>
      </c>
      <c r="I3" s="18">
        <f>IF(H3="","",IF(MONTH(H3+1)=MONTH($F$3),H3+1,""))</f>
        <v>46269</v>
      </c>
      <c r="J3" s="19">
        <f>IF(I3="","",IF(MONTH(I3+1)=MONTH($F$3),I3+1,""))</f>
        <v>46270</v>
      </c>
      <c r="K3" s="19">
        <f>IF(J3="","",IF(MONTH(J3+1)=MONTH($F$3),J3+1,""))</f>
        <v>46271</v>
      </c>
      <c r="L3" s="18">
        <f>IF(K3="","",IF(MONTH(K3+1)=MONTH($F$3),K3+1,""))</f>
        <v>46272</v>
      </c>
      <c r="M3" s="18">
        <f>IF(L3="","",IF(MONTH(L3+1)=MONTH($F$3),L3+1,""))</f>
        <v>46273</v>
      </c>
      <c r="N3" s="18">
        <f>IF(M3="","",IF(MONTH(M3+1)=MONTH($F$3),M3+1,""))</f>
        <v>46274</v>
      </c>
      <c r="O3" s="18">
        <f>IF(N3="","",IF(MONTH(N3+1)=MONTH($F$3),N3+1,""))</f>
        <v>46275</v>
      </c>
      <c r="P3" s="18">
        <f>IF(O3="","",IF(MONTH(O3+1)=MONTH($F$3),O3+1,""))</f>
        <v>46276</v>
      </c>
      <c r="Q3" s="19">
        <f>IF(P3="","",IF(MONTH(P3+1)=MONTH($F$3),P3+1,""))</f>
        <v>46277</v>
      </c>
      <c r="R3" s="19">
        <f>IF(Q3="","",IF(MONTH(Q3+1)=MONTH($F$3),Q3+1,""))</f>
        <v>46278</v>
      </c>
      <c r="S3" s="18">
        <f>IF(R3="","",IF(MONTH(R3+1)=MONTH($F$3),R3+1,""))</f>
        <v>46279</v>
      </c>
      <c r="T3" s="18">
        <f>IF(S3="","",IF(MONTH(S3+1)=MONTH($F$3),S3+1,""))</f>
        <v>46280</v>
      </c>
      <c r="U3" s="18">
        <f>IF(T3="","",IF(MONTH(T3+1)=MONTH($F$3),T3+1,""))</f>
        <v>46281</v>
      </c>
      <c r="V3" s="18">
        <f>IF(U3="","",IF(MONTH(U3+1)=MONTH($F$3),U3+1,""))</f>
        <v>46282</v>
      </c>
      <c r="W3" s="18">
        <f>IF(V3="","",IF(MONTH(V3+1)=MONTH($F$3),V3+1,""))</f>
        <v>46283</v>
      </c>
      <c r="X3" s="19">
        <f>IF(W3="","",IF(MONTH(W3+1)=MONTH($F$3),W3+1,""))</f>
        <v>46284</v>
      </c>
      <c r="Y3" s="19">
        <f>IF(X3="","",IF(MONTH(X3+1)=MONTH($F$3),X3+1,""))</f>
        <v>46285</v>
      </c>
      <c r="Z3" s="18">
        <f>IF(Y3="","",IF(MONTH(Y3+1)=MONTH($F$3),Y3+1,""))</f>
        <v>46286</v>
      </c>
      <c r="AA3" s="18">
        <f>IF(Z3="","",IF(MONTH(Z3+1)=MONTH($F$3),Z3+1,""))</f>
        <v>46287</v>
      </c>
      <c r="AB3" s="18">
        <f>IF(AA3="","",IF(MONTH(AA3+1)=MONTH($F$3),AA3+1,""))</f>
        <v>46288</v>
      </c>
      <c r="AC3" s="18">
        <f>IF(AB3="","",IF(MONTH(AB3+1)=MONTH($F$3),AB3+1,""))</f>
        <v>46289</v>
      </c>
      <c r="AD3" s="18">
        <f>IF(AC3="","",IF(MONTH(AC3+1)=MONTH($F$3),AC3+1,""))</f>
        <v>46290</v>
      </c>
      <c r="AE3" s="19">
        <f>IF(AD3="","",IF(MONTH(AD3+1)=MONTH($F$3),AD3+1,""))</f>
        <v>46291</v>
      </c>
      <c r="AF3" s="19">
        <f>IF(AE3="","",IF(MONTH(AE3+1)=MONTH($F$3),AE3+1,""))</f>
        <v>46292</v>
      </c>
      <c r="AG3" s="18">
        <f>IF(AF3="","",IF(MONTH(AF3+1)=MONTH($F$3),AF3+1,""))</f>
        <v>46293</v>
      </c>
      <c r="AH3" s="18">
        <f>IF(AG3="","",IF(MONTH(AG3+1)=MONTH($F$3),AG3+1,""))</f>
        <v>46294</v>
      </c>
      <c r="AI3" s="18">
        <f>IF(AH3="","",IF(MONTH(AH3+1)=MONTH($F$3),AH3+1,""))</f>
        <v>46295</v>
      </c>
      <c r="AJ3" s="20" t="str">
        <f>IF(AI3="","",IF(MONTH(AI3+1)=MONTH($F$3),AI3+1,""))</f>
        <v/>
      </c>
      <c r="AK3" s="16"/>
    </row>
    <row r="5" ht="15.75" customHeight="1">
      <c r="A5" s="117" t="inlineStr">
        <is>
          <t xml:space="preserve">Barry Callebaut</t>
        </is>
      </c>
      <c r="B5" s="105" t="inlineStr">
        <is>
          <t xml:space="preserve">IN</t>
        </is>
      </c>
      <c r="C5" s="21" t="inlineStr">
        <is>
          <t xml:space="preserve">Veículos Recebidos</t>
        </is>
      </c>
      <c r="D5" s="22">
        <v>150</v>
      </c>
      <c r="E5" s="23"/>
      <c r="F5" s="24">
        <f>IF(F$3="","",IF(COUNTIFS(Base!$A$3:$A$5001,F$3,Base!$B$3:$B$5001,$A$5,Base!$C$3:$C$5001,"&lt;&gt;")=0,"",SUMIFS(Base!$C$3:$C$5001,Base!$A$3:$A$5001,F$3,Base!$B$3:$B$5001,$A$5)))</f>
        <v>5</v>
      </c>
      <c r="G5" s="25">
        <f>IF(G$3="","",IF(COUNTIFS(Base!$A$3:$A$5001,G$3,Base!$B$3:$B$5001,$A$5,Base!$C$3:$C$5001,"&lt;&gt;")=0,"",SUMIFS(Base!$C$3:$C$5001,Base!$A$3:$A$5001,G$3,Base!$B$3:$B$5001,$A$5)))</f>
        <v>0</v>
      </c>
      <c r="H5" s="25">
        <f>IF(H$3="","",IF(COUNTIFS(Base!$A$3:$A$5001,H$3,Base!$B$3:$B$5001,$A$5,Base!$C$3:$C$5001,"&lt;&gt;")=0,"",SUMIFS(Base!$C$3:$C$5001,Base!$A$3:$A$5001,H$3,Base!$B$3:$B$5001,$A$5)))</f>
        <v>9</v>
      </c>
      <c r="I5" s="25">
        <f>IF(I$3="","",IF(COUNTIFS(Base!$A$3:$A$5001,I$3,Base!$B$3:$B$5001,$A$5,Base!$C$3:$C$5001,"&lt;&gt;")=0,"",SUMIFS(Base!$C$3:$C$5001,Base!$A$3:$A$5001,I$3,Base!$B$3:$B$5001,$A$5)))</f>
        <v>4</v>
      </c>
      <c r="J5" s="25">
        <f>IF(J$3="","",IF(COUNTIFS(Base!$A$3:$A$5001,J$3,Base!$B$3:$B$5001,$A$5,Base!$C$3:$C$5001,"&lt;&gt;")=0,"",SUMIFS(Base!$C$3:$C$5001,Base!$A$3:$A$5001,J$3,Base!$B$3:$B$5001,$A$5)))</f>
        <v>0</v>
      </c>
      <c r="K5" s="25" t="str">
        <f>IF(K$3="","",IF(COUNTIFS(Base!$A$3:$A$5001,K$3,Base!$B$3:$B$5001,$A$5,Base!$C$3:$C$5001,"&lt;&gt;")=0,"",SUMIFS(Base!$C$3:$C$5001,Base!$A$3:$A$5001,K$3,Base!$B$3:$B$5001,$A$5)))</f>
        <v/>
      </c>
      <c r="L5" s="25">
        <f>IF(L$3="","",IF(COUNTIFS(Base!$A$3:$A$5001,L$3,Base!$B$3:$B$5001,$A$5,Base!$C$3:$C$5001,"&lt;&gt;")=0,"",SUMIFS(Base!$C$3:$C$5001,Base!$A$3:$A$5001,L$3,Base!$B$3:$B$5001,$A$5)))</f>
        <v>1</v>
      </c>
      <c r="M5" s="25">
        <f>IF(M$3="","",IF(COUNTIFS(Base!$A$3:$A$5001,M$3,Base!$B$3:$B$5001,$A$5,Base!$C$3:$C$5001,"&lt;&gt;")=0,"",SUMIFS(Base!$C$3:$C$5001,Base!$A$3:$A$5001,M$3,Base!$B$3:$B$5001,$A$5)))</f>
        <v>2</v>
      </c>
      <c r="N5" s="25">
        <f>IF(N$3="","",IF(COUNTIFS(Base!$A$3:$A$5001,N$3,Base!$B$3:$B$5001,$A$5,Base!$C$3:$C$5001,"&lt;&gt;")=0,"",SUMIFS(Base!$C$3:$C$5001,Base!$A$3:$A$5001,N$3,Base!$B$3:$B$5001,$A$5)))</f>
        <v>2</v>
      </c>
      <c r="O5" s="25">
        <f>IF(O$3="","",IF(COUNTIFS(Base!$A$3:$A$5001,O$3,Base!$B$3:$B$5001,$A$5,Base!$C$3:$C$5001,"&lt;&gt;")=0,"",SUMIFS(Base!$C$3:$C$5001,Base!$A$3:$A$5001,O$3,Base!$B$3:$B$5001,$A$5)))</f>
        <v>3</v>
      </c>
      <c r="P5" s="25">
        <f>IF(P$3="","",IF(COUNTIFS(Base!$A$3:$A$5001,P$3,Base!$B$3:$B$5001,$A$5,Base!$C$3:$C$5001,"&lt;&gt;")=0,"",SUMIFS(Base!$C$3:$C$5001,Base!$A$3:$A$5001,P$3,Base!$B$3:$B$5001,$A$5)))</f>
        <v>7</v>
      </c>
      <c r="Q5" s="25">
        <f>IF(Q$3="","",IF(COUNTIFS(Base!$A$3:$A$5001,Q$3,Base!$B$3:$B$5001,$A$5,Base!$C$3:$C$5001,"&lt;&gt;")=0,"",SUMIFS(Base!$C$3:$C$5001,Base!$A$3:$A$5001,Q$3,Base!$B$3:$B$5001,$A$5)))</f>
        <v>0</v>
      </c>
      <c r="R5" s="25" t="str">
        <f>IF(R$3="","",IF(COUNTIFS(Base!$A$3:$A$5001,R$3,Base!$B$3:$B$5001,$A$5,Base!$C$3:$C$5001,"&lt;&gt;")=0,"",SUMIFS(Base!$C$3:$C$5001,Base!$A$3:$A$5001,R$3,Base!$B$3:$B$5001,$A$5)))</f>
        <v/>
      </c>
      <c r="S5" s="25">
        <f>IF(S$3="","",IF(COUNTIFS(Base!$A$3:$A$5001,S$3,Base!$B$3:$B$5001,$A$5,Base!$C$3:$C$5001,"&lt;&gt;")=0,"",SUMIFS(Base!$C$3:$C$5001,Base!$A$3:$A$5001,S$3,Base!$B$3:$B$5001,$A$5)))</f>
        <v>2</v>
      </c>
      <c r="T5" s="25">
        <f>IF(T$3="","",IF(COUNTIFS(Base!$A$3:$A$5001,T$3,Base!$B$3:$B$5001,$A$5,Base!$C$3:$C$5001,"&lt;&gt;")=0,"",SUMIFS(Base!$C$3:$C$5001,Base!$A$3:$A$5001,T$3,Base!$B$3:$B$5001,$A$5)))</f>
        <v>6</v>
      </c>
      <c r="U5" s="25">
        <f>IF(U$3="","",IF(COUNTIFS(Base!$A$3:$A$5001,U$3,Base!$B$3:$B$5001,$A$5,Base!$C$3:$C$5001,"&lt;&gt;")=0,"",SUMIFS(Base!$C$3:$C$5001,Base!$A$3:$A$5001,U$3,Base!$B$3:$B$5001,$A$5)))</f>
        <v>6</v>
      </c>
      <c r="V5" s="25">
        <f>IF(V$3="","",IF(COUNTIFS(Base!$A$3:$A$5001,V$3,Base!$B$3:$B$5001,$A$5,Base!$C$3:$C$5001,"&lt;&gt;")=0,"",SUMIFS(Base!$C$3:$C$5001,Base!$A$3:$A$5001,V$3,Base!$B$3:$B$5001,$A$5)))</f>
        <v>0</v>
      </c>
      <c r="W5" s="25">
        <f>IF(W$3="","",IF(COUNTIFS(Base!$A$3:$A$5001,W$3,Base!$B$3:$B$5001,$A$5,Base!$C$3:$C$5001,"&lt;&gt;")=0,"",SUMIFS(Base!$C$3:$C$5001,Base!$A$3:$A$5001,W$3,Base!$B$3:$B$5001,$A$5)))</f>
        <v>2</v>
      </c>
      <c r="X5" s="25" t="str">
        <f>IF(X$3="","",IF(COUNTIFS(Base!$A$3:$A$5001,X$3,Base!$B$3:$B$5001,$A$5,Base!$C$3:$C$5001,"&lt;&gt;")=0,"",SUMIFS(Base!$C$3:$C$5001,Base!$A$3:$A$5001,X$3,Base!$B$3:$B$5001,$A$5)))</f>
        <v/>
      </c>
      <c r="Y5" s="25" t="str">
        <f>IF(Y$3="","",IF(COUNTIFS(Base!$A$3:$A$5001,Y$3,Base!$B$3:$B$5001,$A$5,Base!$C$3:$C$5001,"&lt;&gt;")=0,"",SUMIFS(Base!$C$3:$C$5001,Base!$A$3:$A$5001,Y$3,Base!$B$3:$B$5001,$A$5)))</f>
        <v/>
      </c>
      <c r="Z5" s="25">
        <f>IF(Z$3="","",IF(COUNTIFS(Base!$A$3:$A$5001,Z$3,Base!$B$3:$B$5001,$A$5,Base!$C$3:$C$5001,"&lt;&gt;")=0,"",SUMIFS(Base!$C$3:$C$5001,Base!$A$3:$A$5001,Z$3,Base!$B$3:$B$5001,$A$5)))</f>
        <v>3</v>
      </c>
      <c r="AA5" s="25">
        <f>IF(AA$3="","",IF(COUNTIFS(Base!$A$3:$A$5001,AA$3,Base!$B$3:$B$5001,$A$5,Base!$C$3:$C$5001,"&lt;&gt;")=0,"",SUMIFS(Base!$C$3:$C$5001,Base!$A$3:$A$5001,AA$3,Base!$B$3:$B$5001,$A$5)))</f>
        <v>9</v>
      </c>
      <c r="AB5" s="25">
        <f>IF(AB$3="","",IF(COUNTIFS(Base!$A$3:$A$5001,AB$3,Base!$B$3:$B$5001,$A$5,Base!$C$3:$C$5001,"&lt;&gt;")=0,"",SUMIFS(Base!$C$3:$C$5001,Base!$A$3:$A$5001,AB$3,Base!$B$3:$B$5001,$A$5)))</f>
        <v>7</v>
      </c>
      <c r="AC5" s="25">
        <f>IF(AC$3="","",IF(COUNTIFS(Base!$A$3:$A$5001,AC$3,Base!$B$3:$B$5001,$A$5,Base!$C$3:$C$5001,"&lt;&gt;")=0,"",SUMIFS(Base!$C$3:$C$5001,Base!$A$3:$A$5001,AC$3,Base!$B$3:$B$5001,$A$5)))</f>
        <v>5</v>
      </c>
      <c r="AD5" s="25">
        <f>IF(AD$3="","",IF(COUNTIFS(Base!$A$3:$A$5001,AD$3,Base!$B$3:$B$5001,$A$5,Base!$C$3:$C$5001,"&lt;&gt;")=0,"",SUMIFS(Base!$C$3:$C$5001,Base!$A$3:$A$5001,AD$3,Base!$B$3:$B$5001,$A$5)))</f>
        <v>4</v>
      </c>
      <c r="AE5" s="25">
        <f>IF(AE$3="","",IF(COUNTIFS(Base!$A$3:$A$5001,AE$3,Base!$B$3:$B$5001,$A$5,Base!$C$3:$C$5001,"&lt;&gt;")=0,"",SUMIFS(Base!$C$3:$C$5001,Base!$A$3:$A$5001,AE$3,Base!$B$3:$B$5001,$A$5)))</f>
        <v>0</v>
      </c>
      <c r="AF5" s="25">
        <f>IF(AF$3="","",IF(COUNTIFS(Base!$A$3:$A$5001,AF$3,Base!$B$3:$B$5001,$A$5,Base!$C$3:$C$5001,"&lt;&gt;")=0,"",SUMIFS(Base!$C$3:$C$5001,Base!$A$3:$A$5001,AF$3,Base!$B$3:$B$5001,$A$5)))</f>
        <v>0</v>
      </c>
      <c r="AG5" s="25">
        <f>IF(AG$3="","",IF(COUNTIFS(Base!$A$3:$A$5001,AG$3,Base!$B$3:$B$5001,$A$5,Base!$C$3:$C$5001,"&lt;&gt;")=0,"",SUMIFS(Base!$C$3:$C$5001,Base!$A$3:$A$5001,AG$3,Base!$B$3:$B$5001,$A$5)))</f>
        <v>2</v>
      </c>
      <c r="AH5" s="25">
        <f>IF(AH$3="","",IF(COUNTIFS(Base!$A$3:$A$5001,AH$3,Base!$B$3:$B$5001,$A$5,Base!$C$3:$C$5001,"&lt;&gt;")=0,"",SUMIFS(Base!$C$3:$C$5001,Base!$A$3:$A$5001,AH$3,Base!$B$3:$B$5001,$A$5)))</f>
        <v>5</v>
      </c>
      <c r="AI5" s="25" t="str">
        <f>IF(AI$3="","",IF(COUNTIFS(Base!$A$3:$A$5001,AI$3,Base!$B$3:$B$5001,$A$5,Base!$C$3:$C$5001,"&lt;&gt;")=0,"",SUMIFS(Base!$C$3:$C$5001,Base!$A$3:$A$5001,AI$3,Base!$B$3:$B$5001,$A$5)))</f>
        <v/>
      </c>
      <c r="AJ5" s="26" t="str">
        <f>IF(AJ$3="","",IF(COUNTIFS(Base!$A$3:$A$5001,AJ$3,Base!$B$3:$B$5001,$A$5,Base!$C$3:$C$5001,"&lt;&gt;")=0,"",SUMIFS(Base!$C$3:$C$5001,Base!$A$3:$A$5001,AJ$3,Base!$B$3:$B$5001,$A$5)))</f>
        <v/>
      </c>
      <c r="AK5" s="27">
        <f>IF(COUNT(F5:AJ5)=0,"",SUM(F5:AJ5))</f>
        <v>84</v>
      </c>
    </row>
    <row r="6" ht="15.75" customHeight="1">
      <c r="A6" s="118"/>
      <c r="B6" s="106"/>
      <c r="C6" s="28" t="inlineStr">
        <is>
          <t xml:space="preserve">Pallets Movimentados</t>
        </is>
      </c>
      <c r="D6" s="29"/>
      <c r="E6" s="30"/>
      <c r="F6" s="31">
        <f>IF(F$3="","",IF(COUNTIFS(Base!$A$3:$A$5001,F$3,Base!$B$3:$B$5001,$A$5,Base!$D$3:$D$5001,"&lt;&gt;")=0,"",SUMIFS(Base!$D$3:$D$5001,Base!$A$3:$A$5001,F$3,Base!$B$3:$B$5001,$A$5)))</f>
        <v>130</v>
      </c>
      <c r="G6" s="32">
        <f>IF(G$3="","",IF(COUNTIFS(Base!$A$3:$A$5001,G$3,Base!$B$3:$B$5001,$A$5,Base!$D$3:$D$5001,"&lt;&gt;")=0,"",SUMIFS(Base!$D$3:$D$5001,Base!$A$3:$A$5001,G$3,Base!$B$3:$B$5001,$A$5)))</f>
        <v>0</v>
      </c>
      <c r="H6" s="32">
        <f>IF(H$3="","",IF(COUNTIFS(Base!$A$3:$A$5001,H$3,Base!$B$3:$B$5001,$A$5,Base!$D$3:$D$5001,"&lt;&gt;")=0,"",SUMIFS(Base!$D$3:$D$5001,Base!$A$3:$A$5001,H$3,Base!$B$3:$B$5001,$A$5)))</f>
        <v>216</v>
      </c>
      <c r="I6" s="32">
        <f>IF(I$3="","",IF(COUNTIFS(Base!$A$3:$A$5001,I$3,Base!$B$3:$B$5001,$A$5,Base!$D$3:$D$5001,"&lt;&gt;")=0,"",SUMIFS(Base!$D$3:$D$5001,Base!$A$3:$A$5001,I$3,Base!$B$3:$B$5001,$A$5)))</f>
        <v>88</v>
      </c>
      <c r="J6" s="32">
        <f>IF(J$3="","",IF(COUNTIFS(Base!$A$3:$A$5001,J$3,Base!$B$3:$B$5001,$A$5,Base!$D$3:$D$5001,"&lt;&gt;")=0,"",SUMIFS(Base!$D$3:$D$5001,Base!$A$3:$A$5001,J$3,Base!$B$3:$B$5001,$A$5)))</f>
        <v>0</v>
      </c>
      <c r="K6" s="32" t="str">
        <f>IF(K$3="","",IF(COUNTIFS(Base!$A$3:$A$5001,K$3,Base!$B$3:$B$5001,$A$5,Base!$D$3:$D$5001,"&lt;&gt;")=0,"",SUMIFS(Base!$D$3:$D$5001,Base!$A$3:$A$5001,K$3,Base!$B$3:$B$5001,$A$5)))</f>
        <v/>
      </c>
      <c r="L6" s="32">
        <f>IF(L$3="","",IF(COUNTIFS(Base!$A$3:$A$5001,L$3,Base!$B$3:$B$5001,$A$5,Base!$D$3:$D$5001,"&lt;&gt;")=0,"",SUMIFS(Base!$D$3:$D$5001,Base!$A$3:$A$5001,L$3,Base!$B$3:$B$5001,$A$5)))</f>
        <v>26</v>
      </c>
      <c r="M6" s="32">
        <f>IF(M$3="","",IF(COUNTIFS(Base!$A$3:$A$5001,M$3,Base!$B$3:$B$5001,$A$5,Base!$D$3:$D$5001,"&lt;&gt;")=0,"",SUMIFS(Base!$D$3:$D$5001,Base!$A$3:$A$5001,M$3,Base!$B$3:$B$5001,$A$5)))</f>
        <v>50</v>
      </c>
      <c r="N6" s="32">
        <f>IF(N$3="","",IF(COUNTIFS(Base!$A$3:$A$5001,N$3,Base!$B$3:$B$5001,$A$5,Base!$D$3:$D$5001,"&lt;&gt;")=0,"",SUMIFS(Base!$D$3:$D$5001,Base!$A$3:$A$5001,N$3,Base!$B$3:$B$5001,$A$5)))</f>
        <v>54</v>
      </c>
      <c r="O6" s="32">
        <f>IF(O$3="","",IF(COUNTIFS(Base!$A$3:$A$5001,O$3,Base!$B$3:$B$5001,$A$5,Base!$D$3:$D$5001,"&lt;&gt;")=0,"",SUMIFS(Base!$D$3:$D$5001,Base!$A$3:$A$5001,O$3,Base!$B$3:$B$5001,$A$5)))</f>
        <v>72</v>
      </c>
      <c r="P6" s="32">
        <f>IF(P$3="","",IF(COUNTIFS(Base!$A$3:$A$5001,P$3,Base!$B$3:$B$5001,$A$5,Base!$D$3:$D$5001,"&lt;&gt;")=0,"",SUMIFS(Base!$D$3:$D$5001,Base!$A$3:$A$5001,P$3,Base!$B$3:$B$5001,$A$5)))</f>
        <v>140</v>
      </c>
      <c r="Q6" s="32">
        <f>IF(Q$3="","",IF(COUNTIFS(Base!$A$3:$A$5001,Q$3,Base!$B$3:$B$5001,$A$5,Base!$D$3:$D$5001,"&lt;&gt;")=0,"",SUMIFS(Base!$D$3:$D$5001,Base!$A$3:$A$5001,Q$3,Base!$B$3:$B$5001,$A$5)))</f>
        <v>0</v>
      </c>
      <c r="R6" s="32" t="str">
        <f>IF(R$3="","",IF(COUNTIFS(Base!$A$3:$A$5001,R$3,Base!$B$3:$B$5001,$A$5,Base!$D$3:$D$5001,"&lt;&gt;")=0,"",SUMIFS(Base!$D$3:$D$5001,Base!$A$3:$A$5001,R$3,Base!$B$3:$B$5001,$A$5)))</f>
        <v/>
      </c>
      <c r="S6" s="32">
        <f>IF(S$3="","",IF(COUNTIFS(Base!$A$3:$A$5001,S$3,Base!$B$3:$B$5001,$A$5,Base!$D$3:$D$5001,"&lt;&gt;")=0,"",SUMIFS(Base!$D$3:$D$5001,Base!$A$3:$A$5001,S$3,Base!$B$3:$B$5001,$A$5)))</f>
        <v>40</v>
      </c>
      <c r="T6" s="32">
        <f>IF(T$3="","",IF(COUNTIFS(Base!$A$3:$A$5001,T$3,Base!$B$3:$B$5001,$A$5,Base!$D$3:$D$5001,"&lt;&gt;")=0,"",SUMIFS(Base!$D$3:$D$5001,Base!$A$3:$A$5001,T$3,Base!$B$3:$B$5001,$A$5)))</f>
        <v>132</v>
      </c>
      <c r="U6" s="32">
        <f>IF(U$3="","",IF(COUNTIFS(Base!$A$3:$A$5001,U$3,Base!$B$3:$B$5001,$A$5,Base!$D$3:$D$5001,"&lt;&gt;")=0,"",SUMIFS(Base!$D$3:$D$5001,Base!$A$3:$A$5001,U$3,Base!$B$3:$B$5001,$A$5)))</f>
        <v>132</v>
      </c>
      <c r="V6" s="32">
        <f>IF(V$3="","",IF(COUNTIFS(Base!$A$3:$A$5001,V$3,Base!$B$3:$B$5001,$A$5,Base!$D$3:$D$5001,"&lt;&gt;")=0,"",SUMIFS(Base!$D$3:$D$5001,Base!$A$3:$A$5001,V$3,Base!$B$3:$B$5001,$A$5)))</f>
        <v>0</v>
      </c>
      <c r="W6" s="32">
        <f>IF(W$3="","",IF(COUNTIFS(Base!$A$3:$A$5001,W$3,Base!$B$3:$B$5001,$A$5,Base!$D$3:$D$5001,"&lt;&gt;")=0,"",SUMIFS(Base!$D$3:$D$5001,Base!$A$3:$A$5001,W$3,Base!$B$3:$B$5001,$A$5)))</f>
        <v>40</v>
      </c>
      <c r="X6" s="32" t="str">
        <f>IF(X$3="","",IF(COUNTIFS(Base!$A$3:$A$5001,X$3,Base!$B$3:$B$5001,$A$5,Base!$D$3:$D$5001,"&lt;&gt;")=0,"",SUMIFS(Base!$D$3:$D$5001,Base!$A$3:$A$5001,X$3,Base!$B$3:$B$5001,$A$5)))</f>
        <v/>
      </c>
      <c r="Y6" s="32" t="str">
        <f>IF(Y$3="","",IF(COUNTIFS(Base!$A$3:$A$5001,Y$3,Base!$B$3:$B$5001,$A$5,Base!$D$3:$D$5001,"&lt;&gt;")=0,"",SUMIFS(Base!$D$3:$D$5001,Base!$A$3:$A$5001,Y$3,Base!$B$3:$B$5001,$A$5)))</f>
        <v/>
      </c>
      <c r="Z6" s="32">
        <f>IF(Z$3="","",IF(COUNTIFS(Base!$A$3:$A$5001,Z$3,Base!$B$3:$B$5001,$A$5,Base!$D$3:$D$5001,"&lt;&gt;")=0,"",SUMIFS(Base!$D$3:$D$5001,Base!$A$3:$A$5001,Z$3,Base!$B$3:$B$5001,$A$5)))</f>
        <v>69</v>
      </c>
      <c r="AA6" s="32">
        <f>IF(AA$3="","",IF(COUNTIFS(Base!$A$3:$A$5001,AA$3,Base!$B$3:$B$5001,$A$5,Base!$D$3:$D$5001,"&lt;&gt;")=0,"",SUMIFS(Base!$D$3:$D$5001,Base!$A$3:$A$5001,AA$3,Base!$B$3:$B$5001,$A$5)))</f>
        <v>225</v>
      </c>
      <c r="AB6" s="32">
        <f>IF(AB$3="","",IF(COUNTIFS(Base!$A$3:$A$5001,AB$3,Base!$B$3:$B$5001,$A$5,Base!$D$3:$D$5001,"&lt;&gt;")=0,"",SUMIFS(Base!$D$3:$D$5001,Base!$A$3:$A$5001,AB$3,Base!$B$3:$B$5001,$A$5)))</f>
        <v>154</v>
      </c>
      <c r="AC6" s="32">
        <f>IF(AC$3="","",IF(COUNTIFS(Base!$A$3:$A$5001,AC$3,Base!$B$3:$B$5001,$A$5,Base!$D$3:$D$5001,"&lt;&gt;")=0,"",SUMIFS(Base!$D$3:$D$5001,Base!$A$3:$A$5001,AC$3,Base!$B$3:$B$5001,$A$5)))</f>
        <v>105</v>
      </c>
      <c r="AD6" s="32">
        <f>IF(AD$3="","",IF(COUNTIFS(Base!$A$3:$A$5001,AD$3,Base!$B$3:$B$5001,$A$5,Base!$D$3:$D$5001,"&lt;&gt;")=0,"",SUMIFS(Base!$D$3:$D$5001,Base!$A$3:$A$5001,AD$3,Base!$B$3:$B$5001,$A$5)))</f>
        <v>96</v>
      </c>
      <c r="AE6" s="32">
        <f>IF(AE$3="","",IF(COUNTIFS(Base!$A$3:$A$5001,AE$3,Base!$B$3:$B$5001,$A$5,Base!$D$3:$D$5001,"&lt;&gt;")=0,"",SUMIFS(Base!$D$3:$D$5001,Base!$A$3:$A$5001,AE$3,Base!$B$3:$B$5001,$A$5)))</f>
        <v>0</v>
      </c>
      <c r="AF6" s="32">
        <f>IF(AF$3="","",IF(COUNTIFS(Base!$A$3:$A$5001,AF$3,Base!$B$3:$B$5001,$A$5,Base!$D$3:$D$5001,"&lt;&gt;")=0,"",SUMIFS(Base!$D$3:$D$5001,Base!$A$3:$A$5001,AF$3,Base!$B$3:$B$5001,$A$5)))</f>
        <v>0</v>
      </c>
      <c r="AG6" s="32">
        <f>IF(AG$3="","",IF(COUNTIFS(Base!$A$3:$A$5001,AG$3,Base!$B$3:$B$5001,$A$5,Base!$D$3:$D$5001,"&lt;&gt;")=0,"",SUMIFS(Base!$D$3:$D$5001,Base!$A$3:$A$5001,AG$3,Base!$B$3:$B$5001,$A$5)))</f>
        <v>56</v>
      </c>
      <c r="AH6" s="32">
        <f>IF(AH$3="","",IF(COUNTIFS(Base!$A$3:$A$5001,AH$3,Base!$B$3:$B$5001,$A$5,Base!$D$3:$D$5001,"&lt;&gt;")=0,"",SUMIFS(Base!$D$3:$D$5001,Base!$A$3:$A$5001,AH$3,Base!$B$3:$B$5001,$A$5)))</f>
        <v>135</v>
      </c>
      <c r="AI6" s="32" t="str">
        <f>IF(AI$3="","",IF(COUNTIFS(Base!$A$3:$A$5001,AI$3,Base!$B$3:$B$5001,$A$5,Base!$D$3:$D$5001,"&lt;&gt;")=0,"",SUMIFS(Base!$D$3:$D$5001,Base!$A$3:$A$5001,AI$3,Base!$B$3:$B$5001,$A$5)))</f>
        <v/>
      </c>
      <c r="AJ6" s="33" t="str">
        <f>IF(AJ$3="","",IF(COUNTIFS(Base!$A$3:$A$5001,AJ$3,Base!$B$3:$B$5001,$A$5,Base!$D$3:$D$5001,"&lt;&gt;")=0,"",SUMIFS(Base!$D$3:$D$5001,Base!$A$3:$A$5001,AJ$3,Base!$B$3:$B$5001,$A$5)))</f>
        <v/>
      </c>
      <c r="AK6" s="34">
        <f>IF(COUNT(F6:AJ6)=0,"",SUM(F6:AJ6))</f>
        <v>1960</v>
      </c>
    </row>
    <row r="7" ht="15.75" customHeight="1">
      <c r="A7" s="118"/>
      <c r="B7" s="107"/>
      <c r="C7" s="35" t="inlineStr">
        <is>
          <t xml:space="preserve">Toneladas Movimentadas</t>
        </is>
      </c>
      <c r="D7" s="36"/>
      <c r="E7" s="37"/>
      <c r="F7" s="38">
        <f>IF(F$3="","",IF(COUNTIFS(Base!$A$3:$A$5001,F$3,Base!$B$3:$B$5001,$A$5,Base!$E$3:$E$5001,"&lt;&gt;")=0,"",SUMIFS(Base!$E$3:$E$5001,Base!$A$3:$A$5001,F$3,Base!$B$3:$B$5001,$A$5)))</f>
        <v>90.09</v>
      </c>
      <c r="G7" s="39">
        <f>IF(G$3="","",IF(COUNTIFS(Base!$A$3:$A$5001,G$3,Base!$B$3:$B$5001,$A$5,Base!$E$3:$E$5001,"&lt;&gt;")=0,"",SUMIFS(Base!$E$3:$E$5001,Base!$A$3:$A$5001,G$3,Base!$B$3:$B$5001,$A$5)))</f>
        <v>0</v>
      </c>
      <c r="H7" s="39">
        <f>IF(H$3="","",IF(COUNTIFS(Base!$A$3:$A$5001,H$3,Base!$B$3:$B$5001,$A$5,Base!$E$3:$E$5001,"&lt;&gt;")=0,"",SUMIFS(Base!$E$3:$E$5001,Base!$A$3:$A$5001,H$3,Base!$B$3:$B$5001,$A$5)))</f>
        <v>208.42</v>
      </c>
      <c r="I7" s="39">
        <f>IF(I$3="","",IF(COUNTIFS(Base!$A$3:$A$5001,I$3,Base!$B$3:$B$5001,$A$5,Base!$E$3:$E$5001,"&lt;&gt;")=0,"",SUMIFS(Base!$E$3:$E$5001,Base!$A$3:$A$5001,I$3,Base!$B$3:$B$5001,$A$5)))</f>
        <v>54.09</v>
      </c>
      <c r="J7" s="39">
        <f>IF(J$3="","",IF(COUNTIFS(Base!$A$3:$A$5001,J$3,Base!$B$3:$B$5001,$A$5,Base!$E$3:$E$5001,"&lt;&gt;")=0,"",SUMIFS(Base!$E$3:$E$5001,Base!$A$3:$A$5001,J$3,Base!$B$3:$B$5001,$A$5)))</f>
        <v>0</v>
      </c>
      <c r="K7" s="39" t="str">
        <f>IF(K$3="","",IF(COUNTIFS(Base!$A$3:$A$5001,K$3,Base!$B$3:$B$5001,$A$5,Base!$E$3:$E$5001,"&lt;&gt;")=0,"",SUMIFS(Base!$E$3:$E$5001,Base!$A$3:$A$5001,K$3,Base!$B$3:$B$5001,$A$5)))</f>
        <v/>
      </c>
      <c r="L7" s="39">
        <f>IF(L$3="","",IF(COUNTIFS(Base!$A$3:$A$5001,L$3,Base!$B$3:$B$5001,$A$5,Base!$E$3:$E$5001,"&lt;&gt;")=0,"",SUMIFS(Base!$E$3:$E$5001,Base!$A$3:$A$5001,L$3,Base!$B$3:$B$5001,$A$5)))</f>
        <v>12.37</v>
      </c>
      <c r="M7" s="39">
        <f>IF(M$3="","",IF(COUNTIFS(Base!$A$3:$A$5001,M$3,Base!$B$3:$B$5001,$A$5,Base!$E$3:$E$5001,"&lt;&gt;")=0,"",SUMIFS(Base!$E$3:$E$5001,Base!$A$3:$A$5001,M$3,Base!$B$3:$B$5001,$A$5)))</f>
        <v>33.92</v>
      </c>
      <c r="N7" s="39">
        <f>IF(N$3="","",IF(COUNTIFS(Base!$A$3:$A$5001,N$3,Base!$B$3:$B$5001,$A$5,Base!$E$3:$E$5001,"&lt;&gt;")=0,"",SUMIFS(Base!$E$3:$E$5001,Base!$A$3:$A$5001,N$3,Base!$B$3:$B$5001,$A$5)))</f>
        <v>43.22</v>
      </c>
      <c r="O7" s="39">
        <f>IF(O$3="","",IF(COUNTIFS(Base!$A$3:$A$5001,O$3,Base!$B$3:$B$5001,$A$5,Base!$E$3:$E$5001,"&lt;&gt;")=0,"",SUMIFS(Base!$E$3:$E$5001,Base!$A$3:$A$5001,O$3,Base!$B$3:$B$5001,$A$5)))</f>
        <v>41.27</v>
      </c>
      <c r="P7" s="39">
        <f>IF(P$3="","",IF(COUNTIFS(Base!$A$3:$A$5001,P$3,Base!$B$3:$B$5001,$A$5,Base!$E$3:$E$5001,"&lt;&gt;")=0,"",SUMIFS(Base!$E$3:$E$5001,Base!$A$3:$A$5001,P$3,Base!$B$3:$B$5001,$A$5)))</f>
        <v>122.59</v>
      </c>
      <c r="Q7" s="39">
        <f>IF(Q$3="","",IF(COUNTIFS(Base!$A$3:$A$5001,Q$3,Base!$B$3:$B$5001,$A$5,Base!$E$3:$E$5001,"&lt;&gt;")=0,"",SUMIFS(Base!$E$3:$E$5001,Base!$A$3:$A$5001,Q$3,Base!$B$3:$B$5001,$A$5)))</f>
        <v>0</v>
      </c>
      <c r="R7" s="39" t="str">
        <f>IF(R$3="","",IF(COUNTIFS(Base!$A$3:$A$5001,R$3,Base!$B$3:$B$5001,$A$5,Base!$E$3:$E$5001,"&lt;&gt;")=0,"",SUMIFS(Base!$E$3:$E$5001,Base!$A$3:$A$5001,R$3,Base!$B$3:$B$5001,$A$5)))</f>
        <v/>
      </c>
      <c r="S7" s="39">
        <f>IF(S$3="","",IF(COUNTIFS(Base!$A$3:$A$5001,S$3,Base!$B$3:$B$5001,$A$5,Base!$E$3:$E$5001,"&lt;&gt;")=0,"",SUMIFS(Base!$E$3:$E$5001,Base!$A$3:$A$5001,S$3,Base!$B$3:$B$5001,$A$5)))</f>
        <v>35.6</v>
      </c>
      <c r="T7" s="39">
        <f>IF(T$3="","",IF(COUNTIFS(Base!$A$3:$A$5001,T$3,Base!$B$3:$B$5001,$A$5,Base!$E$3:$E$5001,"&lt;&gt;")=0,"",SUMIFS(Base!$E$3:$E$5001,Base!$A$3:$A$5001,T$3,Base!$B$3:$B$5001,$A$5)))</f>
        <v>124.17</v>
      </c>
      <c r="U7" s="39">
        <f>IF(U$3="","",IF(COUNTIFS(Base!$A$3:$A$5001,U$3,Base!$B$3:$B$5001,$A$5,Base!$E$3:$E$5001,"&lt;&gt;")=0,"",SUMIFS(Base!$E$3:$E$5001,Base!$A$3:$A$5001,U$3,Base!$B$3:$B$5001,$A$5)))</f>
        <v>70.44</v>
      </c>
      <c r="V7" s="39">
        <f>IF(V$3="","",IF(COUNTIFS(Base!$A$3:$A$5001,V$3,Base!$B$3:$B$5001,$A$5,Base!$E$3:$E$5001,"&lt;&gt;")=0,"",SUMIFS(Base!$E$3:$E$5001,Base!$A$3:$A$5001,V$3,Base!$B$3:$B$5001,$A$5)))</f>
        <v>0</v>
      </c>
      <c r="W7" s="39">
        <f>IF(W$3="","",IF(COUNTIFS(Base!$A$3:$A$5001,W$3,Base!$B$3:$B$5001,$A$5,Base!$E$3:$E$5001,"&lt;&gt;")=0,"",SUMIFS(Base!$E$3:$E$5001,Base!$A$3:$A$5001,W$3,Base!$B$3:$B$5001,$A$5)))</f>
        <v>47.36</v>
      </c>
      <c r="X7" s="39" t="str">
        <f>IF(X$3="","",IF(COUNTIFS(Base!$A$3:$A$5001,X$3,Base!$B$3:$B$5001,$A$5,Base!$E$3:$E$5001,"&lt;&gt;")=0,"",SUMIFS(Base!$E$3:$E$5001,Base!$A$3:$A$5001,X$3,Base!$B$3:$B$5001,$A$5)))</f>
        <v/>
      </c>
      <c r="Y7" s="39" t="str">
        <f>IF(Y$3="","",IF(COUNTIFS(Base!$A$3:$A$5001,Y$3,Base!$B$3:$B$5001,$A$5,Base!$E$3:$E$5001,"&lt;&gt;")=0,"",SUMIFS(Base!$E$3:$E$5001,Base!$A$3:$A$5001,Y$3,Base!$B$3:$B$5001,$A$5)))</f>
        <v/>
      </c>
      <c r="Z7" s="39">
        <f>IF(Z$3="","",IF(COUNTIFS(Base!$A$3:$A$5001,Z$3,Base!$B$3:$B$5001,$A$5,Base!$E$3:$E$5001,"&lt;&gt;")=0,"",SUMIFS(Base!$E$3:$E$5001,Base!$A$3:$A$5001,Z$3,Base!$B$3:$B$5001,$A$5)))</f>
        <v>70.53</v>
      </c>
      <c r="AA7" s="39">
        <f>IF(AA$3="","",IF(COUNTIFS(Base!$A$3:$A$5001,AA$3,Base!$B$3:$B$5001,$A$5,Base!$E$3:$E$5001,"&lt;&gt;")=0,"",SUMIFS(Base!$E$3:$E$5001,Base!$A$3:$A$5001,AA$3,Base!$B$3:$B$5001,$A$5)))</f>
        <v>189.59</v>
      </c>
      <c r="AB7" s="39">
        <f>IF(AB$3="","",IF(COUNTIFS(Base!$A$3:$A$5001,AB$3,Base!$B$3:$B$5001,$A$5,Base!$E$3:$E$5001,"&lt;&gt;")=0,"",SUMIFS(Base!$E$3:$E$5001,Base!$A$3:$A$5001,AB$3,Base!$B$3:$B$5001,$A$5)))</f>
        <v>76.01</v>
      </c>
      <c r="AC7" s="39">
        <f>IF(AC$3="","",IF(COUNTIFS(Base!$A$3:$A$5001,AC$3,Base!$B$3:$B$5001,$A$5,Base!$E$3:$E$5001,"&lt;&gt;")=0,"",SUMIFS(Base!$E$3:$E$5001,Base!$A$3:$A$5001,AC$3,Base!$B$3:$B$5001,$A$5)))</f>
        <v>100.16</v>
      </c>
      <c r="AD7" s="39">
        <f>IF(AD$3="","",IF(COUNTIFS(Base!$A$3:$A$5001,AD$3,Base!$B$3:$B$5001,$A$5,Base!$E$3:$E$5001,"&lt;&gt;")=0,"",SUMIFS(Base!$E$3:$E$5001,Base!$A$3:$A$5001,AD$3,Base!$B$3:$B$5001,$A$5)))</f>
        <v>47.05</v>
      </c>
      <c r="AE7" s="39">
        <f>IF(AE$3="","",IF(COUNTIFS(Base!$A$3:$A$5001,AE$3,Base!$B$3:$B$5001,$A$5,Base!$E$3:$E$5001,"&lt;&gt;")=0,"",SUMIFS(Base!$E$3:$E$5001,Base!$A$3:$A$5001,AE$3,Base!$B$3:$B$5001,$A$5)))</f>
        <v>0</v>
      </c>
      <c r="AF7" s="39">
        <f>IF(AF$3="","",IF(COUNTIFS(Base!$A$3:$A$5001,AF$3,Base!$B$3:$B$5001,$A$5,Base!$E$3:$E$5001,"&lt;&gt;")=0,"",SUMIFS(Base!$E$3:$E$5001,Base!$A$3:$A$5001,AF$3,Base!$B$3:$B$5001,$A$5)))</f>
        <v>0</v>
      </c>
      <c r="AG7" s="39">
        <f>IF(AG$3="","",IF(COUNTIFS(Base!$A$3:$A$5001,AG$3,Base!$B$3:$B$5001,$A$5,Base!$E$3:$E$5001,"&lt;&gt;")=0,"",SUMIFS(Base!$E$3:$E$5001,Base!$A$3:$A$5001,AG$3,Base!$B$3:$B$5001,$A$5)))</f>
        <v>32.94</v>
      </c>
      <c r="AH7" s="39">
        <f>IF(AH$3="","",IF(COUNTIFS(Base!$A$3:$A$5001,AH$3,Base!$B$3:$B$5001,$A$5,Base!$E$3:$E$5001,"&lt;&gt;")=0,"",SUMIFS(Base!$E$3:$E$5001,Base!$A$3:$A$5001,AH$3,Base!$B$3:$B$5001,$A$5)))</f>
        <v>45.46</v>
      </c>
      <c r="AI7" s="39" t="str">
        <f>IF(AI$3="","",IF(COUNTIFS(Base!$A$3:$A$5001,AI$3,Base!$B$3:$B$5001,$A$5,Base!$E$3:$E$5001,"&lt;&gt;")=0,"",SUMIFS(Base!$E$3:$E$5001,Base!$A$3:$A$5001,AI$3,Base!$B$3:$B$5001,$A$5)))</f>
        <v/>
      </c>
      <c r="AJ7" s="40" t="str">
        <f>IF(AJ$3="","",IF(COUNTIFS(Base!$A$3:$A$5001,AJ$3,Base!$B$3:$B$5001,$A$5,Base!$E$3:$E$5001,"&lt;&gt;")=0,"",SUMIFS(Base!$E$3:$E$5001,Base!$A$3:$A$5001,AJ$3,Base!$B$3:$B$5001,$A$5)))</f>
        <v/>
      </c>
      <c r="AK7" s="36">
        <f>IF(COUNT(F7:AJ7)=0,"",SUM(F7:AJ7))</f>
        <v>1445.28</v>
      </c>
    </row>
    <row r="8" ht="15.75" customHeight="1">
      <c r="A8" s="118"/>
      <c r="B8" s="108" t="inlineStr">
        <is>
          <t xml:space="preserve">OUT</t>
        </is>
      </c>
      <c r="C8" s="41" t="inlineStr">
        <is>
          <t xml:space="preserve">Veículos Expedidos</t>
        </is>
      </c>
      <c r="D8" s="42">
        <v>200</v>
      </c>
      <c r="E8" s="43"/>
      <c r="F8" s="44">
        <f>IF(F$3="","",IF(COUNTIFS(Base!$A$3:$A$5001,F$3,Base!$B$3:$B$5001,$A$5,Base!$F$3:$F$5001,"&lt;&gt;")=0,"",SUMIFS(Base!$F$3:$F$5001,Base!$A$3:$A$5001,F$3,Base!$B$3:$B$5001,$A$5)))</f>
        <v>11</v>
      </c>
      <c r="G8" s="45">
        <f>IF(G$3="","",IF(COUNTIFS(Base!$A$3:$A$5001,G$3,Base!$B$3:$B$5001,$A$5,Base!$F$3:$F$5001,"&lt;&gt;")=0,"",SUMIFS(Base!$F$3:$F$5001,Base!$A$3:$A$5001,G$3,Base!$B$3:$B$5001,$A$5)))</f>
        <v>10</v>
      </c>
      <c r="H8" s="45">
        <f>IF(H$3="","",IF(COUNTIFS(Base!$A$3:$A$5001,H$3,Base!$B$3:$B$5001,$A$5,Base!$F$3:$F$5001,"&lt;&gt;")=0,"",SUMIFS(Base!$F$3:$F$5001,Base!$A$3:$A$5001,H$3,Base!$B$3:$B$5001,$A$5)))</f>
        <v>11</v>
      </c>
      <c r="I8" s="45">
        <f>IF(I$3="","",IF(COUNTIFS(Base!$A$3:$A$5001,I$3,Base!$B$3:$B$5001,$A$5,Base!$F$3:$F$5001,"&lt;&gt;")=0,"",SUMIFS(Base!$F$3:$F$5001,Base!$A$3:$A$5001,I$3,Base!$B$3:$B$5001,$A$5)))</f>
        <v>3</v>
      </c>
      <c r="J8" s="45">
        <f>IF(J$3="","",IF(COUNTIFS(Base!$A$3:$A$5001,J$3,Base!$B$3:$B$5001,$A$5,Base!$F$3:$F$5001,"&lt;&gt;")=0,"",SUMIFS(Base!$F$3:$F$5001,Base!$A$3:$A$5001,J$3,Base!$B$3:$B$5001,$A$5)))</f>
        <v>1</v>
      </c>
      <c r="K8" s="45" t="str">
        <f>IF(K$3="","",IF(COUNTIFS(Base!$A$3:$A$5001,K$3,Base!$B$3:$B$5001,$A$5,Base!$F$3:$F$5001,"&lt;&gt;")=0,"",SUMIFS(Base!$F$3:$F$5001,Base!$A$3:$A$5001,K$3,Base!$B$3:$B$5001,$A$5)))</f>
        <v/>
      </c>
      <c r="L8" s="45">
        <f>IF(L$3="","",IF(COUNTIFS(Base!$A$3:$A$5001,L$3,Base!$B$3:$B$5001,$A$5,Base!$F$3:$F$5001,"&lt;&gt;")=0,"",SUMIFS(Base!$F$3:$F$5001,Base!$A$3:$A$5001,L$3,Base!$B$3:$B$5001,$A$5)))</f>
        <v>12</v>
      </c>
      <c r="M8" s="45">
        <f>IF(M$3="","",IF(COUNTIFS(Base!$A$3:$A$5001,M$3,Base!$B$3:$B$5001,$A$5,Base!$F$3:$F$5001,"&lt;&gt;")=0,"",SUMIFS(Base!$F$3:$F$5001,Base!$A$3:$A$5001,M$3,Base!$B$3:$B$5001,$A$5)))</f>
        <v>10</v>
      </c>
      <c r="N8" s="45">
        <f>IF(N$3="","",IF(COUNTIFS(Base!$A$3:$A$5001,N$3,Base!$B$3:$B$5001,$A$5,Base!$F$3:$F$5001,"&lt;&gt;")=0,"",SUMIFS(Base!$F$3:$F$5001,Base!$A$3:$A$5001,N$3,Base!$B$3:$B$5001,$A$5)))</f>
        <v>10</v>
      </c>
      <c r="O8" s="45">
        <f>IF(O$3="","",IF(COUNTIFS(Base!$A$3:$A$5001,O$3,Base!$B$3:$B$5001,$A$5,Base!$F$3:$F$5001,"&lt;&gt;")=0,"",SUMIFS(Base!$F$3:$F$5001,Base!$A$3:$A$5001,O$3,Base!$B$3:$B$5001,$A$5)))</f>
        <v>10</v>
      </c>
      <c r="P8" s="45">
        <f>IF(P$3="","",IF(COUNTIFS(Base!$A$3:$A$5001,P$3,Base!$B$3:$B$5001,$A$5,Base!$F$3:$F$5001,"&lt;&gt;")=0,"",SUMIFS(Base!$F$3:$F$5001,Base!$A$3:$A$5001,P$3,Base!$B$3:$B$5001,$A$5)))</f>
        <v>12</v>
      </c>
      <c r="Q8" s="45">
        <f>IF(Q$3="","",IF(COUNTIFS(Base!$A$3:$A$5001,Q$3,Base!$B$3:$B$5001,$A$5,Base!$F$3:$F$5001,"&lt;&gt;")=0,"",SUMIFS(Base!$F$3:$F$5001,Base!$A$3:$A$5001,Q$3,Base!$B$3:$B$5001,$A$5)))</f>
        <v>11</v>
      </c>
      <c r="R8" s="45" t="str">
        <f>IF(R$3="","",IF(COUNTIFS(Base!$A$3:$A$5001,R$3,Base!$B$3:$B$5001,$A$5,Base!$F$3:$F$5001,"&lt;&gt;")=0,"",SUMIFS(Base!$F$3:$F$5001,Base!$A$3:$A$5001,R$3,Base!$B$3:$B$5001,$A$5)))</f>
        <v/>
      </c>
      <c r="S8" s="45">
        <f>IF(S$3="","",IF(COUNTIFS(Base!$A$3:$A$5001,S$3,Base!$B$3:$B$5001,$A$5,Base!$F$3:$F$5001,"&lt;&gt;")=0,"",SUMIFS(Base!$F$3:$F$5001,Base!$A$3:$A$5001,S$3,Base!$B$3:$B$5001,$A$5)))</f>
        <v>12</v>
      </c>
      <c r="T8" s="45">
        <f>IF(T$3="","",IF(COUNTIFS(Base!$A$3:$A$5001,T$3,Base!$B$3:$B$5001,$A$5,Base!$F$3:$F$5001,"&lt;&gt;")=0,"",SUMIFS(Base!$F$3:$F$5001,Base!$A$3:$A$5001,T$3,Base!$B$3:$B$5001,$A$5)))</f>
        <v>7</v>
      </c>
      <c r="U8" s="45">
        <f>IF(U$3="","",IF(COUNTIFS(Base!$A$3:$A$5001,U$3,Base!$B$3:$B$5001,$A$5,Base!$F$3:$F$5001,"&lt;&gt;")=0,"",SUMIFS(Base!$F$3:$F$5001,Base!$A$3:$A$5001,U$3,Base!$B$3:$B$5001,$A$5)))</f>
        <v>11</v>
      </c>
      <c r="V8" s="45">
        <f>IF(V$3="","",IF(COUNTIFS(Base!$A$3:$A$5001,V$3,Base!$B$3:$B$5001,$A$5,Base!$F$3:$F$5001,"&lt;&gt;")=0,"",SUMIFS(Base!$F$3:$F$5001,Base!$A$3:$A$5001,V$3,Base!$B$3:$B$5001,$A$5)))</f>
        <v>3</v>
      </c>
      <c r="W8" s="45">
        <f>IF(W$3="","",IF(COUNTIFS(Base!$A$3:$A$5001,W$3,Base!$B$3:$B$5001,$A$5,Base!$F$3:$F$5001,"&lt;&gt;")=0,"",SUMIFS(Base!$F$3:$F$5001,Base!$A$3:$A$5001,W$3,Base!$B$3:$B$5001,$A$5)))</f>
        <v>5</v>
      </c>
      <c r="X8" s="45" t="str">
        <f>IF(X$3="","",IF(COUNTIFS(Base!$A$3:$A$5001,X$3,Base!$B$3:$B$5001,$A$5,Base!$F$3:$F$5001,"&lt;&gt;")=0,"",SUMIFS(Base!$F$3:$F$5001,Base!$A$3:$A$5001,X$3,Base!$B$3:$B$5001,$A$5)))</f>
        <v/>
      </c>
      <c r="Y8" s="45" t="str">
        <f>IF(Y$3="","",IF(COUNTIFS(Base!$A$3:$A$5001,Y$3,Base!$B$3:$B$5001,$A$5,Base!$F$3:$F$5001,"&lt;&gt;")=0,"",SUMIFS(Base!$F$3:$F$5001,Base!$A$3:$A$5001,Y$3,Base!$B$3:$B$5001,$A$5)))</f>
        <v/>
      </c>
      <c r="Z8" s="45">
        <f>IF(Z$3="","",IF(COUNTIFS(Base!$A$3:$A$5001,Z$3,Base!$B$3:$B$5001,$A$5,Base!$F$3:$F$5001,"&lt;&gt;")=0,"",SUMIFS(Base!$F$3:$F$5001,Base!$A$3:$A$5001,Z$3,Base!$B$3:$B$5001,$A$5)))</f>
        <v>1</v>
      </c>
      <c r="AA8" s="45">
        <f>IF(AA$3="","",IF(COUNTIFS(Base!$A$3:$A$5001,AA$3,Base!$B$3:$B$5001,$A$5,Base!$F$3:$F$5001,"&lt;&gt;")=0,"",SUMIFS(Base!$F$3:$F$5001,Base!$A$3:$A$5001,AA$3,Base!$B$3:$B$5001,$A$5)))</f>
        <v>8</v>
      </c>
      <c r="AB8" s="45">
        <f>IF(AB$3="","",IF(COUNTIFS(Base!$A$3:$A$5001,AB$3,Base!$B$3:$B$5001,$A$5,Base!$F$3:$F$5001,"&lt;&gt;")=0,"",SUMIFS(Base!$F$3:$F$5001,Base!$A$3:$A$5001,AB$3,Base!$B$3:$B$5001,$A$5)))</f>
        <v>9</v>
      </c>
      <c r="AC8" s="45">
        <f>IF(AC$3="","",IF(COUNTIFS(Base!$A$3:$A$5001,AC$3,Base!$B$3:$B$5001,$A$5,Base!$F$3:$F$5001,"&lt;&gt;")=0,"",SUMIFS(Base!$F$3:$F$5001,Base!$A$3:$A$5001,AC$3,Base!$B$3:$B$5001,$A$5)))</f>
        <v>10</v>
      </c>
      <c r="AD8" s="45">
        <f>IF(AD$3="","",IF(COUNTIFS(Base!$A$3:$A$5001,AD$3,Base!$B$3:$B$5001,$A$5,Base!$F$3:$F$5001,"&lt;&gt;")=0,"",SUMIFS(Base!$F$3:$F$5001,Base!$A$3:$A$5001,AD$3,Base!$B$3:$B$5001,$A$5)))</f>
        <v>9</v>
      </c>
      <c r="AE8" s="45">
        <f>IF(AE$3="","",IF(COUNTIFS(Base!$A$3:$A$5001,AE$3,Base!$B$3:$B$5001,$A$5,Base!$F$3:$F$5001,"&lt;&gt;")=0,"",SUMIFS(Base!$F$3:$F$5001,Base!$A$3:$A$5001,AE$3,Base!$B$3:$B$5001,$A$5)))</f>
        <v>4</v>
      </c>
      <c r="AF8" s="45">
        <f>IF(AF$3="","",IF(COUNTIFS(Base!$A$3:$A$5001,AF$3,Base!$B$3:$B$5001,$A$5,Base!$F$3:$F$5001,"&lt;&gt;")=0,"",SUMIFS(Base!$F$3:$F$5001,Base!$A$3:$A$5001,AF$3,Base!$B$3:$B$5001,$A$5)))</f>
        <v>11</v>
      </c>
      <c r="AG8" s="45">
        <f>IF(AG$3="","",IF(COUNTIFS(Base!$A$3:$A$5001,AG$3,Base!$B$3:$B$5001,$A$5,Base!$F$3:$F$5001,"&lt;&gt;")=0,"",SUMIFS(Base!$F$3:$F$5001,Base!$A$3:$A$5001,AG$3,Base!$B$3:$B$5001,$A$5)))</f>
        <v>10</v>
      </c>
      <c r="AH8" s="45">
        <f>IF(AH$3="","",IF(COUNTIFS(Base!$A$3:$A$5001,AH$3,Base!$B$3:$B$5001,$A$5,Base!$F$3:$F$5001,"&lt;&gt;")=0,"",SUMIFS(Base!$F$3:$F$5001,Base!$A$3:$A$5001,AH$3,Base!$B$3:$B$5001,$A$5)))</f>
        <v>4</v>
      </c>
      <c r="AI8" s="45" t="str">
        <f>IF(AI$3="","",IF(COUNTIFS(Base!$A$3:$A$5001,AI$3,Base!$B$3:$B$5001,$A$5,Base!$F$3:$F$5001,"&lt;&gt;")=0,"",SUMIFS(Base!$F$3:$F$5001,Base!$A$3:$A$5001,AI$3,Base!$B$3:$B$5001,$A$5)))</f>
        <v/>
      </c>
      <c r="AJ8" s="46" t="str">
        <f>IF(AJ$3="","",IF(COUNTIFS(Base!$A$3:$A$5001,AJ$3,Base!$B$3:$B$5001,$A$5,Base!$F$3:$F$5001,"&lt;&gt;")=0,"",SUMIFS(Base!$F$3:$F$5001,Base!$A$3:$A$5001,AJ$3,Base!$B$3:$B$5001,$A$5)))</f>
        <v/>
      </c>
      <c r="AK8" s="47">
        <f>IF(COUNT(F8:AJ8)=0,"",SUM(F8:AJ8))</f>
        <v>205</v>
      </c>
    </row>
    <row r="9" ht="15.75" customHeight="1">
      <c r="A9" s="118"/>
      <c r="B9" s="109"/>
      <c r="C9" s="48" t="inlineStr">
        <is>
          <t xml:space="preserve">Pallets Movimentados</t>
        </is>
      </c>
      <c r="D9" s="49"/>
      <c r="E9" s="50"/>
      <c r="F9" s="51">
        <f>IF(F$3="","",IF(COUNTIFS(Base!$A$3:$A$5001,F$3,Base!$B$3:$B$5001,$A$5,Base!$G$3:$G$5001,"&lt;&gt;")=0,"",SUMIFS(Base!$G$3:$G$5001,Base!$A$3:$A$5001,F$3,Base!$B$3:$B$5001,$A$5)))</f>
        <v>198</v>
      </c>
      <c r="G9" s="52">
        <f>IF(G$3="","",IF(COUNTIFS(Base!$A$3:$A$5001,G$3,Base!$B$3:$B$5001,$A$5,Base!$G$3:$G$5001,"&lt;&gt;")=0,"",SUMIFS(Base!$G$3:$G$5001,Base!$A$3:$A$5001,G$3,Base!$B$3:$B$5001,$A$5)))</f>
        <v>180</v>
      </c>
      <c r="H9" s="52">
        <f>IF(H$3="","",IF(COUNTIFS(Base!$A$3:$A$5001,H$3,Base!$B$3:$B$5001,$A$5,Base!$G$3:$G$5001,"&lt;&gt;")=0,"",SUMIFS(Base!$G$3:$G$5001,Base!$A$3:$A$5001,H$3,Base!$B$3:$B$5001,$A$5)))</f>
        <v>198</v>
      </c>
      <c r="I9" s="52">
        <f>IF(I$3="","",IF(COUNTIFS(Base!$A$3:$A$5001,I$3,Base!$B$3:$B$5001,$A$5,Base!$G$3:$G$5001,"&lt;&gt;")=0,"",SUMIFS(Base!$G$3:$G$5001,Base!$A$3:$A$5001,I$3,Base!$B$3:$B$5001,$A$5)))</f>
        <v>54</v>
      </c>
      <c r="J9" s="52">
        <f>IF(J$3="","",IF(COUNTIFS(Base!$A$3:$A$5001,J$3,Base!$B$3:$B$5001,$A$5,Base!$G$3:$G$5001,"&lt;&gt;")=0,"",SUMIFS(Base!$G$3:$G$5001,Base!$A$3:$A$5001,J$3,Base!$B$3:$B$5001,$A$5)))</f>
        <v>18</v>
      </c>
      <c r="K9" s="52" t="str">
        <f>IF(K$3="","",IF(COUNTIFS(Base!$A$3:$A$5001,K$3,Base!$B$3:$B$5001,$A$5,Base!$G$3:$G$5001,"&lt;&gt;")=0,"",SUMIFS(Base!$G$3:$G$5001,Base!$A$3:$A$5001,K$3,Base!$B$3:$B$5001,$A$5)))</f>
        <v/>
      </c>
      <c r="L9" s="52">
        <f>IF(L$3="","",IF(COUNTIFS(Base!$A$3:$A$5001,L$3,Base!$B$3:$B$5001,$A$5,Base!$G$3:$G$5001,"&lt;&gt;")=0,"",SUMIFS(Base!$G$3:$G$5001,Base!$A$3:$A$5001,L$3,Base!$B$3:$B$5001,$A$5)))</f>
        <v>216</v>
      </c>
      <c r="M9" s="52">
        <f>IF(M$3="","",IF(COUNTIFS(Base!$A$3:$A$5001,M$3,Base!$B$3:$B$5001,$A$5,Base!$G$3:$G$5001,"&lt;&gt;")=0,"",SUMIFS(Base!$G$3:$G$5001,Base!$A$3:$A$5001,M$3,Base!$B$3:$B$5001,$A$5)))</f>
        <v>180</v>
      </c>
      <c r="N9" s="52">
        <f>IF(N$3="","",IF(COUNTIFS(Base!$A$3:$A$5001,N$3,Base!$B$3:$B$5001,$A$5,Base!$G$3:$G$5001,"&lt;&gt;")=0,"",SUMIFS(Base!$G$3:$G$5001,Base!$A$3:$A$5001,N$3,Base!$B$3:$B$5001,$A$5)))</f>
        <v>180</v>
      </c>
      <c r="O9" s="52">
        <f>IF(O$3="","",IF(COUNTIFS(Base!$A$3:$A$5001,O$3,Base!$B$3:$B$5001,$A$5,Base!$G$3:$G$5001,"&lt;&gt;")=0,"",SUMIFS(Base!$G$3:$G$5001,Base!$A$3:$A$5001,O$3,Base!$B$3:$B$5001,$A$5)))</f>
        <v>180</v>
      </c>
      <c r="P9" s="52">
        <f>IF(P$3="","",IF(COUNTIFS(Base!$A$3:$A$5001,P$3,Base!$B$3:$B$5001,$A$5,Base!$G$3:$G$5001,"&lt;&gt;")=0,"",SUMIFS(Base!$G$3:$G$5001,Base!$A$3:$A$5001,P$3,Base!$B$3:$B$5001,$A$5)))</f>
        <v>216</v>
      </c>
      <c r="Q9" s="52">
        <f>IF(Q$3="","",IF(COUNTIFS(Base!$A$3:$A$5001,Q$3,Base!$B$3:$B$5001,$A$5,Base!$G$3:$G$5001,"&lt;&gt;")=0,"",SUMIFS(Base!$G$3:$G$5001,Base!$A$3:$A$5001,Q$3,Base!$B$3:$B$5001,$A$5)))</f>
        <v>198</v>
      </c>
      <c r="R9" s="52" t="str">
        <f>IF(R$3="","",IF(COUNTIFS(Base!$A$3:$A$5001,R$3,Base!$B$3:$B$5001,$A$5,Base!$G$3:$G$5001,"&lt;&gt;")=0,"",SUMIFS(Base!$G$3:$G$5001,Base!$A$3:$A$5001,R$3,Base!$B$3:$B$5001,$A$5)))</f>
        <v/>
      </c>
      <c r="S9" s="52">
        <f>IF(S$3="","",IF(COUNTIFS(Base!$A$3:$A$5001,S$3,Base!$B$3:$B$5001,$A$5,Base!$G$3:$G$5001,"&lt;&gt;")=0,"",SUMIFS(Base!$G$3:$G$5001,Base!$A$3:$A$5001,S$3,Base!$B$3:$B$5001,$A$5)))</f>
        <v>216</v>
      </c>
      <c r="T9" s="52">
        <f>IF(T$3="","",IF(COUNTIFS(Base!$A$3:$A$5001,T$3,Base!$B$3:$B$5001,$A$5,Base!$G$3:$G$5001,"&lt;&gt;")=0,"",SUMIFS(Base!$G$3:$G$5001,Base!$A$3:$A$5001,T$3,Base!$B$3:$B$5001,$A$5)))</f>
        <v>126</v>
      </c>
      <c r="U9" s="52">
        <f>IF(U$3="","",IF(COUNTIFS(Base!$A$3:$A$5001,U$3,Base!$B$3:$B$5001,$A$5,Base!$G$3:$G$5001,"&lt;&gt;")=0,"",SUMIFS(Base!$G$3:$G$5001,Base!$A$3:$A$5001,U$3,Base!$B$3:$B$5001,$A$5)))</f>
        <v>198</v>
      </c>
      <c r="V9" s="52">
        <f>IF(V$3="","",IF(COUNTIFS(Base!$A$3:$A$5001,V$3,Base!$B$3:$B$5001,$A$5,Base!$G$3:$G$5001,"&lt;&gt;")=0,"",SUMIFS(Base!$G$3:$G$5001,Base!$A$3:$A$5001,V$3,Base!$B$3:$B$5001,$A$5)))</f>
        <v>54</v>
      </c>
      <c r="W9" s="52">
        <f>IF(W$3="","",IF(COUNTIFS(Base!$A$3:$A$5001,W$3,Base!$B$3:$B$5001,$A$5,Base!$G$3:$G$5001,"&lt;&gt;")=0,"",SUMIFS(Base!$G$3:$G$5001,Base!$A$3:$A$5001,W$3,Base!$B$3:$B$5001,$A$5)))</f>
        <v>90</v>
      </c>
      <c r="X9" s="52" t="str">
        <f>IF(X$3="","",IF(COUNTIFS(Base!$A$3:$A$5001,X$3,Base!$B$3:$B$5001,$A$5,Base!$G$3:$G$5001,"&lt;&gt;")=0,"",SUMIFS(Base!$G$3:$G$5001,Base!$A$3:$A$5001,X$3,Base!$B$3:$B$5001,$A$5)))</f>
        <v/>
      </c>
      <c r="Y9" s="52" t="str">
        <f>IF(Y$3="","",IF(COUNTIFS(Base!$A$3:$A$5001,Y$3,Base!$B$3:$B$5001,$A$5,Base!$G$3:$G$5001,"&lt;&gt;")=0,"",SUMIFS(Base!$G$3:$G$5001,Base!$A$3:$A$5001,Y$3,Base!$B$3:$B$5001,$A$5)))</f>
        <v/>
      </c>
      <c r="Z9" s="52">
        <f>IF(Z$3="","",IF(COUNTIFS(Base!$A$3:$A$5001,Z$3,Base!$B$3:$B$5001,$A$5,Base!$G$3:$G$5001,"&lt;&gt;")=0,"",SUMIFS(Base!$G$3:$G$5001,Base!$A$3:$A$5001,Z$3,Base!$B$3:$B$5001,$A$5)))</f>
        <v>18</v>
      </c>
      <c r="AA9" s="52">
        <f>IF(AA$3="","",IF(COUNTIFS(Base!$A$3:$A$5001,AA$3,Base!$B$3:$B$5001,$A$5,Base!$G$3:$G$5001,"&lt;&gt;")=0,"",SUMIFS(Base!$G$3:$G$5001,Base!$A$3:$A$5001,AA$3,Base!$B$3:$B$5001,$A$5)))</f>
        <v>144</v>
      </c>
      <c r="AB9" s="52">
        <f>IF(AB$3="","",IF(COUNTIFS(Base!$A$3:$A$5001,AB$3,Base!$B$3:$B$5001,$A$5,Base!$G$3:$G$5001,"&lt;&gt;")=0,"",SUMIFS(Base!$G$3:$G$5001,Base!$A$3:$A$5001,AB$3,Base!$B$3:$B$5001,$A$5)))</f>
        <v>162</v>
      </c>
      <c r="AC9" s="52">
        <f>IF(AC$3="","",IF(COUNTIFS(Base!$A$3:$A$5001,AC$3,Base!$B$3:$B$5001,$A$5,Base!$G$3:$G$5001,"&lt;&gt;")=0,"",SUMIFS(Base!$G$3:$G$5001,Base!$A$3:$A$5001,AC$3,Base!$B$3:$B$5001,$A$5)))</f>
        <v>180</v>
      </c>
      <c r="AD9" s="52">
        <f>IF(AD$3="","",IF(COUNTIFS(Base!$A$3:$A$5001,AD$3,Base!$B$3:$B$5001,$A$5,Base!$G$3:$G$5001,"&lt;&gt;")=0,"",SUMIFS(Base!$G$3:$G$5001,Base!$A$3:$A$5001,AD$3,Base!$B$3:$B$5001,$A$5)))</f>
        <v>162</v>
      </c>
      <c r="AE9" s="52">
        <f>IF(AE$3="","",IF(COUNTIFS(Base!$A$3:$A$5001,AE$3,Base!$B$3:$B$5001,$A$5,Base!$G$3:$G$5001,"&lt;&gt;")=0,"",SUMIFS(Base!$G$3:$G$5001,Base!$A$3:$A$5001,AE$3,Base!$B$3:$B$5001,$A$5)))</f>
        <v>72</v>
      </c>
      <c r="AF9" s="52">
        <f>IF(AF$3="","",IF(COUNTIFS(Base!$A$3:$A$5001,AF$3,Base!$B$3:$B$5001,$A$5,Base!$G$3:$G$5001,"&lt;&gt;")=0,"",SUMIFS(Base!$G$3:$G$5001,Base!$A$3:$A$5001,AF$3,Base!$B$3:$B$5001,$A$5)))</f>
        <v>198</v>
      </c>
      <c r="AG9" s="52">
        <f>IF(AG$3="","",IF(COUNTIFS(Base!$A$3:$A$5001,AG$3,Base!$B$3:$B$5001,$A$5,Base!$G$3:$G$5001,"&lt;&gt;")=0,"",SUMIFS(Base!$G$3:$G$5001,Base!$A$3:$A$5001,AG$3,Base!$B$3:$B$5001,$A$5)))</f>
        <v>180</v>
      </c>
      <c r="AH9" s="52">
        <f>IF(AH$3="","",IF(COUNTIFS(Base!$A$3:$A$5001,AH$3,Base!$B$3:$B$5001,$A$5,Base!$G$3:$G$5001,"&lt;&gt;")=0,"",SUMIFS(Base!$G$3:$G$5001,Base!$A$3:$A$5001,AH$3,Base!$B$3:$B$5001,$A$5)))</f>
        <v>72</v>
      </c>
      <c r="AI9" s="52" t="str">
        <f>IF(AI$3="","",IF(COUNTIFS(Base!$A$3:$A$5001,AI$3,Base!$B$3:$B$5001,$A$5,Base!$G$3:$G$5001,"&lt;&gt;")=0,"",SUMIFS(Base!$G$3:$G$5001,Base!$A$3:$A$5001,AI$3,Base!$B$3:$B$5001,$A$5)))</f>
        <v/>
      </c>
      <c r="AJ9" s="53" t="str">
        <f>IF(AJ$3="","",IF(COUNTIFS(Base!$A$3:$A$5001,AJ$3,Base!$B$3:$B$5001,$A$5,Base!$G$3:$G$5001,"&lt;&gt;")=0,"",SUMIFS(Base!$G$3:$G$5001,Base!$A$3:$A$5001,AJ$3,Base!$B$3:$B$5001,$A$5)))</f>
        <v/>
      </c>
      <c r="AK9" s="54">
        <f>IF(COUNT(F9:AJ9)=0,"",SUM(F9:AJ9))</f>
        <v>3690</v>
      </c>
    </row>
    <row r="10" ht="15.75" customHeight="1">
      <c r="A10" s="118"/>
      <c r="B10" s="110"/>
      <c r="C10" s="55" t="inlineStr">
        <is>
          <t xml:space="preserve">Toneladas Movimentadas</t>
        </is>
      </c>
      <c r="D10" s="56"/>
      <c r="E10" s="57"/>
      <c r="F10" s="58">
        <f>IF(F$3="","",IF(COUNTIFS(Base!$A$3:$A$5001,F$3,Base!$B$3:$B$5001,$A$5,Base!$H$3:$H$5001,"&lt;&gt;")=0,"",SUMIFS(Base!$H$3:$H$5001,Base!$A$3:$A$5001,F$3,Base!$B$3:$B$5001,$A$5)))</f>
        <v>193.85</v>
      </c>
      <c r="G10" s="59">
        <f>IF(G$3="","",IF(COUNTIFS(Base!$A$3:$A$5001,G$3,Base!$B$3:$B$5001,$A$5,Base!$H$3:$H$5001,"&lt;&gt;")=0,"",SUMIFS(Base!$H$3:$H$5001,Base!$A$3:$A$5001,G$3,Base!$B$3:$B$5001,$A$5)))</f>
        <v>64.98</v>
      </c>
      <c r="H10" s="59">
        <f>IF(H$3="","",IF(COUNTIFS(Base!$A$3:$A$5001,H$3,Base!$B$3:$B$5001,$A$5,Base!$H$3:$H$5001,"&lt;&gt;")=0,"",SUMIFS(Base!$H$3:$H$5001,Base!$A$3:$A$5001,H$3,Base!$B$3:$B$5001,$A$5)))</f>
        <v>82.36</v>
      </c>
      <c r="I10" s="59">
        <f>IF(I$3="","",IF(COUNTIFS(Base!$A$3:$A$5001,I$3,Base!$B$3:$B$5001,$A$5,Base!$H$3:$H$5001,"&lt;&gt;")=0,"",SUMIFS(Base!$H$3:$H$5001,Base!$A$3:$A$5001,I$3,Base!$B$3:$B$5001,$A$5)))</f>
        <v>42.13</v>
      </c>
      <c r="J10" s="59">
        <f>IF(J$3="","",IF(COUNTIFS(Base!$A$3:$A$5001,J$3,Base!$B$3:$B$5001,$A$5,Base!$H$3:$H$5001,"&lt;&gt;")=0,"",SUMIFS(Base!$H$3:$H$5001,Base!$A$3:$A$5001,J$3,Base!$B$3:$B$5001,$A$5)))</f>
        <v>8.64</v>
      </c>
      <c r="K10" s="59" t="str">
        <f>IF(K$3="","",IF(COUNTIFS(Base!$A$3:$A$5001,K$3,Base!$B$3:$B$5001,$A$5,Base!$H$3:$H$5001,"&lt;&gt;")=0,"",SUMIFS(Base!$H$3:$H$5001,Base!$A$3:$A$5001,K$3,Base!$B$3:$B$5001,$A$5)))</f>
        <v/>
      </c>
      <c r="L10" s="59">
        <f>IF(L$3="","",IF(COUNTIFS(Base!$A$3:$A$5001,L$3,Base!$B$3:$B$5001,$A$5,Base!$H$3:$H$5001,"&lt;&gt;")=0,"",SUMIFS(Base!$H$3:$H$5001,Base!$A$3:$A$5001,L$3,Base!$B$3:$B$5001,$A$5)))</f>
        <v>143.18</v>
      </c>
      <c r="M10" s="59">
        <f>IF(M$3="","",IF(COUNTIFS(Base!$A$3:$A$5001,M$3,Base!$B$3:$B$5001,$A$5,Base!$H$3:$H$5001,"&lt;&gt;")=0,"",SUMIFS(Base!$H$3:$H$5001,Base!$A$3:$A$5001,M$3,Base!$B$3:$B$5001,$A$5)))</f>
        <v>192.77</v>
      </c>
      <c r="N10" s="59">
        <f>IF(N$3="","",IF(COUNTIFS(Base!$A$3:$A$5001,N$3,Base!$B$3:$B$5001,$A$5,Base!$H$3:$H$5001,"&lt;&gt;")=0,"",SUMIFS(Base!$H$3:$H$5001,Base!$A$3:$A$5001,N$3,Base!$B$3:$B$5001,$A$5)))</f>
        <v>119.86</v>
      </c>
      <c r="O10" s="59">
        <f>IF(O$3="","",IF(COUNTIFS(Base!$A$3:$A$5001,O$3,Base!$B$3:$B$5001,$A$5,Base!$H$3:$H$5001,"&lt;&gt;")=0,"",SUMIFS(Base!$H$3:$H$5001,Base!$A$3:$A$5001,O$3,Base!$B$3:$B$5001,$A$5)))</f>
        <v>199.47</v>
      </c>
      <c r="P10" s="59">
        <f>IF(P$3="","",IF(COUNTIFS(Base!$A$3:$A$5001,P$3,Base!$B$3:$B$5001,$A$5,Base!$H$3:$H$5001,"&lt;&gt;")=0,"",SUMIFS(Base!$H$3:$H$5001,Base!$A$3:$A$5001,P$3,Base!$B$3:$B$5001,$A$5)))</f>
        <v>185.23</v>
      </c>
      <c r="Q10" s="59">
        <f>IF(Q$3="","",IF(COUNTIFS(Base!$A$3:$A$5001,Q$3,Base!$B$3:$B$5001,$A$5,Base!$H$3:$H$5001,"&lt;&gt;")=0,"",SUMIFS(Base!$H$3:$H$5001,Base!$A$3:$A$5001,Q$3,Base!$B$3:$B$5001,$A$5)))</f>
        <v>213.02</v>
      </c>
      <c r="R10" s="59" t="str">
        <f>IF(R$3="","",IF(COUNTIFS(Base!$A$3:$A$5001,R$3,Base!$B$3:$B$5001,$A$5,Base!$H$3:$H$5001,"&lt;&gt;")=0,"",SUMIFS(Base!$H$3:$H$5001,Base!$A$3:$A$5001,R$3,Base!$B$3:$B$5001,$A$5)))</f>
        <v/>
      </c>
      <c r="S10" s="59">
        <f>IF(S$3="","",IF(COUNTIFS(Base!$A$3:$A$5001,S$3,Base!$B$3:$B$5001,$A$5,Base!$H$3:$H$5001,"&lt;&gt;")=0,"",SUMIFS(Base!$H$3:$H$5001,Base!$A$3:$A$5001,S$3,Base!$B$3:$B$5001,$A$5)))</f>
        <v>238.71</v>
      </c>
      <c r="T10" s="59">
        <f>IF(T$3="","",IF(COUNTIFS(Base!$A$3:$A$5001,T$3,Base!$B$3:$B$5001,$A$5,Base!$H$3:$H$5001,"&lt;&gt;")=0,"",SUMIFS(Base!$H$3:$H$5001,Base!$A$3:$A$5001,T$3,Base!$B$3:$B$5001,$A$5)))</f>
        <v>46.14</v>
      </c>
      <c r="U10" s="59">
        <f>IF(U$3="","",IF(COUNTIFS(Base!$A$3:$A$5001,U$3,Base!$B$3:$B$5001,$A$5,Base!$H$3:$H$5001,"&lt;&gt;")=0,"",SUMIFS(Base!$H$3:$H$5001,Base!$A$3:$A$5001,U$3,Base!$B$3:$B$5001,$A$5)))</f>
        <v>61.37</v>
      </c>
      <c r="V10" s="59">
        <f>IF(V$3="","",IF(COUNTIFS(Base!$A$3:$A$5001,V$3,Base!$B$3:$B$5001,$A$5,Base!$H$3:$H$5001,"&lt;&gt;")=0,"",SUMIFS(Base!$H$3:$H$5001,Base!$A$3:$A$5001,V$3,Base!$B$3:$B$5001,$A$5)))</f>
        <v>43.27</v>
      </c>
      <c r="W10" s="59">
        <f>IF(W$3="","",IF(COUNTIFS(Base!$A$3:$A$5001,W$3,Base!$B$3:$B$5001,$A$5,Base!$H$3:$H$5001,"&lt;&gt;")=0,"",SUMIFS(Base!$H$3:$H$5001,Base!$A$3:$A$5001,W$3,Base!$B$3:$B$5001,$A$5)))</f>
        <v>58.23</v>
      </c>
      <c r="X10" s="59" t="str">
        <f>IF(X$3="","",IF(COUNTIFS(Base!$A$3:$A$5001,X$3,Base!$B$3:$B$5001,$A$5,Base!$H$3:$H$5001,"&lt;&gt;")=0,"",SUMIFS(Base!$H$3:$H$5001,Base!$A$3:$A$5001,X$3,Base!$B$3:$B$5001,$A$5)))</f>
        <v/>
      </c>
      <c r="Y10" s="59" t="str">
        <f>IF(Y$3="","",IF(COUNTIFS(Base!$A$3:$A$5001,Y$3,Base!$B$3:$B$5001,$A$5,Base!$H$3:$H$5001,"&lt;&gt;")=0,"",SUMIFS(Base!$H$3:$H$5001,Base!$A$3:$A$5001,Y$3,Base!$B$3:$B$5001,$A$5)))</f>
        <v/>
      </c>
      <c r="Z10" s="59">
        <f>IF(Z$3="","",IF(COUNTIFS(Base!$A$3:$A$5001,Z$3,Base!$B$3:$B$5001,$A$5,Base!$H$3:$H$5001,"&lt;&gt;")=0,"",SUMIFS(Base!$H$3:$H$5001,Base!$A$3:$A$5001,Z$3,Base!$B$3:$B$5001,$A$5)))</f>
        <v>13.33</v>
      </c>
      <c r="AA10" s="59">
        <f>IF(AA$3="","",IF(COUNTIFS(Base!$A$3:$A$5001,AA$3,Base!$B$3:$B$5001,$A$5,Base!$H$3:$H$5001,"&lt;&gt;")=0,"",SUMIFS(Base!$H$3:$H$5001,Base!$A$3:$A$5001,AA$3,Base!$B$3:$B$5001,$A$5)))</f>
        <v>102.08</v>
      </c>
      <c r="AB10" s="59">
        <f>IF(AB$3="","",IF(COUNTIFS(Base!$A$3:$A$5001,AB$3,Base!$B$3:$B$5001,$A$5,Base!$H$3:$H$5001,"&lt;&gt;")=0,"",SUMIFS(Base!$H$3:$H$5001,Base!$A$3:$A$5001,AB$3,Base!$B$3:$B$5001,$A$5)))</f>
        <v>77.86</v>
      </c>
      <c r="AC10" s="59">
        <f>IF(AC$3="","",IF(COUNTIFS(Base!$A$3:$A$5001,AC$3,Base!$B$3:$B$5001,$A$5,Base!$H$3:$H$5001,"&lt;&gt;")=0,"",SUMIFS(Base!$H$3:$H$5001,Base!$A$3:$A$5001,AC$3,Base!$B$3:$B$5001,$A$5)))</f>
        <v>73.18</v>
      </c>
      <c r="AD10" s="59">
        <f>IF(AD$3="","",IF(COUNTIFS(Base!$A$3:$A$5001,AD$3,Base!$B$3:$B$5001,$A$5,Base!$H$3:$H$5001,"&lt;&gt;")=0,"",SUMIFS(Base!$H$3:$H$5001,Base!$A$3:$A$5001,AD$3,Base!$B$3:$B$5001,$A$5)))</f>
        <v>76.31</v>
      </c>
      <c r="AE10" s="59">
        <f>IF(AE$3="","",IF(COUNTIFS(Base!$A$3:$A$5001,AE$3,Base!$B$3:$B$5001,$A$5,Base!$H$3:$H$5001,"&lt;&gt;")=0,"",SUMIFS(Base!$H$3:$H$5001,Base!$A$3:$A$5001,AE$3,Base!$B$3:$B$5001,$A$5)))</f>
        <v>26.63</v>
      </c>
      <c r="AF10" s="59">
        <f>IF(AF$3="","",IF(COUNTIFS(Base!$A$3:$A$5001,AF$3,Base!$B$3:$B$5001,$A$5,Base!$H$3:$H$5001,"&lt;&gt;")=0,"",SUMIFS(Base!$H$3:$H$5001,Base!$A$3:$A$5001,AF$3,Base!$B$3:$B$5001,$A$5)))</f>
        <v>55.65</v>
      </c>
      <c r="AG10" s="59">
        <f>IF(AG$3="","",IF(COUNTIFS(Base!$A$3:$A$5001,AG$3,Base!$B$3:$B$5001,$A$5,Base!$H$3:$H$5001,"&lt;&gt;")=0,"",SUMIFS(Base!$H$3:$H$5001,Base!$A$3:$A$5001,AG$3,Base!$B$3:$B$5001,$A$5)))</f>
        <v>127.15</v>
      </c>
      <c r="AH10" s="59">
        <f>IF(AH$3="","",IF(COUNTIFS(Base!$A$3:$A$5001,AH$3,Base!$B$3:$B$5001,$A$5,Base!$H$3:$H$5001,"&lt;&gt;")=0,"",SUMIFS(Base!$H$3:$H$5001,Base!$A$3:$A$5001,AH$3,Base!$B$3:$B$5001,$A$5)))</f>
        <v>49.73</v>
      </c>
      <c r="AI10" s="59" t="str">
        <f>IF(AI$3="","",IF(COUNTIFS(Base!$A$3:$A$5001,AI$3,Base!$B$3:$B$5001,$A$5,Base!$H$3:$H$5001,"&lt;&gt;")=0,"",SUMIFS(Base!$H$3:$H$5001,Base!$A$3:$A$5001,AI$3,Base!$B$3:$B$5001,$A$5)))</f>
        <v/>
      </c>
      <c r="AJ10" s="60" t="str">
        <f>IF(AJ$3="","",IF(COUNTIFS(Base!$A$3:$A$5001,AJ$3,Base!$B$3:$B$5001,$A$5,Base!$H$3:$H$5001,"&lt;&gt;")=0,"",SUMIFS(Base!$H$3:$H$5001,Base!$A$3:$A$5001,AJ$3,Base!$B$3:$B$5001,$A$5)))</f>
        <v/>
      </c>
      <c r="AK10" s="56">
        <f>IF(COUNT(F10:AJ10)=0,"",SUM(F10:AJ10))</f>
        <v>2495.13</v>
      </c>
    </row>
    <row r="11" ht="15.75" customHeight="1">
      <c r="A11" s="118"/>
      <c r="B11" s="111" t="inlineStr">
        <is>
          <t xml:space="preserve">NC</t>
        </is>
      </c>
      <c r="C11" s="61" t="inlineStr">
        <is>
          <t xml:space="preserve">Incidentes</t>
        </is>
      </c>
      <c r="D11" s="62"/>
      <c r="E11" s="63"/>
      <c r="F11" s="64">
        <f>IF(F$3="","",IF(COUNTIFS(Base!$A$3:$A$5001,F$3,Base!$B$3:$B$5001,$A$5,Base!$I$3:$I$5001,"&lt;&gt;")=0,"",SUMIFS(Base!$I$3:$I$5001,Base!$A$3:$A$5001,F$3,Base!$B$3:$B$5001,$A$5)))</f>
        <v>0</v>
      </c>
      <c r="G11" s="65">
        <f>IF(G$3="","",IF(COUNTIFS(Base!$A$3:$A$5001,G$3,Base!$B$3:$B$5001,$A$5,Base!$I$3:$I$5001,"&lt;&gt;")=0,"",SUMIFS(Base!$I$3:$I$5001,Base!$A$3:$A$5001,G$3,Base!$B$3:$B$5001,$A$5)))</f>
        <v>0</v>
      </c>
      <c r="H11" s="65">
        <f>IF(H$3="","",IF(COUNTIFS(Base!$A$3:$A$5001,H$3,Base!$B$3:$B$5001,$A$5,Base!$I$3:$I$5001,"&lt;&gt;")=0,"",SUMIFS(Base!$I$3:$I$5001,Base!$A$3:$A$5001,H$3,Base!$B$3:$B$5001,$A$5)))</f>
        <v>0</v>
      </c>
      <c r="I11" s="65">
        <f>IF(I$3="","",IF(COUNTIFS(Base!$A$3:$A$5001,I$3,Base!$B$3:$B$5001,$A$5,Base!$I$3:$I$5001,"&lt;&gt;")=0,"",SUMIFS(Base!$I$3:$I$5001,Base!$A$3:$A$5001,I$3,Base!$B$3:$B$5001,$A$5)))</f>
        <v>0</v>
      </c>
      <c r="J11" s="65">
        <f>IF(J$3="","",IF(COUNTIFS(Base!$A$3:$A$5001,J$3,Base!$B$3:$B$5001,$A$5,Base!$I$3:$I$5001,"&lt;&gt;")=0,"",SUMIFS(Base!$I$3:$I$5001,Base!$A$3:$A$5001,J$3,Base!$B$3:$B$5001,$A$5)))</f>
        <v>0</v>
      </c>
      <c r="K11" s="65" t="str">
        <f>IF(K$3="","",IF(COUNTIFS(Base!$A$3:$A$5001,K$3,Base!$B$3:$B$5001,$A$5,Base!$I$3:$I$5001,"&lt;&gt;")=0,"",SUMIFS(Base!$I$3:$I$5001,Base!$A$3:$A$5001,K$3,Base!$B$3:$B$5001,$A$5)))</f>
        <v/>
      </c>
      <c r="L11" s="65">
        <f>IF(L$3="","",IF(COUNTIFS(Base!$A$3:$A$5001,L$3,Base!$B$3:$B$5001,$A$5,Base!$I$3:$I$5001,"&lt;&gt;")=0,"",SUMIFS(Base!$I$3:$I$5001,Base!$A$3:$A$5001,L$3,Base!$B$3:$B$5001,$A$5)))</f>
        <v>0</v>
      </c>
      <c r="M11" s="65">
        <f>IF(M$3="","",IF(COUNTIFS(Base!$A$3:$A$5001,M$3,Base!$B$3:$B$5001,$A$5,Base!$I$3:$I$5001,"&lt;&gt;")=0,"",SUMIFS(Base!$I$3:$I$5001,Base!$A$3:$A$5001,M$3,Base!$B$3:$B$5001,$A$5)))</f>
        <v>0</v>
      </c>
      <c r="N11" s="65">
        <f>IF(N$3="","",IF(COUNTIFS(Base!$A$3:$A$5001,N$3,Base!$B$3:$B$5001,$A$5,Base!$I$3:$I$5001,"&lt;&gt;")=0,"",SUMIFS(Base!$I$3:$I$5001,Base!$A$3:$A$5001,N$3,Base!$B$3:$B$5001,$A$5)))</f>
        <v>0</v>
      </c>
      <c r="O11" s="65">
        <f>IF(O$3="","",IF(COUNTIFS(Base!$A$3:$A$5001,O$3,Base!$B$3:$B$5001,$A$5,Base!$I$3:$I$5001,"&lt;&gt;")=0,"",SUMIFS(Base!$I$3:$I$5001,Base!$A$3:$A$5001,O$3,Base!$B$3:$B$5001,$A$5)))</f>
        <v>0</v>
      </c>
      <c r="P11" s="65">
        <f>IF(P$3="","",IF(COUNTIFS(Base!$A$3:$A$5001,P$3,Base!$B$3:$B$5001,$A$5,Base!$I$3:$I$5001,"&lt;&gt;")=0,"",SUMIFS(Base!$I$3:$I$5001,Base!$A$3:$A$5001,P$3,Base!$B$3:$B$5001,$A$5)))</f>
        <v>0</v>
      </c>
      <c r="Q11" s="65">
        <f>IF(Q$3="","",IF(COUNTIFS(Base!$A$3:$A$5001,Q$3,Base!$B$3:$B$5001,$A$5,Base!$I$3:$I$5001,"&lt;&gt;")=0,"",SUMIFS(Base!$I$3:$I$5001,Base!$A$3:$A$5001,Q$3,Base!$B$3:$B$5001,$A$5)))</f>
        <v>0</v>
      </c>
      <c r="R11" s="65" t="str">
        <f>IF(R$3="","",IF(COUNTIFS(Base!$A$3:$A$5001,R$3,Base!$B$3:$B$5001,$A$5,Base!$I$3:$I$5001,"&lt;&gt;")=0,"",SUMIFS(Base!$I$3:$I$5001,Base!$A$3:$A$5001,R$3,Base!$B$3:$B$5001,$A$5)))</f>
        <v/>
      </c>
      <c r="S11" s="65">
        <f>IF(S$3="","",IF(COUNTIFS(Base!$A$3:$A$5001,S$3,Base!$B$3:$B$5001,$A$5,Base!$I$3:$I$5001,"&lt;&gt;")=0,"",SUMIFS(Base!$I$3:$I$5001,Base!$A$3:$A$5001,S$3,Base!$B$3:$B$5001,$A$5)))</f>
        <v>0</v>
      </c>
      <c r="T11" s="65">
        <f>IF(T$3="","",IF(COUNTIFS(Base!$A$3:$A$5001,T$3,Base!$B$3:$B$5001,$A$5,Base!$I$3:$I$5001,"&lt;&gt;")=0,"",SUMIFS(Base!$I$3:$I$5001,Base!$A$3:$A$5001,T$3,Base!$B$3:$B$5001,$A$5)))</f>
        <v>1</v>
      </c>
      <c r="U11" s="65">
        <f>IF(U$3="","",IF(COUNTIFS(Base!$A$3:$A$5001,U$3,Base!$B$3:$B$5001,$A$5,Base!$I$3:$I$5001,"&lt;&gt;")=0,"",SUMIFS(Base!$I$3:$I$5001,Base!$A$3:$A$5001,U$3,Base!$B$3:$B$5001,$A$5)))</f>
        <v>0</v>
      </c>
      <c r="V11" s="65">
        <f>IF(V$3="","",IF(COUNTIFS(Base!$A$3:$A$5001,V$3,Base!$B$3:$B$5001,$A$5,Base!$I$3:$I$5001,"&lt;&gt;")=0,"",SUMIFS(Base!$I$3:$I$5001,Base!$A$3:$A$5001,V$3,Base!$B$3:$B$5001,$A$5)))</f>
        <v>0</v>
      </c>
      <c r="W11" s="65">
        <f>IF(W$3="","",IF(COUNTIFS(Base!$A$3:$A$5001,W$3,Base!$B$3:$B$5001,$A$5,Base!$I$3:$I$5001,"&lt;&gt;")=0,"",SUMIFS(Base!$I$3:$I$5001,Base!$A$3:$A$5001,W$3,Base!$B$3:$B$5001,$A$5)))</f>
        <v>0</v>
      </c>
      <c r="X11" s="65" t="str">
        <f>IF(X$3="","",IF(COUNTIFS(Base!$A$3:$A$5001,X$3,Base!$B$3:$B$5001,$A$5,Base!$I$3:$I$5001,"&lt;&gt;")=0,"",SUMIFS(Base!$I$3:$I$5001,Base!$A$3:$A$5001,X$3,Base!$B$3:$B$5001,$A$5)))</f>
        <v/>
      </c>
      <c r="Y11" s="65" t="str">
        <f>IF(Y$3="","",IF(COUNTIFS(Base!$A$3:$A$5001,Y$3,Base!$B$3:$B$5001,$A$5,Base!$I$3:$I$5001,"&lt;&gt;")=0,"",SUMIFS(Base!$I$3:$I$5001,Base!$A$3:$A$5001,Y$3,Base!$B$3:$B$5001,$A$5)))</f>
        <v/>
      </c>
      <c r="Z11" s="65">
        <f>IF(Z$3="","",IF(COUNTIFS(Base!$A$3:$A$5001,Z$3,Base!$B$3:$B$5001,$A$5,Base!$I$3:$I$5001,"&lt;&gt;")=0,"",SUMIFS(Base!$I$3:$I$5001,Base!$A$3:$A$5001,Z$3,Base!$B$3:$B$5001,$A$5)))</f>
        <v>0</v>
      </c>
      <c r="AA11" s="65">
        <f>IF(AA$3="","",IF(COUNTIFS(Base!$A$3:$A$5001,AA$3,Base!$B$3:$B$5001,$A$5,Base!$I$3:$I$5001,"&lt;&gt;")=0,"",SUMIFS(Base!$I$3:$I$5001,Base!$A$3:$A$5001,AA$3,Base!$B$3:$B$5001,$A$5)))</f>
        <v>0</v>
      </c>
      <c r="AB11" s="65">
        <f>IF(AB$3="","",IF(COUNTIFS(Base!$A$3:$A$5001,AB$3,Base!$B$3:$B$5001,$A$5,Base!$I$3:$I$5001,"&lt;&gt;")=0,"",SUMIFS(Base!$I$3:$I$5001,Base!$A$3:$A$5001,AB$3,Base!$B$3:$B$5001,$A$5)))</f>
        <v>0</v>
      </c>
      <c r="AC11" s="65">
        <f>IF(AC$3="","",IF(COUNTIFS(Base!$A$3:$A$5001,AC$3,Base!$B$3:$B$5001,$A$5,Base!$I$3:$I$5001,"&lt;&gt;")=0,"",SUMIFS(Base!$I$3:$I$5001,Base!$A$3:$A$5001,AC$3,Base!$B$3:$B$5001,$A$5)))</f>
        <v>0</v>
      </c>
      <c r="AD11" s="65">
        <f>IF(AD$3="","",IF(COUNTIFS(Base!$A$3:$A$5001,AD$3,Base!$B$3:$B$5001,$A$5,Base!$I$3:$I$5001,"&lt;&gt;")=0,"",SUMIFS(Base!$I$3:$I$5001,Base!$A$3:$A$5001,AD$3,Base!$B$3:$B$5001,$A$5)))</f>
        <v>0</v>
      </c>
      <c r="AE11" s="65">
        <f>IF(AE$3="","",IF(COUNTIFS(Base!$A$3:$A$5001,AE$3,Base!$B$3:$B$5001,$A$5,Base!$I$3:$I$5001,"&lt;&gt;")=0,"",SUMIFS(Base!$I$3:$I$5001,Base!$A$3:$A$5001,AE$3,Base!$B$3:$B$5001,$A$5)))</f>
        <v>0</v>
      </c>
      <c r="AF11" s="65">
        <f>IF(AF$3="","",IF(COUNTIFS(Base!$A$3:$A$5001,AF$3,Base!$B$3:$B$5001,$A$5,Base!$I$3:$I$5001,"&lt;&gt;")=0,"",SUMIFS(Base!$I$3:$I$5001,Base!$A$3:$A$5001,AF$3,Base!$B$3:$B$5001,$A$5)))</f>
        <v>1</v>
      </c>
      <c r="AG11" s="65">
        <f>IF(AG$3="","",IF(COUNTIFS(Base!$A$3:$A$5001,AG$3,Base!$B$3:$B$5001,$A$5,Base!$I$3:$I$5001,"&lt;&gt;")=0,"",SUMIFS(Base!$I$3:$I$5001,Base!$A$3:$A$5001,AG$3,Base!$B$3:$B$5001,$A$5)))</f>
        <v>0</v>
      </c>
      <c r="AH11" s="65">
        <f>IF(AH$3="","",IF(COUNTIFS(Base!$A$3:$A$5001,AH$3,Base!$B$3:$B$5001,$A$5,Base!$I$3:$I$5001,"&lt;&gt;")=0,"",SUMIFS(Base!$I$3:$I$5001,Base!$A$3:$A$5001,AH$3,Base!$B$3:$B$5001,$A$5)))</f>
        <v>0</v>
      </c>
      <c r="AI11" s="65" t="str">
        <f>IF(AI$3="","",IF(COUNTIFS(Base!$A$3:$A$5001,AI$3,Base!$B$3:$B$5001,$A$5,Base!$I$3:$I$5001,"&lt;&gt;")=0,"",SUMIFS(Base!$I$3:$I$5001,Base!$A$3:$A$5001,AI$3,Base!$B$3:$B$5001,$A$5)))</f>
        <v/>
      </c>
      <c r="AJ11" s="66" t="str">
        <f>IF(AJ$3="","",IF(COUNTIFS(Base!$A$3:$A$5001,AJ$3,Base!$B$3:$B$5001,$A$5,Base!$I$3:$I$5001,"&lt;&gt;")=0,"",SUMIFS(Base!$I$3:$I$5001,Base!$A$3:$A$5001,AJ$3,Base!$B$3:$B$5001,$A$5)))</f>
        <v/>
      </c>
      <c r="AK11" s="67">
        <f>IF(COUNT(F11:AJ11)=0,"",SUM(F11:AJ11))</f>
        <v>2</v>
      </c>
    </row>
    <row r="12" ht="15.75" customHeight="1">
      <c r="A12" s="118"/>
      <c r="B12" s="112"/>
      <c r="C12" s="68" t="inlineStr">
        <is>
          <t xml:space="preserve">No show</t>
        </is>
      </c>
      <c r="D12" s="69"/>
      <c r="E12" s="70"/>
      <c r="F12" s="71" t="str">
        <f>IF(F$3="","",IF(COUNTIFS(Base!$A$3:$A$5001,F$3,Base!$B$3:$B$5001,$A$5,Base!$J$3:$J$5001,"&lt;&gt;")=0,"",SUMIFS(Base!$J$3:$J$5001,Base!$A$3:$A$5001,F$3,Base!$B$3:$B$5001,$A$5)))</f>
        <v/>
      </c>
      <c r="G12" s="72" t="str">
        <f>IF(G$3="","",IF(COUNTIFS(Base!$A$3:$A$5001,G$3,Base!$B$3:$B$5001,$A$5,Base!$J$3:$J$5001,"&lt;&gt;")=0,"",SUMIFS(Base!$J$3:$J$5001,Base!$A$3:$A$5001,G$3,Base!$B$3:$B$5001,$A$5)))</f>
        <v/>
      </c>
      <c r="H12" s="72" t="str">
        <f>IF(H$3="","",IF(COUNTIFS(Base!$A$3:$A$5001,H$3,Base!$B$3:$B$5001,$A$5,Base!$J$3:$J$5001,"&lt;&gt;")=0,"",SUMIFS(Base!$J$3:$J$5001,Base!$A$3:$A$5001,H$3,Base!$B$3:$B$5001,$A$5)))</f>
        <v/>
      </c>
      <c r="I12" s="72" t="str">
        <f>IF(I$3="","",IF(COUNTIFS(Base!$A$3:$A$5001,I$3,Base!$B$3:$B$5001,$A$5,Base!$J$3:$J$5001,"&lt;&gt;")=0,"",SUMIFS(Base!$J$3:$J$5001,Base!$A$3:$A$5001,I$3,Base!$B$3:$B$5001,$A$5)))</f>
        <v/>
      </c>
      <c r="J12" s="72" t="str">
        <f>IF(J$3="","",IF(COUNTIFS(Base!$A$3:$A$5001,J$3,Base!$B$3:$B$5001,$A$5,Base!$J$3:$J$5001,"&lt;&gt;")=0,"",SUMIFS(Base!$J$3:$J$5001,Base!$A$3:$A$5001,J$3,Base!$B$3:$B$5001,$A$5)))</f>
        <v/>
      </c>
      <c r="K12" s="72" t="str">
        <f>IF(K$3="","",IF(COUNTIFS(Base!$A$3:$A$5001,K$3,Base!$B$3:$B$5001,$A$5,Base!$J$3:$J$5001,"&lt;&gt;")=0,"",SUMIFS(Base!$J$3:$J$5001,Base!$A$3:$A$5001,K$3,Base!$B$3:$B$5001,$A$5)))</f>
        <v/>
      </c>
      <c r="L12" s="72" t="str">
        <f>IF(L$3="","",IF(COUNTIFS(Base!$A$3:$A$5001,L$3,Base!$B$3:$B$5001,$A$5,Base!$J$3:$J$5001,"&lt;&gt;")=0,"",SUMIFS(Base!$J$3:$J$5001,Base!$A$3:$A$5001,L$3,Base!$B$3:$B$5001,$A$5)))</f>
        <v/>
      </c>
      <c r="M12" s="72" t="str">
        <f>IF(M$3="","",IF(COUNTIFS(Base!$A$3:$A$5001,M$3,Base!$B$3:$B$5001,$A$5,Base!$J$3:$J$5001,"&lt;&gt;")=0,"",SUMIFS(Base!$J$3:$J$5001,Base!$A$3:$A$5001,M$3,Base!$B$3:$B$5001,$A$5)))</f>
        <v/>
      </c>
      <c r="N12" s="72" t="str">
        <f>IF(N$3="","",IF(COUNTIFS(Base!$A$3:$A$5001,N$3,Base!$B$3:$B$5001,$A$5,Base!$J$3:$J$5001,"&lt;&gt;")=0,"",SUMIFS(Base!$J$3:$J$5001,Base!$A$3:$A$5001,N$3,Base!$B$3:$B$5001,$A$5)))</f>
        <v/>
      </c>
      <c r="O12" s="72" t="str">
        <f>IF(O$3="","",IF(COUNTIFS(Base!$A$3:$A$5001,O$3,Base!$B$3:$B$5001,$A$5,Base!$J$3:$J$5001,"&lt;&gt;")=0,"",SUMIFS(Base!$J$3:$J$5001,Base!$A$3:$A$5001,O$3,Base!$B$3:$B$5001,$A$5)))</f>
        <v/>
      </c>
      <c r="P12" s="72" t="str">
        <f>IF(P$3="","",IF(COUNTIFS(Base!$A$3:$A$5001,P$3,Base!$B$3:$B$5001,$A$5,Base!$J$3:$J$5001,"&lt;&gt;")=0,"",SUMIFS(Base!$J$3:$J$5001,Base!$A$3:$A$5001,P$3,Base!$B$3:$B$5001,$A$5)))</f>
        <v/>
      </c>
      <c r="Q12" s="72" t="str">
        <f>IF(Q$3="","",IF(COUNTIFS(Base!$A$3:$A$5001,Q$3,Base!$B$3:$B$5001,$A$5,Base!$J$3:$J$5001,"&lt;&gt;")=0,"",SUMIFS(Base!$J$3:$J$5001,Base!$A$3:$A$5001,Q$3,Base!$B$3:$B$5001,$A$5)))</f>
        <v/>
      </c>
      <c r="R12" s="72" t="str">
        <f>IF(R$3="","",IF(COUNTIFS(Base!$A$3:$A$5001,R$3,Base!$B$3:$B$5001,$A$5,Base!$J$3:$J$5001,"&lt;&gt;")=0,"",SUMIFS(Base!$J$3:$J$5001,Base!$A$3:$A$5001,R$3,Base!$B$3:$B$5001,$A$5)))</f>
        <v/>
      </c>
      <c r="S12" s="72" t="str">
        <f>IF(S$3="","",IF(COUNTIFS(Base!$A$3:$A$5001,S$3,Base!$B$3:$B$5001,$A$5,Base!$J$3:$J$5001,"&lt;&gt;")=0,"",SUMIFS(Base!$J$3:$J$5001,Base!$A$3:$A$5001,S$3,Base!$B$3:$B$5001,$A$5)))</f>
        <v/>
      </c>
      <c r="T12" s="72" t="str">
        <f>IF(T$3="","",IF(COUNTIFS(Base!$A$3:$A$5001,T$3,Base!$B$3:$B$5001,$A$5,Base!$J$3:$J$5001,"&lt;&gt;")=0,"",SUMIFS(Base!$J$3:$J$5001,Base!$A$3:$A$5001,T$3,Base!$B$3:$B$5001,$A$5)))</f>
        <v/>
      </c>
      <c r="U12" s="72" t="str">
        <f>IF(U$3="","",IF(COUNTIFS(Base!$A$3:$A$5001,U$3,Base!$B$3:$B$5001,$A$5,Base!$J$3:$J$5001,"&lt;&gt;")=0,"",SUMIFS(Base!$J$3:$J$5001,Base!$A$3:$A$5001,U$3,Base!$B$3:$B$5001,$A$5)))</f>
        <v/>
      </c>
      <c r="V12" s="72" t="str">
        <f>IF(V$3="","",IF(COUNTIFS(Base!$A$3:$A$5001,V$3,Base!$B$3:$B$5001,$A$5,Base!$J$3:$J$5001,"&lt;&gt;")=0,"",SUMIFS(Base!$J$3:$J$5001,Base!$A$3:$A$5001,V$3,Base!$B$3:$B$5001,$A$5)))</f>
        <v/>
      </c>
      <c r="W12" s="72" t="str">
        <f>IF(W$3="","",IF(COUNTIFS(Base!$A$3:$A$5001,W$3,Base!$B$3:$B$5001,$A$5,Base!$J$3:$J$5001,"&lt;&gt;")=0,"",SUMIFS(Base!$J$3:$J$5001,Base!$A$3:$A$5001,W$3,Base!$B$3:$B$5001,$A$5)))</f>
        <v/>
      </c>
      <c r="X12" s="72" t="str">
        <f>IF(X$3="","",IF(COUNTIFS(Base!$A$3:$A$5001,X$3,Base!$B$3:$B$5001,$A$5,Base!$J$3:$J$5001,"&lt;&gt;")=0,"",SUMIFS(Base!$J$3:$J$5001,Base!$A$3:$A$5001,X$3,Base!$B$3:$B$5001,$A$5)))</f>
        <v/>
      </c>
      <c r="Y12" s="72" t="str">
        <f>IF(Y$3="","",IF(COUNTIFS(Base!$A$3:$A$5001,Y$3,Base!$B$3:$B$5001,$A$5,Base!$J$3:$J$5001,"&lt;&gt;")=0,"",SUMIFS(Base!$J$3:$J$5001,Base!$A$3:$A$5001,Y$3,Base!$B$3:$B$5001,$A$5)))</f>
        <v/>
      </c>
      <c r="Z12" s="72" t="str">
        <f>IF(Z$3="","",IF(COUNTIFS(Base!$A$3:$A$5001,Z$3,Base!$B$3:$B$5001,$A$5,Base!$J$3:$J$5001,"&lt;&gt;")=0,"",SUMIFS(Base!$J$3:$J$5001,Base!$A$3:$A$5001,Z$3,Base!$B$3:$B$5001,$A$5)))</f>
        <v/>
      </c>
      <c r="AA12" s="72" t="str">
        <f>IF(AA$3="","",IF(COUNTIFS(Base!$A$3:$A$5001,AA$3,Base!$B$3:$B$5001,$A$5,Base!$J$3:$J$5001,"&lt;&gt;")=0,"",SUMIFS(Base!$J$3:$J$5001,Base!$A$3:$A$5001,AA$3,Base!$B$3:$B$5001,$A$5)))</f>
        <v/>
      </c>
      <c r="AB12" s="72" t="str">
        <f>IF(AB$3="","",IF(COUNTIFS(Base!$A$3:$A$5001,AB$3,Base!$B$3:$B$5001,$A$5,Base!$J$3:$J$5001,"&lt;&gt;")=0,"",SUMIFS(Base!$J$3:$J$5001,Base!$A$3:$A$5001,AB$3,Base!$B$3:$B$5001,$A$5)))</f>
        <v/>
      </c>
      <c r="AC12" s="72" t="str">
        <f>IF(AC$3="","",IF(COUNTIFS(Base!$A$3:$A$5001,AC$3,Base!$B$3:$B$5001,$A$5,Base!$J$3:$J$5001,"&lt;&gt;")=0,"",SUMIFS(Base!$J$3:$J$5001,Base!$A$3:$A$5001,AC$3,Base!$B$3:$B$5001,$A$5)))</f>
        <v/>
      </c>
      <c r="AD12" s="72" t="str">
        <f>IF(AD$3="","",IF(COUNTIFS(Base!$A$3:$A$5001,AD$3,Base!$B$3:$B$5001,$A$5,Base!$J$3:$J$5001,"&lt;&gt;")=0,"",SUMIFS(Base!$J$3:$J$5001,Base!$A$3:$A$5001,AD$3,Base!$B$3:$B$5001,$A$5)))</f>
        <v/>
      </c>
      <c r="AE12" s="72" t="str">
        <f>IF(AE$3="","",IF(COUNTIFS(Base!$A$3:$A$5001,AE$3,Base!$B$3:$B$5001,$A$5,Base!$J$3:$J$5001,"&lt;&gt;")=0,"",SUMIFS(Base!$J$3:$J$5001,Base!$A$3:$A$5001,AE$3,Base!$B$3:$B$5001,$A$5)))</f>
        <v/>
      </c>
      <c r="AF12" s="72" t="str">
        <f>IF(AF$3="","",IF(COUNTIFS(Base!$A$3:$A$5001,AF$3,Base!$B$3:$B$5001,$A$5,Base!$J$3:$J$5001,"&lt;&gt;")=0,"",SUMIFS(Base!$J$3:$J$5001,Base!$A$3:$A$5001,AF$3,Base!$B$3:$B$5001,$A$5)))</f>
        <v/>
      </c>
      <c r="AG12" s="72" t="str">
        <f>IF(AG$3="","",IF(COUNTIFS(Base!$A$3:$A$5001,AG$3,Base!$B$3:$B$5001,$A$5,Base!$J$3:$J$5001,"&lt;&gt;")=0,"",SUMIFS(Base!$J$3:$J$5001,Base!$A$3:$A$5001,AG$3,Base!$B$3:$B$5001,$A$5)))</f>
        <v/>
      </c>
      <c r="AH12" s="72" t="str">
        <f>IF(AH$3="","",IF(COUNTIFS(Base!$A$3:$A$5001,AH$3,Base!$B$3:$B$5001,$A$5,Base!$J$3:$J$5001,"&lt;&gt;")=0,"",SUMIFS(Base!$J$3:$J$5001,Base!$A$3:$A$5001,AH$3,Base!$B$3:$B$5001,$A$5)))</f>
        <v/>
      </c>
      <c r="AI12" s="72" t="str">
        <f>IF(AI$3="","",IF(COUNTIFS(Base!$A$3:$A$5001,AI$3,Base!$B$3:$B$5001,$A$5,Base!$J$3:$J$5001,"&lt;&gt;")=0,"",SUMIFS(Base!$J$3:$J$5001,Base!$A$3:$A$5001,AI$3,Base!$B$3:$B$5001,$A$5)))</f>
        <v/>
      </c>
      <c r="AJ12" s="73" t="str">
        <f>IF(AJ$3="","",IF(COUNTIFS(Base!$A$3:$A$5001,AJ$3,Base!$B$3:$B$5001,$A$5,Base!$J$3:$J$5001,"&lt;&gt;")=0,"",SUMIFS(Base!$J$3:$J$5001,Base!$A$3:$A$5001,AJ$3,Base!$B$3:$B$5001,$A$5)))</f>
        <v/>
      </c>
      <c r="AK12" s="74" t="str">
        <f>IF(COUNT(F12:AJ12)=0,"",SUM(F12:AJ12))</f>
        <v/>
      </c>
    </row>
    <row r="13" ht="15.75" customHeight="1">
      <c r="A13" s="118"/>
      <c r="B13" s="113"/>
      <c r="C13" s="75" t="inlineStr">
        <is>
          <t xml:space="preserve">Backlog</t>
        </is>
      </c>
      <c r="D13" s="76"/>
      <c r="E13" s="77"/>
      <c r="F13" s="78" t="str">
        <f>IF(F$3="","",IF(COUNTIFS(Base!$A$3:$A$5001,F$3,Base!$B$3:$B$5001,$A$5,Base!$K$3:$K$5001,"&lt;&gt;")=0,"",SUMIFS(Base!$K$3:$K$5001,Base!$A$3:$A$5001,F$3,Base!$B$3:$B$5001,$A$5)))</f>
        <v/>
      </c>
      <c r="G13" s="79" t="str">
        <f>IF(G$3="","",IF(COUNTIFS(Base!$A$3:$A$5001,G$3,Base!$B$3:$B$5001,$A$5,Base!$K$3:$K$5001,"&lt;&gt;")=0,"",SUMIFS(Base!$K$3:$K$5001,Base!$A$3:$A$5001,G$3,Base!$B$3:$B$5001,$A$5)))</f>
        <v/>
      </c>
      <c r="H13" s="79" t="str">
        <f>IF(H$3="","",IF(COUNTIFS(Base!$A$3:$A$5001,H$3,Base!$B$3:$B$5001,$A$5,Base!$K$3:$K$5001,"&lt;&gt;")=0,"",SUMIFS(Base!$K$3:$K$5001,Base!$A$3:$A$5001,H$3,Base!$B$3:$B$5001,$A$5)))</f>
        <v/>
      </c>
      <c r="I13" s="79" t="str">
        <f>IF(I$3="","",IF(COUNTIFS(Base!$A$3:$A$5001,I$3,Base!$B$3:$B$5001,$A$5,Base!$K$3:$K$5001,"&lt;&gt;")=0,"",SUMIFS(Base!$K$3:$K$5001,Base!$A$3:$A$5001,I$3,Base!$B$3:$B$5001,$A$5)))</f>
        <v/>
      </c>
      <c r="J13" s="79" t="str">
        <f>IF(J$3="","",IF(COUNTIFS(Base!$A$3:$A$5001,J$3,Base!$B$3:$B$5001,$A$5,Base!$K$3:$K$5001,"&lt;&gt;")=0,"",SUMIFS(Base!$K$3:$K$5001,Base!$A$3:$A$5001,J$3,Base!$B$3:$B$5001,$A$5)))</f>
        <v/>
      </c>
      <c r="K13" s="79" t="str">
        <f>IF(K$3="","",IF(COUNTIFS(Base!$A$3:$A$5001,K$3,Base!$B$3:$B$5001,$A$5,Base!$K$3:$K$5001,"&lt;&gt;")=0,"",SUMIFS(Base!$K$3:$K$5001,Base!$A$3:$A$5001,K$3,Base!$B$3:$B$5001,$A$5)))</f>
        <v/>
      </c>
      <c r="L13" s="79" t="str">
        <f>IF(L$3="","",IF(COUNTIFS(Base!$A$3:$A$5001,L$3,Base!$B$3:$B$5001,$A$5,Base!$K$3:$K$5001,"&lt;&gt;")=0,"",SUMIFS(Base!$K$3:$K$5001,Base!$A$3:$A$5001,L$3,Base!$B$3:$B$5001,$A$5)))</f>
        <v/>
      </c>
      <c r="M13" s="79" t="str">
        <f>IF(M$3="","",IF(COUNTIFS(Base!$A$3:$A$5001,M$3,Base!$B$3:$B$5001,$A$5,Base!$K$3:$K$5001,"&lt;&gt;")=0,"",SUMIFS(Base!$K$3:$K$5001,Base!$A$3:$A$5001,M$3,Base!$B$3:$B$5001,$A$5)))</f>
        <v/>
      </c>
      <c r="N13" s="79" t="str">
        <f>IF(N$3="","",IF(COUNTIFS(Base!$A$3:$A$5001,N$3,Base!$B$3:$B$5001,$A$5,Base!$K$3:$K$5001,"&lt;&gt;")=0,"",SUMIFS(Base!$K$3:$K$5001,Base!$A$3:$A$5001,N$3,Base!$B$3:$B$5001,$A$5)))</f>
        <v/>
      </c>
      <c r="O13" s="79" t="str">
        <f>IF(O$3="","",IF(COUNTIFS(Base!$A$3:$A$5001,O$3,Base!$B$3:$B$5001,$A$5,Base!$K$3:$K$5001,"&lt;&gt;")=0,"",SUMIFS(Base!$K$3:$K$5001,Base!$A$3:$A$5001,O$3,Base!$B$3:$B$5001,$A$5)))</f>
        <v/>
      </c>
      <c r="P13" s="79" t="str">
        <f>IF(P$3="","",IF(COUNTIFS(Base!$A$3:$A$5001,P$3,Base!$B$3:$B$5001,$A$5,Base!$K$3:$K$5001,"&lt;&gt;")=0,"",SUMIFS(Base!$K$3:$K$5001,Base!$A$3:$A$5001,P$3,Base!$B$3:$B$5001,$A$5)))</f>
        <v/>
      </c>
      <c r="Q13" s="79" t="str">
        <f>IF(Q$3="","",IF(COUNTIFS(Base!$A$3:$A$5001,Q$3,Base!$B$3:$B$5001,$A$5,Base!$K$3:$K$5001,"&lt;&gt;")=0,"",SUMIFS(Base!$K$3:$K$5001,Base!$A$3:$A$5001,Q$3,Base!$B$3:$B$5001,$A$5)))</f>
        <v/>
      </c>
      <c r="R13" s="79" t="str">
        <f>IF(R$3="","",IF(COUNTIFS(Base!$A$3:$A$5001,R$3,Base!$B$3:$B$5001,$A$5,Base!$K$3:$K$5001,"&lt;&gt;")=0,"",SUMIFS(Base!$K$3:$K$5001,Base!$A$3:$A$5001,R$3,Base!$B$3:$B$5001,$A$5)))</f>
        <v/>
      </c>
      <c r="S13" s="79" t="str">
        <f>IF(S$3="","",IF(COUNTIFS(Base!$A$3:$A$5001,S$3,Base!$B$3:$B$5001,$A$5,Base!$K$3:$K$5001,"&lt;&gt;")=0,"",SUMIFS(Base!$K$3:$K$5001,Base!$A$3:$A$5001,S$3,Base!$B$3:$B$5001,$A$5)))</f>
        <v/>
      </c>
      <c r="T13" s="79" t="str">
        <f>IF(T$3="","",IF(COUNTIFS(Base!$A$3:$A$5001,T$3,Base!$B$3:$B$5001,$A$5,Base!$K$3:$K$5001,"&lt;&gt;")=0,"",SUMIFS(Base!$K$3:$K$5001,Base!$A$3:$A$5001,T$3,Base!$B$3:$B$5001,$A$5)))</f>
        <v/>
      </c>
      <c r="U13" s="79" t="str">
        <f>IF(U$3="","",IF(COUNTIFS(Base!$A$3:$A$5001,U$3,Base!$B$3:$B$5001,$A$5,Base!$K$3:$K$5001,"&lt;&gt;")=0,"",SUMIFS(Base!$K$3:$K$5001,Base!$A$3:$A$5001,U$3,Base!$B$3:$B$5001,$A$5)))</f>
        <v/>
      </c>
      <c r="V13" s="79" t="str">
        <f>IF(V$3="","",IF(COUNTIFS(Base!$A$3:$A$5001,V$3,Base!$B$3:$B$5001,$A$5,Base!$K$3:$K$5001,"&lt;&gt;")=0,"",SUMIFS(Base!$K$3:$K$5001,Base!$A$3:$A$5001,V$3,Base!$B$3:$B$5001,$A$5)))</f>
        <v/>
      </c>
      <c r="W13" s="79" t="str">
        <f>IF(W$3="","",IF(COUNTIFS(Base!$A$3:$A$5001,W$3,Base!$B$3:$B$5001,$A$5,Base!$K$3:$K$5001,"&lt;&gt;")=0,"",SUMIFS(Base!$K$3:$K$5001,Base!$A$3:$A$5001,W$3,Base!$B$3:$B$5001,$A$5)))</f>
        <v/>
      </c>
      <c r="X13" s="79" t="str">
        <f>IF(X$3="","",IF(COUNTIFS(Base!$A$3:$A$5001,X$3,Base!$B$3:$B$5001,$A$5,Base!$K$3:$K$5001,"&lt;&gt;")=0,"",SUMIFS(Base!$K$3:$K$5001,Base!$A$3:$A$5001,X$3,Base!$B$3:$B$5001,$A$5)))</f>
        <v/>
      </c>
      <c r="Y13" s="79" t="str">
        <f>IF(Y$3="","",IF(COUNTIFS(Base!$A$3:$A$5001,Y$3,Base!$B$3:$B$5001,$A$5,Base!$K$3:$K$5001,"&lt;&gt;")=0,"",SUMIFS(Base!$K$3:$K$5001,Base!$A$3:$A$5001,Y$3,Base!$B$3:$B$5001,$A$5)))</f>
        <v/>
      </c>
      <c r="Z13" s="79" t="str">
        <f>IF(Z$3="","",IF(COUNTIFS(Base!$A$3:$A$5001,Z$3,Base!$B$3:$B$5001,$A$5,Base!$K$3:$K$5001,"&lt;&gt;")=0,"",SUMIFS(Base!$K$3:$K$5001,Base!$A$3:$A$5001,Z$3,Base!$B$3:$B$5001,$A$5)))</f>
        <v/>
      </c>
      <c r="AA13" s="79" t="str">
        <f>IF(AA$3="","",IF(COUNTIFS(Base!$A$3:$A$5001,AA$3,Base!$B$3:$B$5001,$A$5,Base!$K$3:$K$5001,"&lt;&gt;")=0,"",SUMIFS(Base!$K$3:$K$5001,Base!$A$3:$A$5001,AA$3,Base!$B$3:$B$5001,$A$5)))</f>
        <v/>
      </c>
      <c r="AB13" s="79" t="str">
        <f>IF(AB$3="","",IF(COUNTIFS(Base!$A$3:$A$5001,AB$3,Base!$B$3:$B$5001,$A$5,Base!$K$3:$K$5001,"&lt;&gt;")=0,"",SUMIFS(Base!$K$3:$K$5001,Base!$A$3:$A$5001,AB$3,Base!$B$3:$B$5001,$A$5)))</f>
        <v/>
      </c>
      <c r="AC13" s="79" t="str">
        <f>IF(AC$3="","",IF(COUNTIFS(Base!$A$3:$A$5001,AC$3,Base!$B$3:$B$5001,$A$5,Base!$K$3:$K$5001,"&lt;&gt;")=0,"",SUMIFS(Base!$K$3:$K$5001,Base!$A$3:$A$5001,AC$3,Base!$B$3:$B$5001,$A$5)))</f>
        <v/>
      </c>
      <c r="AD13" s="79" t="str">
        <f>IF(AD$3="","",IF(COUNTIFS(Base!$A$3:$A$5001,AD$3,Base!$B$3:$B$5001,$A$5,Base!$K$3:$K$5001,"&lt;&gt;")=0,"",SUMIFS(Base!$K$3:$K$5001,Base!$A$3:$A$5001,AD$3,Base!$B$3:$B$5001,$A$5)))</f>
        <v/>
      </c>
      <c r="AE13" s="79" t="str">
        <f>IF(AE$3="","",IF(COUNTIFS(Base!$A$3:$A$5001,AE$3,Base!$B$3:$B$5001,$A$5,Base!$K$3:$K$5001,"&lt;&gt;")=0,"",SUMIFS(Base!$K$3:$K$5001,Base!$A$3:$A$5001,AE$3,Base!$B$3:$B$5001,$A$5)))</f>
        <v/>
      </c>
      <c r="AF13" s="79" t="str">
        <f>IF(AF$3="","",IF(COUNTIFS(Base!$A$3:$A$5001,AF$3,Base!$B$3:$B$5001,$A$5,Base!$K$3:$K$5001,"&lt;&gt;")=0,"",SUMIFS(Base!$K$3:$K$5001,Base!$A$3:$A$5001,AF$3,Base!$B$3:$B$5001,$A$5)))</f>
        <v/>
      </c>
      <c r="AG13" s="79" t="str">
        <f>IF(AG$3="","",IF(COUNTIFS(Base!$A$3:$A$5001,AG$3,Base!$B$3:$B$5001,$A$5,Base!$K$3:$K$5001,"&lt;&gt;")=0,"",SUMIFS(Base!$K$3:$K$5001,Base!$A$3:$A$5001,AG$3,Base!$B$3:$B$5001,$A$5)))</f>
        <v/>
      </c>
      <c r="AH13" s="79" t="str">
        <f>IF(AH$3="","",IF(COUNTIFS(Base!$A$3:$A$5001,AH$3,Base!$B$3:$B$5001,$A$5,Base!$K$3:$K$5001,"&lt;&gt;")=0,"",SUMIFS(Base!$K$3:$K$5001,Base!$A$3:$A$5001,AH$3,Base!$B$3:$B$5001,$A$5)))</f>
        <v/>
      </c>
      <c r="AI13" s="79" t="str">
        <f>IF(AI$3="","",IF(COUNTIFS(Base!$A$3:$A$5001,AI$3,Base!$B$3:$B$5001,$A$5,Base!$K$3:$K$5001,"&lt;&gt;")=0,"",SUMIFS(Base!$K$3:$K$5001,Base!$A$3:$A$5001,AI$3,Base!$B$3:$B$5001,$A$5)))</f>
        <v/>
      </c>
      <c r="AJ13" s="80" t="str">
        <f>IF(AJ$3="","",IF(COUNTIFS(Base!$A$3:$A$5001,AJ$3,Base!$B$3:$B$5001,$A$5,Base!$K$3:$K$5001,"&lt;&gt;")=0,"",SUMIFS(Base!$K$3:$K$5001,Base!$A$3:$A$5001,AJ$3,Base!$B$3:$B$5001,$A$5)))</f>
        <v/>
      </c>
      <c r="AK13" s="76" t="str">
        <f>IFERROR(LOOKUP(9.99E+307,F13:AJ13),"")</f>
        <v/>
      </c>
    </row>
    <row r="14" ht="15.75" customHeight="1">
      <c r="A14" s="118"/>
      <c r="B14" s="105" t="inlineStr">
        <is>
          <t xml:space="preserve">OCUPAÇÃO (P.P)</t>
        </is>
      </c>
      <c r="C14" s="21" t="inlineStr">
        <is>
          <t xml:space="preserve">Posições Disponíveis</t>
        </is>
      </c>
      <c r="D14" s="22"/>
      <c r="E14" s="23"/>
      <c r="F14" s="24">
        <f>IF(F$3="","",IF(COUNTIFS(Base!$A$3:$A$5001,F$3,Base!$B$3:$B$5001,$A$5,Base!$L$3:$L$5001,"&lt;&gt;")=0,"",SUMIFS(Base!$L$3:$L$5001,Base!$A$3:$A$5001,F$3,Base!$B$3:$B$5001,$A$5)))</f>
        <v>1950</v>
      </c>
      <c r="G14" s="25">
        <f>IF(G$3="","",IF(COUNTIFS(Base!$A$3:$A$5001,G$3,Base!$B$3:$B$5001,$A$5,Base!$L$3:$L$5001,"&lt;&gt;")=0,"",SUMIFS(Base!$L$3:$L$5001,Base!$A$3:$A$5001,G$3,Base!$B$3:$B$5001,$A$5)))</f>
        <v>1950</v>
      </c>
      <c r="H14" s="25">
        <f>IF(H$3="","",IF(COUNTIFS(Base!$A$3:$A$5001,H$3,Base!$B$3:$B$5001,$A$5,Base!$L$3:$L$5001,"&lt;&gt;")=0,"",SUMIFS(Base!$L$3:$L$5001,Base!$A$3:$A$5001,H$3,Base!$B$3:$B$5001,$A$5)))</f>
        <v>1950</v>
      </c>
      <c r="I14" s="25">
        <f>IF(I$3="","",IF(COUNTIFS(Base!$A$3:$A$5001,I$3,Base!$B$3:$B$5001,$A$5,Base!$L$3:$L$5001,"&lt;&gt;")=0,"",SUMIFS(Base!$L$3:$L$5001,Base!$A$3:$A$5001,I$3,Base!$B$3:$B$5001,$A$5)))</f>
        <v>1950</v>
      </c>
      <c r="J14" s="25">
        <f>IF(J$3="","",IF(COUNTIFS(Base!$A$3:$A$5001,J$3,Base!$B$3:$B$5001,$A$5,Base!$L$3:$L$5001,"&lt;&gt;")=0,"",SUMIFS(Base!$L$3:$L$5001,Base!$A$3:$A$5001,J$3,Base!$B$3:$B$5001,$A$5)))</f>
        <v>1950</v>
      </c>
      <c r="K14" s="25" t="str">
        <f>IF(K$3="","",IF(COUNTIFS(Base!$A$3:$A$5001,K$3,Base!$B$3:$B$5001,$A$5,Base!$L$3:$L$5001,"&lt;&gt;")=0,"",SUMIFS(Base!$L$3:$L$5001,Base!$A$3:$A$5001,K$3,Base!$B$3:$B$5001,$A$5)))</f>
        <v/>
      </c>
      <c r="L14" s="25">
        <f>IF(L$3="","",IF(COUNTIFS(Base!$A$3:$A$5001,L$3,Base!$B$3:$B$5001,$A$5,Base!$L$3:$L$5001,"&lt;&gt;")=0,"",SUMIFS(Base!$L$3:$L$5001,Base!$A$3:$A$5001,L$3,Base!$B$3:$B$5001,$A$5)))</f>
        <v>1950</v>
      </c>
      <c r="M14" s="25">
        <f>IF(M$3="","",IF(COUNTIFS(Base!$A$3:$A$5001,M$3,Base!$B$3:$B$5001,$A$5,Base!$L$3:$L$5001,"&lt;&gt;")=0,"",SUMIFS(Base!$L$3:$L$5001,Base!$A$3:$A$5001,M$3,Base!$B$3:$B$5001,$A$5)))</f>
        <v>1950</v>
      </c>
      <c r="N14" s="25">
        <f>IF(N$3="","",IF(COUNTIFS(Base!$A$3:$A$5001,N$3,Base!$B$3:$B$5001,$A$5,Base!$L$3:$L$5001,"&lt;&gt;")=0,"",SUMIFS(Base!$L$3:$L$5001,Base!$A$3:$A$5001,N$3,Base!$B$3:$B$5001,$A$5)))</f>
        <v>1950</v>
      </c>
      <c r="O14" s="25">
        <f>IF(O$3="","",IF(COUNTIFS(Base!$A$3:$A$5001,O$3,Base!$B$3:$B$5001,$A$5,Base!$L$3:$L$5001,"&lt;&gt;")=0,"",SUMIFS(Base!$L$3:$L$5001,Base!$A$3:$A$5001,O$3,Base!$B$3:$B$5001,$A$5)))</f>
        <v>1950</v>
      </c>
      <c r="P14" s="25">
        <f>IF(P$3="","",IF(COUNTIFS(Base!$A$3:$A$5001,P$3,Base!$B$3:$B$5001,$A$5,Base!$L$3:$L$5001,"&lt;&gt;")=0,"",SUMIFS(Base!$L$3:$L$5001,Base!$A$3:$A$5001,P$3,Base!$B$3:$B$5001,$A$5)))</f>
        <v>1950</v>
      </c>
      <c r="Q14" s="25">
        <f>IF(Q$3="","",IF(COUNTIFS(Base!$A$3:$A$5001,Q$3,Base!$B$3:$B$5001,$A$5,Base!$L$3:$L$5001,"&lt;&gt;")=0,"",SUMIFS(Base!$L$3:$L$5001,Base!$A$3:$A$5001,Q$3,Base!$B$3:$B$5001,$A$5)))</f>
        <v>1950</v>
      </c>
      <c r="R14" s="25" t="str">
        <f>IF(R$3="","",IF(COUNTIFS(Base!$A$3:$A$5001,R$3,Base!$B$3:$B$5001,$A$5,Base!$L$3:$L$5001,"&lt;&gt;")=0,"",SUMIFS(Base!$L$3:$L$5001,Base!$A$3:$A$5001,R$3,Base!$B$3:$B$5001,$A$5)))</f>
        <v/>
      </c>
      <c r="S14" s="25">
        <f>IF(S$3="","",IF(COUNTIFS(Base!$A$3:$A$5001,S$3,Base!$B$3:$B$5001,$A$5,Base!$L$3:$L$5001,"&lt;&gt;")=0,"",SUMIFS(Base!$L$3:$L$5001,Base!$A$3:$A$5001,S$3,Base!$B$3:$B$5001,$A$5)))</f>
        <v>1950</v>
      </c>
      <c r="T14" s="25">
        <f>IF(T$3="","",IF(COUNTIFS(Base!$A$3:$A$5001,T$3,Base!$B$3:$B$5001,$A$5,Base!$L$3:$L$5001,"&lt;&gt;")=0,"",SUMIFS(Base!$L$3:$L$5001,Base!$A$3:$A$5001,T$3,Base!$B$3:$B$5001,$A$5)))</f>
        <v>1950</v>
      </c>
      <c r="U14" s="25">
        <f>IF(U$3="","",IF(COUNTIFS(Base!$A$3:$A$5001,U$3,Base!$B$3:$B$5001,$A$5,Base!$L$3:$L$5001,"&lt;&gt;")=0,"",SUMIFS(Base!$L$3:$L$5001,Base!$A$3:$A$5001,U$3,Base!$B$3:$B$5001,$A$5)))</f>
        <v>1950</v>
      </c>
      <c r="V14" s="25">
        <f>IF(V$3="","",IF(COUNTIFS(Base!$A$3:$A$5001,V$3,Base!$B$3:$B$5001,$A$5,Base!$L$3:$L$5001,"&lt;&gt;")=0,"",SUMIFS(Base!$L$3:$L$5001,Base!$A$3:$A$5001,V$3,Base!$B$3:$B$5001,$A$5)))</f>
        <v>1950</v>
      </c>
      <c r="W14" s="25">
        <f>IF(W$3="","",IF(COUNTIFS(Base!$A$3:$A$5001,W$3,Base!$B$3:$B$5001,$A$5,Base!$L$3:$L$5001,"&lt;&gt;")=0,"",SUMIFS(Base!$L$3:$L$5001,Base!$A$3:$A$5001,W$3,Base!$B$3:$B$5001,$A$5)))</f>
        <v>1950</v>
      </c>
      <c r="X14" s="25" t="str">
        <f>IF(X$3="","",IF(COUNTIFS(Base!$A$3:$A$5001,X$3,Base!$B$3:$B$5001,$A$5,Base!$L$3:$L$5001,"&lt;&gt;")=0,"",SUMIFS(Base!$L$3:$L$5001,Base!$A$3:$A$5001,X$3,Base!$B$3:$B$5001,$A$5)))</f>
        <v/>
      </c>
      <c r="Y14" s="25" t="str">
        <f>IF(Y$3="","",IF(COUNTIFS(Base!$A$3:$A$5001,Y$3,Base!$B$3:$B$5001,$A$5,Base!$L$3:$L$5001,"&lt;&gt;")=0,"",SUMIFS(Base!$L$3:$L$5001,Base!$A$3:$A$5001,Y$3,Base!$B$3:$B$5001,$A$5)))</f>
        <v/>
      </c>
      <c r="Z14" s="25">
        <f>IF(Z$3="","",IF(COUNTIFS(Base!$A$3:$A$5001,Z$3,Base!$B$3:$B$5001,$A$5,Base!$L$3:$L$5001,"&lt;&gt;")=0,"",SUMIFS(Base!$L$3:$L$5001,Base!$A$3:$A$5001,Z$3,Base!$B$3:$B$5001,$A$5)))</f>
        <v>1950</v>
      </c>
      <c r="AA14" s="25">
        <f>IF(AA$3="","",IF(COUNTIFS(Base!$A$3:$A$5001,AA$3,Base!$B$3:$B$5001,$A$5,Base!$L$3:$L$5001,"&lt;&gt;")=0,"",SUMIFS(Base!$L$3:$L$5001,Base!$A$3:$A$5001,AA$3,Base!$B$3:$B$5001,$A$5)))</f>
        <v>1950</v>
      </c>
      <c r="AB14" s="25">
        <f>IF(AB$3="","",IF(COUNTIFS(Base!$A$3:$A$5001,AB$3,Base!$B$3:$B$5001,$A$5,Base!$L$3:$L$5001,"&lt;&gt;")=0,"",SUMIFS(Base!$L$3:$L$5001,Base!$A$3:$A$5001,AB$3,Base!$B$3:$B$5001,$A$5)))</f>
        <v>1950</v>
      </c>
      <c r="AC14" s="25">
        <f>IF(AC$3="","",IF(COUNTIFS(Base!$A$3:$A$5001,AC$3,Base!$B$3:$B$5001,$A$5,Base!$L$3:$L$5001,"&lt;&gt;")=0,"",SUMIFS(Base!$L$3:$L$5001,Base!$A$3:$A$5001,AC$3,Base!$B$3:$B$5001,$A$5)))</f>
        <v>1950</v>
      </c>
      <c r="AD14" s="25">
        <f>IF(AD$3="","",IF(COUNTIFS(Base!$A$3:$A$5001,AD$3,Base!$B$3:$B$5001,$A$5,Base!$L$3:$L$5001,"&lt;&gt;")=0,"",SUMIFS(Base!$L$3:$L$5001,Base!$A$3:$A$5001,AD$3,Base!$B$3:$B$5001,$A$5)))</f>
        <v>1950</v>
      </c>
      <c r="AE14" s="25">
        <f>IF(AE$3="","",IF(COUNTIFS(Base!$A$3:$A$5001,AE$3,Base!$B$3:$B$5001,$A$5,Base!$L$3:$L$5001,"&lt;&gt;")=0,"",SUMIFS(Base!$L$3:$L$5001,Base!$A$3:$A$5001,AE$3,Base!$B$3:$B$5001,$A$5)))</f>
        <v>1950</v>
      </c>
      <c r="AF14" s="25">
        <f>IF(AF$3="","",IF(COUNTIFS(Base!$A$3:$A$5001,AF$3,Base!$B$3:$B$5001,$A$5,Base!$L$3:$L$5001,"&lt;&gt;")=0,"",SUMIFS(Base!$L$3:$L$5001,Base!$A$3:$A$5001,AF$3,Base!$B$3:$B$5001,$A$5)))</f>
        <v>1950</v>
      </c>
      <c r="AG14" s="25">
        <f>IF(AG$3="","",IF(COUNTIFS(Base!$A$3:$A$5001,AG$3,Base!$B$3:$B$5001,$A$5,Base!$L$3:$L$5001,"&lt;&gt;")=0,"",SUMIFS(Base!$L$3:$L$5001,Base!$A$3:$A$5001,AG$3,Base!$B$3:$B$5001,$A$5)))</f>
        <v>1950</v>
      </c>
      <c r="AH14" s="25">
        <f>IF(AH$3="","",IF(COUNTIFS(Base!$A$3:$A$5001,AH$3,Base!$B$3:$B$5001,$A$5,Base!$L$3:$L$5001,"&lt;&gt;")=0,"",SUMIFS(Base!$L$3:$L$5001,Base!$A$3:$A$5001,AH$3,Base!$B$3:$B$5001,$A$5)))</f>
        <v>1950</v>
      </c>
      <c r="AI14" s="25" t="str">
        <f>IF(AI$3="","",IF(COUNTIFS(Base!$A$3:$A$5001,AI$3,Base!$B$3:$B$5001,$A$5,Base!$L$3:$L$5001,"&lt;&gt;")=0,"",SUMIFS(Base!$L$3:$L$5001,Base!$A$3:$A$5001,AI$3,Base!$B$3:$B$5001,$A$5)))</f>
        <v/>
      </c>
      <c r="AJ14" s="26" t="str">
        <f>IF(AJ$3="","",IF(COUNTIFS(Base!$A$3:$A$5001,AJ$3,Base!$B$3:$B$5001,$A$5,Base!$L$3:$L$5001,"&lt;&gt;")=0,"",SUMIFS(Base!$L$3:$L$5001,Base!$A$3:$A$5001,AJ$3,Base!$B$3:$B$5001,$A$5)))</f>
        <v/>
      </c>
      <c r="AK14" s="27">
        <f>IFERROR(LOOKUP(9.99E+307,F14:AJ14),"")</f>
        <v>1950</v>
      </c>
    </row>
    <row r="15" ht="15.75" customHeight="1">
      <c r="A15" s="118"/>
      <c r="B15" s="106"/>
      <c r="C15" s="28" t="inlineStr">
        <is>
          <t xml:space="preserve">Posições Ocupadas</t>
        </is>
      </c>
      <c r="D15" s="29"/>
      <c r="E15" s="30"/>
      <c r="F15" s="31">
        <f>IF(F$3="","",IF(COUNTIFS(Base!$A$3:$A$5001,F$3,Base!$B$3:$B$5001,$A$5,Base!$M$3:$M$5001,"&lt;&gt;")=0,"",SUMIFS(Base!$M$3:$M$5001,Base!$A$3:$A$5001,F$3,Base!$B$3:$B$5001,$A$5)))</f>
        <v>1449</v>
      </c>
      <c r="G15" s="32">
        <f>IF(G$3="","",IF(COUNTIFS(Base!$A$3:$A$5001,G$3,Base!$B$3:$B$5001,$A$5,Base!$M$3:$M$5001,"&lt;&gt;")=0,"",SUMIFS(Base!$M$3:$M$5001,Base!$A$3:$A$5001,G$3,Base!$B$3:$B$5001,$A$5)))</f>
        <v>1000</v>
      </c>
      <c r="H15" s="32">
        <f>IF(H$3="","",IF(COUNTIFS(Base!$A$3:$A$5001,H$3,Base!$B$3:$B$5001,$A$5,Base!$M$3:$M$5001,"&lt;&gt;")=0,"",SUMIFS(Base!$M$3:$M$5001,Base!$A$3:$A$5001,H$3,Base!$B$3:$B$5001,$A$5)))</f>
        <v>1861</v>
      </c>
      <c r="I15" s="32">
        <f>IF(I$3="","",IF(COUNTIFS(Base!$A$3:$A$5001,I$3,Base!$B$3:$B$5001,$A$5,Base!$M$3:$M$5001,"&lt;&gt;")=0,"",SUMIFS(Base!$M$3:$M$5001,Base!$A$3:$A$5001,I$3,Base!$B$3:$B$5001,$A$5)))</f>
        <v>1256</v>
      </c>
      <c r="J15" s="32">
        <f>IF(J$3="","",IF(COUNTIFS(Base!$A$3:$A$5001,J$3,Base!$B$3:$B$5001,$A$5,Base!$M$3:$M$5001,"&lt;&gt;")=0,"",SUMIFS(Base!$M$3:$M$5001,Base!$A$3:$A$5001,J$3,Base!$B$3:$B$5001,$A$5)))</f>
        <v>1309</v>
      </c>
      <c r="K15" s="32" t="str">
        <f>IF(K$3="","",IF(COUNTIFS(Base!$A$3:$A$5001,K$3,Base!$B$3:$B$5001,$A$5,Base!$M$3:$M$5001,"&lt;&gt;")=0,"",SUMIFS(Base!$M$3:$M$5001,Base!$A$3:$A$5001,K$3,Base!$B$3:$B$5001,$A$5)))</f>
        <v/>
      </c>
      <c r="L15" s="32">
        <f>IF(L$3="","",IF(COUNTIFS(Base!$A$3:$A$5001,L$3,Base!$B$3:$B$5001,$A$5,Base!$M$3:$M$5001,"&lt;&gt;")=0,"",SUMIFS(Base!$M$3:$M$5001,Base!$A$3:$A$5001,L$3,Base!$B$3:$B$5001,$A$5)))</f>
        <v>1068</v>
      </c>
      <c r="M15" s="32">
        <f>IF(M$3="","",IF(COUNTIFS(Base!$A$3:$A$5001,M$3,Base!$B$3:$B$5001,$A$5,Base!$M$3:$M$5001,"&lt;&gt;")=0,"",SUMIFS(Base!$M$3:$M$5001,Base!$A$3:$A$5001,M$3,Base!$B$3:$B$5001,$A$5)))</f>
        <v>1571</v>
      </c>
      <c r="N15" s="32">
        <f>IF(N$3="","",IF(COUNTIFS(Base!$A$3:$A$5001,N$3,Base!$B$3:$B$5001,$A$5,Base!$M$3:$M$5001,"&lt;&gt;")=0,"",SUMIFS(Base!$M$3:$M$5001,Base!$A$3:$A$5001,N$3,Base!$B$3:$B$5001,$A$5)))</f>
        <v>1336</v>
      </c>
      <c r="O15" s="32">
        <f>IF(O$3="","",IF(COUNTIFS(Base!$A$3:$A$5001,O$3,Base!$B$3:$B$5001,$A$5,Base!$M$3:$M$5001,"&lt;&gt;")=0,"",SUMIFS(Base!$M$3:$M$5001,Base!$A$3:$A$5001,O$3,Base!$B$3:$B$5001,$A$5)))</f>
        <v>1308</v>
      </c>
      <c r="P15" s="32">
        <f>IF(P$3="","",IF(COUNTIFS(Base!$A$3:$A$5001,P$3,Base!$B$3:$B$5001,$A$5,Base!$M$3:$M$5001,"&lt;&gt;")=0,"",SUMIFS(Base!$M$3:$M$5001,Base!$A$3:$A$5001,P$3,Base!$B$3:$B$5001,$A$5)))</f>
        <v>1314</v>
      </c>
      <c r="Q15" s="32">
        <f>IF(Q$3="","",IF(COUNTIFS(Base!$A$3:$A$5001,Q$3,Base!$B$3:$B$5001,$A$5,Base!$M$3:$M$5001,"&lt;&gt;")=0,"",SUMIFS(Base!$M$3:$M$5001,Base!$A$3:$A$5001,Q$3,Base!$B$3:$B$5001,$A$5)))</f>
        <v>1754</v>
      </c>
      <c r="R15" s="32" t="str">
        <f>IF(R$3="","",IF(COUNTIFS(Base!$A$3:$A$5001,R$3,Base!$B$3:$B$5001,$A$5,Base!$M$3:$M$5001,"&lt;&gt;")=0,"",SUMIFS(Base!$M$3:$M$5001,Base!$A$3:$A$5001,R$3,Base!$B$3:$B$5001,$A$5)))</f>
        <v/>
      </c>
      <c r="S15" s="32">
        <f>IF(S$3="","",IF(COUNTIFS(Base!$A$3:$A$5001,S$3,Base!$B$3:$B$5001,$A$5,Base!$M$3:$M$5001,"&lt;&gt;")=0,"",SUMIFS(Base!$M$3:$M$5001,Base!$A$3:$A$5001,S$3,Base!$B$3:$B$5001,$A$5)))</f>
        <v>1050</v>
      </c>
      <c r="T15" s="32">
        <f>IF(T$3="","",IF(COUNTIFS(Base!$A$3:$A$5001,T$3,Base!$B$3:$B$5001,$A$5,Base!$M$3:$M$5001,"&lt;&gt;")=0,"",SUMIFS(Base!$M$3:$M$5001,Base!$A$3:$A$5001,T$3,Base!$B$3:$B$5001,$A$5)))</f>
        <v>1547</v>
      </c>
      <c r="U15" s="32">
        <f>IF(U$3="","",IF(COUNTIFS(Base!$A$3:$A$5001,U$3,Base!$B$3:$B$5001,$A$5,Base!$M$3:$M$5001,"&lt;&gt;")=0,"",SUMIFS(Base!$M$3:$M$5001,Base!$A$3:$A$5001,U$3,Base!$B$3:$B$5001,$A$5)))</f>
        <v>1162</v>
      </c>
      <c r="V15" s="32">
        <f>IF(V$3="","",IF(COUNTIFS(Base!$A$3:$A$5001,V$3,Base!$B$3:$B$5001,$A$5,Base!$M$3:$M$5001,"&lt;&gt;")=0,"",SUMIFS(Base!$M$3:$M$5001,Base!$A$3:$A$5001,V$3,Base!$B$3:$B$5001,$A$5)))</f>
        <v>1046</v>
      </c>
      <c r="W15" s="32">
        <f>IF(W$3="","",IF(COUNTIFS(Base!$A$3:$A$5001,W$3,Base!$B$3:$B$5001,$A$5,Base!$M$3:$M$5001,"&lt;&gt;")=0,"",SUMIFS(Base!$M$3:$M$5001,Base!$A$3:$A$5001,W$3,Base!$B$3:$B$5001,$A$5)))</f>
        <v>1708</v>
      </c>
      <c r="X15" s="32" t="str">
        <f>IF(X$3="","",IF(COUNTIFS(Base!$A$3:$A$5001,X$3,Base!$B$3:$B$5001,$A$5,Base!$M$3:$M$5001,"&lt;&gt;")=0,"",SUMIFS(Base!$M$3:$M$5001,Base!$A$3:$A$5001,X$3,Base!$B$3:$B$5001,$A$5)))</f>
        <v/>
      </c>
      <c r="Y15" s="32" t="str">
        <f>IF(Y$3="","",IF(COUNTIFS(Base!$A$3:$A$5001,Y$3,Base!$B$3:$B$5001,$A$5,Base!$M$3:$M$5001,"&lt;&gt;")=0,"",SUMIFS(Base!$M$3:$M$5001,Base!$A$3:$A$5001,Y$3,Base!$B$3:$B$5001,$A$5)))</f>
        <v/>
      </c>
      <c r="Z15" s="32">
        <f>IF(Z$3="","",IF(COUNTIFS(Base!$A$3:$A$5001,Z$3,Base!$B$3:$B$5001,$A$5,Base!$M$3:$M$5001,"&lt;&gt;")=0,"",SUMIFS(Base!$M$3:$M$5001,Base!$A$3:$A$5001,Z$3,Base!$B$3:$B$5001,$A$5)))</f>
        <v>1878</v>
      </c>
      <c r="AA15" s="32">
        <f>IF(AA$3="","",IF(COUNTIFS(Base!$A$3:$A$5001,AA$3,Base!$B$3:$B$5001,$A$5,Base!$M$3:$M$5001,"&lt;&gt;")=0,"",SUMIFS(Base!$M$3:$M$5001,Base!$A$3:$A$5001,AA$3,Base!$B$3:$B$5001,$A$5)))</f>
        <v>1880</v>
      </c>
      <c r="AB15" s="32">
        <f>IF(AB$3="","",IF(COUNTIFS(Base!$A$3:$A$5001,AB$3,Base!$B$3:$B$5001,$A$5,Base!$M$3:$M$5001,"&lt;&gt;")=0,"",SUMIFS(Base!$M$3:$M$5001,Base!$A$3:$A$5001,AB$3,Base!$B$3:$B$5001,$A$5)))</f>
        <v>989</v>
      </c>
      <c r="AC15" s="32">
        <f>IF(AC$3="","",IF(COUNTIFS(Base!$A$3:$A$5001,AC$3,Base!$B$3:$B$5001,$A$5,Base!$M$3:$M$5001,"&lt;&gt;")=0,"",SUMIFS(Base!$M$3:$M$5001,Base!$A$3:$A$5001,AC$3,Base!$B$3:$B$5001,$A$5)))</f>
        <v>1245</v>
      </c>
      <c r="AD15" s="32">
        <f>IF(AD$3="","",IF(COUNTIFS(Base!$A$3:$A$5001,AD$3,Base!$B$3:$B$5001,$A$5,Base!$M$3:$M$5001,"&lt;&gt;")=0,"",SUMIFS(Base!$M$3:$M$5001,Base!$A$3:$A$5001,AD$3,Base!$B$3:$B$5001,$A$5)))</f>
        <v>1741</v>
      </c>
      <c r="AE15" s="32">
        <f>IF(AE$3="","",IF(COUNTIFS(Base!$A$3:$A$5001,AE$3,Base!$B$3:$B$5001,$A$5,Base!$M$3:$M$5001,"&lt;&gt;")=0,"",SUMIFS(Base!$M$3:$M$5001,Base!$A$3:$A$5001,AE$3,Base!$B$3:$B$5001,$A$5)))</f>
        <v>1815</v>
      </c>
      <c r="AF15" s="32">
        <f>IF(AF$3="","",IF(COUNTIFS(Base!$A$3:$A$5001,AF$3,Base!$B$3:$B$5001,$A$5,Base!$M$3:$M$5001,"&lt;&gt;")=0,"",SUMIFS(Base!$M$3:$M$5001,Base!$A$3:$A$5001,AF$3,Base!$B$3:$B$5001,$A$5)))</f>
        <v>1211</v>
      </c>
      <c r="AG15" s="32">
        <f>IF(AG$3="","",IF(COUNTIFS(Base!$A$3:$A$5001,AG$3,Base!$B$3:$B$5001,$A$5,Base!$M$3:$M$5001,"&lt;&gt;")=0,"",SUMIFS(Base!$M$3:$M$5001,Base!$A$3:$A$5001,AG$3,Base!$B$3:$B$5001,$A$5)))</f>
        <v>1047</v>
      </c>
      <c r="AH15" s="32">
        <f>IF(AH$3="","",IF(COUNTIFS(Base!$A$3:$A$5001,AH$3,Base!$B$3:$B$5001,$A$5,Base!$M$3:$M$5001,"&lt;&gt;")=0,"",SUMIFS(Base!$M$3:$M$5001,Base!$A$3:$A$5001,AH$3,Base!$B$3:$B$5001,$A$5)))</f>
        <v>1872</v>
      </c>
      <c r="AI15" s="32" t="str">
        <f>IF(AI$3="","",IF(COUNTIFS(Base!$A$3:$A$5001,AI$3,Base!$B$3:$B$5001,$A$5,Base!$M$3:$M$5001,"&lt;&gt;")=0,"",SUMIFS(Base!$M$3:$M$5001,Base!$A$3:$A$5001,AI$3,Base!$B$3:$B$5001,$A$5)))</f>
        <v/>
      </c>
      <c r="AJ15" s="33" t="str">
        <f>IF(AJ$3="","",IF(COUNTIFS(Base!$A$3:$A$5001,AJ$3,Base!$B$3:$B$5001,$A$5,Base!$M$3:$M$5001,"&lt;&gt;")=0,"",SUMIFS(Base!$M$3:$M$5001,Base!$A$3:$A$5001,AJ$3,Base!$B$3:$B$5001,$A$5)))</f>
        <v/>
      </c>
      <c r="AK15" s="34">
        <f>IFERROR(LOOKUP(9.99E+307,F15:AJ15),"")</f>
        <v>1872</v>
      </c>
    </row>
    <row r="16" ht="15.75" customHeight="1">
      <c r="A16" s="118"/>
      <c r="B16" s="107"/>
      <c r="C16" s="35" t="inlineStr">
        <is>
          <t xml:space="preserve">Taxa de Ocupação</t>
        </is>
      </c>
      <c r="D16" s="81">
        <v>0.85</v>
      </c>
      <c r="E16" s="37"/>
      <c r="F16" s="82">
        <f>IF(AND(ISNUMBER(F14),ISNUMBER(F15)),IF(F14&gt;0,F15/F14,""),"")</f>
        <v>0.743076923076923</v>
      </c>
      <c r="G16" s="83">
        <f>IF(AND(ISNUMBER(G14),ISNUMBER(G15)),IF(G14&gt;0,G15/G14,""),"")</f>
        <v>0.512820512820513</v>
      </c>
      <c r="H16" s="83">
        <f>IF(AND(ISNUMBER(H14),ISNUMBER(H15)),IF(H14&gt;0,H15/H14,""),"")</f>
        <v>0.954358974358974</v>
      </c>
      <c r="I16" s="83">
        <f>IF(AND(ISNUMBER(I14),ISNUMBER(I15)),IF(I14&gt;0,I15/I14,""),"")</f>
        <v>0.644102564102564</v>
      </c>
      <c r="J16" s="83">
        <f>IF(AND(ISNUMBER(J14),ISNUMBER(J15)),IF(J14&gt;0,J15/J14,""),"")</f>
        <v>0.671282051282051</v>
      </c>
      <c r="K16" s="83" t="str">
        <f>IF(AND(ISNUMBER(K14),ISNUMBER(K15)),IF(K14&gt;0,K15/K14,""),"")</f>
        <v/>
      </c>
      <c r="L16" s="83">
        <f>IF(AND(ISNUMBER(L14),ISNUMBER(L15)),IF(L14&gt;0,L15/L14,""),"")</f>
        <v>0.547692307692308</v>
      </c>
      <c r="M16" s="83">
        <f>IF(AND(ISNUMBER(M14),ISNUMBER(M15)),IF(M14&gt;0,M15/M14,""),"")</f>
        <v>0.805641025641026</v>
      </c>
      <c r="N16" s="83">
        <f>IF(AND(ISNUMBER(N14),ISNUMBER(N15)),IF(N14&gt;0,N15/N14,""),"")</f>
        <v>0.685128205128205</v>
      </c>
      <c r="O16" s="83">
        <f>IF(AND(ISNUMBER(O14),ISNUMBER(O15)),IF(O14&gt;0,O15/O14,""),"")</f>
        <v>0.670769230769231</v>
      </c>
      <c r="P16" s="83">
        <f>IF(AND(ISNUMBER(P14),ISNUMBER(P15)),IF(P14&gt;0,P15/P14,""),"")</f>
        <v>0.673846153846154</v>
      </c>
      <c r="Q16" s="83">
        <f>IF(AND(ISNUMBER(Q14),ISNUMBER(Q15)),IF(Q14&gt;0,Q15/Q14,""),"")</f>
        <v>0.89948717948718</v>
      </c>
      <c r="R16" s="83" t="str">
        <f>IF(AND(ISNUMBER(R14),ISNUMBER(R15)),IF(R14&gt;0,R15/R14,""),"")</f>
        <v/>
      </c>
      <c r="S16" s="83">
        <f>IF(AND(ISNUMBER(S14),ISNUMBER(S15)),IF(S14&gt;0,S15/S14,""),"")</f>
        <v>0.538461538461538</v>
      </c>
      <c r="T16" s="83">
        <f>IF(AND(ISNUMBER(T14),ISNUMBER(T15)),IF(T14&gt;0,T15/T14,""),"")</f>
        <v>0.793333333333333</v>
      </c>
      <c r="U16" s="83">
        <f>IF(AND(ISNUMBER(U14),ISNUMBER(U15)),IF(U14&gt;0,U15/U14,""),"")</f>
        <v>0.595897435897436</v>
      </c>
      <c r="V16" s="83">
        <f>IF(AND(ISNUMBER(V14),ISNUMBER(V15)),IF(V14&gt;0,V15/V14,""),"")</f>
        <v>0.536410256410256</v>
      </c>
      <c r="W16" s="83">
        <f>IF(AND(ISNUMBER(W14),ISNUMBER(W15)),IF(W14&gt;0,W15/W14,""),"")</f>
        <v>0.875897435897436</v>
      </c>
      <c r="X16" s="83" t="str">
        <f>IF(AND(ISNUMBER(X14),ISNUMBER(X15)),IF(X14&gt;0,X15/X14,""),"")</f>
        <v/>
      </c>
      <c r="Y16" s="83" t="str">
        <f>IF(AND(ISNUMBER(Y14),ISNUMBER(Y15)),IF(Y14&gt;0,Y15/Y14,""),"")</f>
        <v/>
      </c>
      <c r="Z16" s="83">
        <f>IF(AND(ISNUMBER(Z14),ISNUMBER(Z15)),IF(Z14&gt;0,Z15/Z14,""),"")</f>
        <v>0.963076923076923</v>
      </c>
      <c r="AA16" s="83">
        <f>IF(AND(ISNUMBER(AA14),ISNUMBER(AA15)),IF(AA14&gt;0,AA15/AA14,""),"")</f>
        <v>0.964102564102564</v>
      </c>
      <c r="AB16" s="83">
        <f>IF(AND(ISNUMBER(AB14),ISNUMBER(AB15)),IF(AB14&gt;0,AB15/AB14,""),"")</f>
        <v>0.507179487179487</v>
      </c>
      <c r="AC16" s="83">
        <f>IF(AND(ISNUMBER(AC14),ISNUMBER(AC15)),IF(AC14&gt;0,AC15/AC14,""),"")</f>
        <v>0.638461538461538</v>
      </c>
      <c r="AD16" s="83">
        <f>IF(AND(ISNUMBER(AD14),ISNUMBER(AD15)),IF(AD14&gt;0,AD15/AD14,""),"")</f>
        <v>0.892820512820513</v>
      </c>
      <c r="AE16" s="83">
        <f>IF(AND(ISNUMBER(AE14),ISNUMBER(AE15)),IF(AE14&gt;0,AE15/AE14,""),"")</f>
        <v>0.930769230769231</v>
      </c>
      <c r="AF16" s="83">
        <f>IF(AND(ISNUMBER(AF14),ISNUMBER(AF15)),IF(AF14&gt;0,AF15/AF14,""),"")</f>
        <v>0.621025641025641</v>
      </c>
      <c r="AG16" s="83">
        <f>IF(AND(ISNUMBER(AG14),ISNUMBER(AG15)),IF(AG14&gt;0,AG15/AG14,""),"")</f>
        <v>0.536923076923077</v>
      </c>
      <c r="AH16" s="83">
        <f>IF(AND(ISNUMBER(AH14),ISNUMBER(AH15)),IF(AH14&gt;0,AH15/AH14,""),"")</f>
        <v>0.96</v>
      </c>
      <c r="AI16" s="83" t="str">
        <f>IF(AND(ISNUMBER(AI14),ISNUMBER(AI15)),IF(AI14&gt;0,AI15/AI14,""),"")</f>
        <v/>
      </c>
      <c r="AJ16" s="84" t="str">
        <f>IF(AND(ISNUMBER(AJ14),ISNUMBER(AJ15)),IF(AJ14&gt;0,AJ15/AJ14,""),"")</f>
        <v/>
      </c>
      <c r="AK16" s="81">
        <f>IF(AND(ISNUMBER(AK14),ISNUMBER(AK15)),IF(AK14&gt;0,AK15/AK14,""),"")</f>
        <v>0.96</v>
      </c>
    </row>
    <row r="17" ht="15.75" customHeight="1">
      <c r="A17" s="118"/>
      <c r="B17" s="114" t="inlineStr">
        <is>
          <t xml:space="preserve">GENTE</t>
        </is>
      </c>
      <c r="C17" s="85" t="inlineStr">
        <is>
          <t xml:space="preserve">Efetivo Op.</t>
        </is>
      </c>
      <c r="D17" s="86"/>
      <c r="E17" s="87"/>
      <c r="F17" s="88">
        <f>IF(F$3="","",IF(COUNTIFS(Base!$A$3:$A$5001,F$3,Base!$B$3:$B$5001,$A$5,Base!$N$3:$N$5001,"&lt;&gt;")=0,"",SUMIFS(Base!$N$3:$N$5001,Base!$A$3:$A$5001,F$3,Base!$B$3:$B$5001,$A$5)))</f>
        <v>9</v>
      </c>
      <c r="G17" s="89">
        <f>IF(G$3="","",IF(COUNTIFS(Base!$A$3:$A$5001,G$3,Base!$B$3:$B$5001,$A$5,Base!$N$3:$N$5001,"&lt;&gt;")=0,"",SUMIFS(Base!$N$3:$N$5001,Base!$A$3:$A$5001,G$3,Base!$B$3:$B$5001,$A$5)))</f>
        <v>9</v>
      </c>
      <c r="H17" s="89">
        <f>IF(H$3="","",IF(COUNTIFS(Base!$A$3:$A$5001,H$3,Base!$B$3:$B$5001,$A$5,Base!$N$3:$N$5001,"&lt;&gt;")=0,"",SUMIFS(Base!$N$3:$N$5001,Base!$A$3:$A$5001,H$3,Base!$B$3:$B$5001,$A$5)))</f>
        <v>9</v>
      </c>
      <c r="I17" s="89">
        <f>IF(I$3="","",IF(COUNTIFS(Base!$A$3:$A$5001,I$3,Base!$B$3:$B$5001,$A$5,Base!$N$3:$N$5001,"&lt;&gt;")=0,"",SUMIFS(Base!$N$3:$N$5001,Base!$A$3:$A$5001,I$3,Base!$B$3:$B$5001,$A$5)))</f>
        <v>8</v>
      </c>
      <c r="J17" s="89">
        <f>IF(J$3="","",IF(COUNTIFS(Base!$A$3:$A$5001,J$3,Base!$B$3:$B$5001,$A$5,Base!$N$3:$N$5001,"&lt;&gt;")=0,"",SUMIFS(Base!$N$3:$N$5001,Base!$A$3:$A$5001,J$3,Base!$B$3:$B$5001,$A$5)))</f>
        <v>5</v>
      </c>
      <c r="K17" s="89" t="str">
        <f>IF(K$3="","",IF(COUNTIFS(Base!$A$3:$A$5001,K$3,Base!$B$3:$B$5001,$A$5,Base!$N$3:$N$5001,"&lt;&gt;")=0,"",SUMIFS(Base!$N$3:$N$5001,Base!$A$3:$A$5001,K$3,Base!$B$3:$B$5001,$A$5)))</f>
        <v/>
      </c>
      <c r="L17" s="89">
        <f>IF(L$3="","",IF(COUNTIFS(Base!$A$3:$A$5001,L$3,Base!$B$3:$B$5001,$A$5,Base!$N$3:$N$5001,"&lt;&gt;")=0,"",SUMIFS(Base!$N$3:$N$5001,Base!$A$3:$A$5001,L$3,Base!$B$3:$B$5001,$A$5)))</f>
        <v>7</v>
      </c>
      <c r="M17" s="89">
        <f>IF(M$3="","",IF(COUNTIFS(Base!$A$3:$A$5001,M$3,Base!$B$3:$B$5001,$A$5,Base!$N$3:$N$5001,"&lt;&gt;")=0,"",SUMIFS(Base!$N$3:$N$5001,Base!$A$3:$A$5001,M$3,Base!$B$3:$B$5001,$A$5)))</f>
        <v>8</v>
      </c>
      <c r="N17" s="89">
        <f>IF(N$3="","",IF(COUNTIFS(Base!$A$3:$A$5001,N$3,Base!$B$3:$B$5001,$A$5,Base!$N$3:$N$5001,"&lt;&gt;")=0,"",SUMIFS(Base!$N$3:$N$5001,Base!$A$3:$A$5001,N$3,Base!$B$3:$B$5001,$A$5)))</f>
        <v>8</v>
      </c>
      <c r="O17" s="89">
        <f>IF(O$3="","",IF(COUNTIFS(Base!$A$3:$A$5001,O$3,Base!$B$3:$B$5001,$A$5,Base!$N$3:$N$5001,"&lt;&gt;")=0,"",SUMIFS(Base!$N$3:$N$5001,Base!$A$3:$A$5001,O$3,Base!$B$3:$B$5001,$A$5)))</f>
        <v>4</v>
      </c>
      <c r="P17" s="89">
        <f>IF(P$3="","",IF(COUNTIFS(Base!$A$3:$A$5001,P$3,Base!$B$3:$B$5001,$A$5,Base!$N$3:$N$5001,"&lt;&gt;")=0,"",SUMIFS(Base!$N$3:$N$5001,Base!$A$3:$A$5001,P$3,Base!$B$3:$B$5001,$A$5)))</f>
        <v>9</v>
      </c>
      <c r="Q17" s="89">
        <f>IF(Q$3="","",IF(COUNTIFS(Base!$A$3:$A$5001,Q$3,Base!$B$3:$B$5001,$A$5,Base!$N$3:$N$5001,"&lt;&gt;")=0,"",SUMIFS(Base!$N$3:$N$5001,Base!$A$3:$A$5001,Q$3,Base!$B$3:$B$5001,$A$5)))</f>
        <v>6</v>
      </c>
      <c r="R17" s="89" t="str">
        <f>IF(R$3="","",IF(COUNTIFS(Base!$A$3:$A$5001,R$3,Base!$B$3:$B$5001,$A$5,Base!$N$3:$N$5001,"&lt;&gt;")=0,"",SUMIFS(Base!$N$3:$N$5001,Base!$A$3:$A$5001,R$3,Base!$B$3:$B$5001,$A$5)))</f>
        <v/>
      </c>
      <c r="S17" s="89">
        <f>IF(S$3="","",IF(COUNTIFS(Base!$A$3:$A$5001,S$3,Base!$B$3:$B$5001,$A$5,Base!$N$3:$N$5001,"&lt;&gt;")=0,"",SUMIFS(Base!$N$3:$N$5001,Base!$A$3:$A$5001,S$3,Base!$B$3:$B$5001,$A$5)))</f>
        <v>5</v>
      </c>
      <c r="T17" s="89">
        <f>IF(T$3="","",IF(COUNTIFS(Base!$A$3:$A$5001,T$3,Base!$B$3:$B$5001,$A$5,Base!$N$3:$N$5001,"&lt;&gt;")=0,"",SUMIFS(Base!$N$3:$N$5001,Base!$A$3:$A$5001,T$3,Base!$B$3:$B$5001,$A$5)))</f>
        <v>4</v>
      </c>
      <c r="U17" s="89">
        <f>IF(U$3="","",IF(COUNTIFS(Base!$A$3:$A$5001,U$3,Base!$B$3:$B$5001,$A$5,Base!$N$3:$N$5001,"&lt;&gt;")=0,"",SUMIFS(Base!$N$3:$N$5001,Base!$A$3:$A$5001,U$3,Base!$B$3:$B$5001,$A$5)))</f>
        <v>5</v>
      </c>
      <c r="V17" s="89">
        <f>IF(V$3="","",IF(COUNTIFS(Base!$A$3:$A$5001,V$3,Base!$B$3:$B$5001,$A$5,Base!$N$3:$N$5001,"&lt;&gt;")=0,"",SUMIFS(Base!$N$3:$N$5001,Base!$A$3:$A$5001,V$3,Base!$B$3:$B$5001,$A$5)))</f>
        <v>5</v>
      </c>
      <c r="W17" s="89">
        <f>IF(W$3="","",IF(COUNTIFS(Base!$A$3:$A$5001,W$3,Base!$B$3:$B$5001,$A$5,Base!$N$3:$N$5001,"&lt;&gt;")=0,"",SUMIFS(Base!$N$3:$N$5001,Base!$A$3:$A$5001,W$3,Base!$B$3:$B$5001,$A$5)))</f>
        <v>6</v>
      </c>
      <c r="X17" s="89" t="str">
        <f>IF(X$3="","",IF(COUNTIFS(Base!$A$3:$A$5001,X$3,Base!$B$3:$B$5001,$A$5,Base!$N$3:$N$5001,"&lt;&gt;")=0,"",SUMIFS(Base!$N$3:$N$5001,Base!$A$3:$A$5001,X$3,Base!$B$3:$B$5001,$A$5)))</f>
        <v/>
      </c>
      <c r="Y17" s="89" t="str">
        <f>IF(Y$3="","",IF(COUNTIFS(Base!$A$3:$A$5001,Y$3,Base!$B$3:$B$5001,$A$5,Base!$N$3:$N$5001,"&lt;&gt;")=0,"",SUMIFS(Base!$N$3:$N$5001,Base!$A$3:$A$5001,Y$3,Base!$B$3:$B$5001,$A$5)))</f>
        <v/>
      </c>
      <c r="Z17" s="89">
        <f>IF(Z$3="","",IF(COUNTIFS(Base!$A$3:$A$5001,Z$3,Base!$B$3:$B$5001,$A$5,Base!$N$3:$N$5001,"&lt;&gt;")=0,"",SUMIFS(Base!$N$3:$N$5001,Base!$A$3:$A$5001,Z$3,Base!$B$3:$B$5001,$A$5)))</f>
        <v>7</v>
      </c>
      <c r="AA17" s="89">
        <f>IF(AA$3="","",IF(COUNTIFS(Base!$A$3:$A$5001,AA$3,Base!$B$3:$B$5001,$A$5,Base!$N$3:$N$5001,"&lt;&gt;")=0,"",SUMIFS(Base!$N$3:$N$5001,Base!$A$3:$A$5001,AA$3,Base!$B$3:$B$5001,$A$5)))</f>
        <v>9</v>
      </c>
      <c r="AB17" s="89">
        <f>IF(AB$3="","",IF(COUNTIFS(Base!$A$3:$A$5001,AB$3,Base!$B$3:$B$5001,$A$5,Base!$N$3:$N$5001,"&lt;&gt;")=0,"",SUMIFS(Base!$N$3:$N$5001,Base!$A$3:$A$5001,AB$3,Base!$B$3:$B$5001,$A$5)))</f>
        <v>5</v>
      </c>
      <c r="AC17" s="89">
        <f>IF(AC$3="","",IF(COUNTIFS(Base!$A$3:$A$5001,AC$3,Base!$B$3:$B$5001,$A$5,Base!$N$3:$N$5001,"&lt;&gt;")=0,"",SUMIFS(Base!$N$3:$N$5001,Base!$A$3:$A$5001,AC$3,Base!$B$3:$B$5001,$A$5)))</f>
        <v>7</v>
      </c>
      <c r="AD17" s="89">
        <f>IF(AD$3="","",IF(COUNTIFS(Base!$A$3:$A$5001,AD$3,Base!$B$3:$B$5001,$A$5,Base!$N$3:$N$5001,"&lt;&gt;")=0,"",SUMIFS(Base!$N$3:$N$5001,Base!$A$3:$A$5001,AD$3,Base!$B$3:$B$5001,$A$5)))</f>
        <v>9</v>
      </c>
      <c r="AE17" s="89">
        <f>IF(AE$3="","",IF(COUNTIFS(Base!$A$3:$A$5001,AE$3,Base!$B$3:$B$5001,$A$5,Base!$N$3:$N$5001,"&lt;&gt;")=0,"",SUMIFS(Base!$N$3:$N$5001,Base!$A$3:$A$5001,AE$3,Base!$B$3:$B$5001,$A$5)))</f>
        <v>5</v>
      </c>
      <c r="AF17" s="89">
        <f>IF(AF$3="","",IF(COUNTIFS(Base!$A$3:$A$5001,AF$3,Base!$B$3:$B$5001,$A$5,Base!$N$3:$N$5001,"&lt;&gt;")=0,"",SUMIFS(Base!$N$3:$N$5001,Base!$A$3:$A$5001,AF$3,Base!$B$3:$B$5001,$A$5)))</f>
        <v>9</v>
      </c>
      <c r="AG17" s="89">
        <f>IF(AG$3="","",IF(COUNTIFS(Base!$A$3:$A$5001,AG$3,Base!$B$3:$B$5001,$A$5,Base!$N$3:$N$5001,"&lt;&gt;")=0,"",SUMIFS(Base!$N$3:$N$5001,Base!$A$3:$A$5001,AG$3,Base!$B$3:$B$5001,$A$5)))</f>
        <v>7</v>
      </c>
      <c r="AH17" s="89">
        <f>IF(AH$3="","",IF(COUNTIFS(Base!$A$3:$A$5001,AH$3,Base!$B$3:$B$5001,$A$5,Base!$N$3:$N$5001,"&lt;&gt;")=0,"",SUMIFS(Base!$N$3:$N$5001,Base!$A$3:$A$5001,AH$3,Base!$B$3:$B$5001,$A$5)))</f>
        <v>5</v>
      </c>
      <c r="AI17" s="89" t="str">
        <f>IF(AI$3="","",IF(COUNTIFS(Base!$A$3:$A$5001,AI$3,Base!$B$3:$B$5001,$A$5,Base!$N$3:$N$5001,"&lt;&gt;")=0,"",SUMIFS(Base!$N$3:$N$5001,Base!$A$3:$A$5001,AI$3,Base!$B$3:$B$5001,$A$5)))</f>
        <v/>
      </c>
      <c r="AJ17" s="90" t="str">
        <f>IF(AJ$3="","",IF(COUNTIFS(Base!$A$3:$A$5001,AJ$3,Base!$B$3:$B$5001,$A$5,Base!$N$3:$N$5001,"&lt;&gt;")=0,"",SUMIFS(Base!$N$3:$N$5001,Base!$A$3:$A$5001,AJ$3,Base!$B$3:$B$5001,$A$5)))</f>
        <v/>
      </c>
      <c r="AK17" s="91">
        <f>IFERROR(LOOKUP(9.99E+307,F17:AJ17),"")</f>
        <v>5</v>
      </c>
    </row>
    <row r="18" ht="15.75" customHeight="1">
      <c r="A18" s="118"/>
      <c r="B18" s="115"/>
      <c r="C18" s="92" t="inlineStr">
        <is>
          <t xml:space="preserve">Falta</t>
        </is>
      </c>
      <c r="D18" s="93"/>
      <c r="E18" s="94"/>
      <c r="F18" s="95" t="str">
        <f>IF(F$3="","",IF(COUNTIFS(Base!$A$3:$A$5001,F$3,Base!$B$3:$B$5001,$A$5,Base!$O$3:$O$5001,"&lt;&gt;")=0,"",SUMIFS(Base!$O$3:$O$5001,Base!$A$3:$A$5001,F$3,Base!$B$3:$B$5001,$A$5)))</f>
        <v/>
      </c>
      <c r="G18" s="96" t="str">
        <f>IF(G$3="","",IF(COUNTIFS(Base!$A$3:$A$5001,G$3,Base!$B$3:$B$5001,$A$5,Base!$O$3:$O$5001,"&lt;&gt;")=0,"",SUMIFS(Base!$O$3:$O$5001,Base!$A$3:$A$5001,G$3,Base!$B$3:$B$5001,$A$5)))</f>
        <v/>
      </c>
      <c r="H18" s="96" t="str">
        <f>IF(H$3="","",IF(COUNTIFS(Base!$A$3:$A$5001,H$3,Base!$B$3:$B$5001,$A$5,Base!$O$3:$O$5001,"&lt;&gt;")=0,"",SUMIFS(Base!$O$3:$O$5001,Base!$A$3:$A$5001,H$3,Base!$B$3:$B$5001,$A$5)))</f>
        <v/>
      </c>
      <c r="I18" s="96" t="str">
        <f>IF(I$3="","",IF(COUNTIFS(Base!$A$3:$A$5001,I$3,Base!$B$3:$B$5001,$A$5,Base!$O$3:$O$5001,"&lt;&gt;")=0,"",SUMIFS(Base!$O$3:$O$5001,Base!$A$3:$A$5001,I$3,Base!$B$3:$B$5001,$A$5)))</f>
        <v/>
      </c>
      <c r="J18" s="96" t="str">
        <f>IF(J$3="","",IF(COUNTIFS(Base!$A$3:$A$5001,J$3,Base!$B$3:$B$5001,$A$5,Base!$O$3:$O$5001,"&lt;&gt;")=0,"",SUMIFS(Base!$O$3:$O$5001,Base!$A$3:$A$5001,J$3,Base!$B$3:$B$5001,$A$5)))</f>
        <v/>
      </c>
      <c r="K18" s="96" t="str">
        <f>IF(K$3="","",IF(COUNTIFS(Base!$A$3:$A$5001,K$3,Base!$B$3:$B$5001,$A$5,Base!$O$3:$O$5001,"&lt;&gt;")=0,"",SUMIFS(Base!$O$3:$O$5001,Base!$A$3:$A$5001,K$3,Base!$B$3:$B$5001,$A$5)))</f>
        <v/>
      </c>
      <c r="L18" s="96" t="str">
        <f>IF(L$3="","",IF(COUNTIFS(Base!$A$3:$A$5001,L$3,Base!$B$3:$B$5001,$A$5,Base!$O$3:$O$5001,"&lt;&gt;")=0,"",SUMIFS(Base!$O$3:$O$5001,Base!$A$3:$A$5001,L$3,Base!$B$3:$B$5001,$A$5)))</f>
        <v/>
      </c>
      <c r="M18" s="96" t="str">
        <f>IF(M$3="","",IF(COUNTIFS(Base!$A$3:$A$5001,M$3,Base!$B$3:$B$5001,$A$5,Base!$O$3:$O$5001,"&lt;&gt;")=0,"",SUMIFS(Base!$O$3:$O$5001,Base!$A$3:$A$5001,M$3,Base!$B$3:$B$5001,$A$5)))</f>
        <v/>
      </c>
      <c r="N18" s="96" t="str">
        <f>IF(N$3="","",IF(COUNTIFS(Base!$A$3:$A$5001,N$3,Base!$B$3:$B$5001,$A$5,Base!$O$3:$O$5001,"&lt;&gt;")=0,"",SUMIFS(Base!$O$3:$O$5001,Base!$A$3:$A$5001,N$3,Base!$B$3:$B$5001,$A$5)))</f>
        <v/>
      </c>
      <c r="O18" s="96" t="str">
        <f>IF(O$3="","",IF(COUNTIFS(Base!$A$3:$A$5001,O$3,Base!$B$3:$B$5001,$A$5,Base!$O$3:$O$5001,"&lt;&gt;")=0,"",SUMIFS(Base!$O$3:$O$5001,Base!$A$3:$A$5001,O$3,Base!$B$3:$B$5001,$A$5)))</f>
        <v/>
      </c>
      <c r="P18" s="96" t="str">
        <f>IF(P$3="","",IF(COUNTIFS(Base!$A$3:$A$5001,P$3,Base!$B$3:$B$5001,$A$5,Base!$O$3:$O$5001,"&lt;&gt;")=0,"",SUMIFS(Base!$O$3:$O$5001,Base!$A$3:$A$5001,P$3,Base!$B$3:$B$5001,$A$5)))</f>
        <v/>
      </c>
      <c r="Q18" s="96" t="str">
        <f>IF(Q$3="","",IF(COUNTIFS(Base!$A$3:$A$5001,Q$3,Base!$B$3:$B$5001,$A$5,Base!$O$3:$O$5001,"&lt;&gt;")=0,"",SUMIFS(Base!$O$3:$O$5001,Base!$A$3:$A$5001,Q$3,Base!$B$3:$B$5001,$A$5)))</f>
        <v/>
      </c>
      <c r="R18" s="96" t="str">
        <f>IF(R$3="","",IF(COUNTIFS(Base!$A$3:$A$5001,R$3,Base!$B$3:$B$5001,$A$5,Base!$O$3:$O$5001,"&lt;&gt;")=0,"",SUMIFS(Base!$O$3:$O$5001,Base!$A$3:$A$5001,R$3,Base!$B$3:$B$5001,$A$5)))</f>
        <v/>
      </c>
      <c r="S18" s="96" t="str">
        <f>IF(S$3="","",IF(COUNTIFS(Base!$A$3:$A$5001,S$3,Base!$B$3:$B$5001,$A$5,Base!$O$3:$O$5001,"&lt;&gt;")=0,"",SUMIFS(Base!$O$3:$O$5001,Base!$A$3:$A$5001,S$3,Base!$B$3:$B$5001,$A$5)))</f>
        <v/>
      </c>
      <c r="T18" s="96" t="str">
        <f>IF(T$3="","",IF(COUNTIFS(Base!$A$3:$A$5001,T$3,Base!$B$3:$B$5001,$A$5,Base!$O$3:$O$5001,"&lt;&gt;")=0,"",SUMIFS(Base!$O$3:$O$5001,Base!$A$3:$A$5001,T$3,Base!$B$3:$B$5001,$A$5)))</f>
        <v/>
      </c>
      <c r="U18" s="96" t="str">
        <f>IF(U$3="","",IF(COUNTIFS(Base!$A$3:$A$5001,U$3,Base!$B$3:$B$5001,$A$5,Base!$O$3:$O$5001,"&lt;&gt;")=0,"",SUMIFS(Base!$O$3:$O$5001,Base!$A$3:$A$5001,U$3,Base!$B$3:$B$5001,$A$5)))</f>
        <v/>
      </c>
      <c r="V18" s="96" t="str">
        <f>IF(V$3="","",IF(COUNTIFS(Base!$A$3:$A$5001,V$3,Base!$B$3:$B$5001,$A$5,Base!$O$3:$O$5001,"&lt;&gt;")=0,"",SUMIFS(Base!$O$3:$O$5001,Base!$A$3:$A$5001,V$3,Base!$B$3:$B$5001,$A$5)))</f>
        <v/>
      </c>
      <c r="W18" s="96" t="str">
        <f>IF(W$3="","",IF(COUNTIFS(Base!$A$3:$A$5001,W$3,Base!$B$3:$B$5001,$A$5,Base!$O$3:$O$5001,"&lt;&gt;")=0,"",SUMIFS(Base!$O$3:$O$5001,Base!$A$3:$A$5001,W$3,Base!$B$3:$B$5001,$A$5)))</f>
        <v/>
      </c>
      <c r="X18" s="96" t="str">
        <f>IF(X$3="","",IF(COUNTIFS(Base!$A$3:$A$5001,X$3,Base!$B$3:$B$5001,$A$5,Base!$O$3:$O$5001,"&lt;&gt;")=0,"",SUMIFS(Base!$O$3:$O$5001,Base!$A$3:$A$5001,X$3,Base!$B$3:$B$5001,$A$5)))</f>
        <v/>
      </c>
      <c r="Y18" s="96" t="str">
        <f>IF(Y$3="","",IF(COUNTIFS(Base!$A$3:$A$5001,Y$3,Base!$B$3:$B$5001,$A$5,Base!$O$3:$O$5001,"&lt;&gt;")=0,"",SUMIFS(Base!$O$3:$O$5001,Base!$A$3:$A$5001,Y$3,Base!$B$3:$B$5001,$A$5)))</f>
        <v/>
      </c>
      <c r="Z18" s="96" t="str">
        <f>IF(Z$3="","",IF(COUNTIFS(Base!$A$3:$A$5001,Z$3,Base!$B$3:$B$5001,$A$5,Base!$O$3:$O$5001,"&lt;&gt;")=0,"",SUMIFS(Base!$O$3:$O$5001,Base!$A$3:$A$5001,Z$3,Base!$B$3:$B$5001,$A$5)))</f>
        <v/>
      </c>
      <c r="AA18" s="96" t="str">
        <f>IF(AA$3="","",IF(COUNTIFS(Base!$A$3:$A$5001,AA$3,Base!$B$3:$B$5001,$A$5,Base!$O$3:$O$5001,"&lt;&gt;")=0,"",SUMIFS(Base!$O$3:$O$5001,Base!$A$3:$A$5001,AA$3,Base!$B$3:$B$5001,$A$5)))</f>
        <v/>
      </c>
      <c r="AB18" s="96" t="str">
        <f>IF(AB$3="","",IF(COUNTIFS(Base!$A$3:$A$5001,AB$3,Base!$B$3:$B$5001,$A$5,Base!$O$3:$O$5001,"&lt;&gt;")=0,"",SUMIFS(Base!$O$3:$O$5001,Base!$A$3:$A$5001,AB$3,Base!$B$3:$B$5001,$A$5)))</f>
        <v/>
      </c>
      <c r="AC18" s="96" t="str">
        <f>IF(AC$3="","",IF(COUNTIFS(Base!$A$3:$A$5001,AC$3,Base!$B$3:$B$5001,$A$5,Base!$O$3:$O$5001,"&lt;&gt;")=0,"",SUMIFS(Base!$O$3:$O$5001,Base!$A$3:$A$5001,AC$3,Base!$B$3:$B$5001,$A$5)))</f>
        <v/>
      </c>
      <c r="AD18" s="96" t="str">
        <f>IF(AD$3="","",IF(COUNTIFS(Base!$A$3:$A$5001,AD$3,Base!$B$3:$B$5001,$A$5,Base!$O$3:$O$5001,"&lt;&gt;")=0,"",SUMIFS(Base!$O$3:$O$5001,Base!$A$3:$A$5001,AD$3,Base!$B$3:$B$5001,$A$5)))</f>
        <v/>
      </c>
      <c r="AE18" s="96" t="str">
        <f>IF(AE$3="","",IF(COUNTIFS(Base!$A$3:$A$5001,AE$3,Base!$B$3:$B$5001,$A$5,Base!$O$3:$O$5001,"&lt;&gt;")=0,"",SUMIFS(Base!$O$3:$O$5001,Base!$A$3:$A$5001,AE$3,Base!$B$3:$B$5001,$A$5)))</f>
        <v/>
      </c>
      <c r="AF18" s="96" t="str">
        <f>IF(AF$3="","",IF(COUNTIFS(Base!$A$3:$A$5001,AF$3,Base!$B$3:$B$5001,$A$5,Base!$O$3:$O$5001,"&lt;&gt;")=0,"",SUMIFS(Base!$O$3:$O$5001,Base!$A$3:$A$5001,AF$3,Base!$B$3:$B$5001,$A$5)))</f>
        <v/>
      </c>
      <c r="AG18" s="96" t="str">
        <f>IF(AG$3="","",IF(COUNTIFS(Base!$A$3:$A$5001,AG$3,Base!$B$3:$B$5001,$A$5,Base!$O$3:$O$5001,"&lt;&gt;")=0,"",SUMIFS(Base!$O$3:$O$5001,Base!$A$3:$A$5001,AG$3,Base!$B$3:$B$5001,$A$5)))</f>
        <v/>
      </c>
      <c r="AH18" s="96" t="str">
        <f>IF(AH$3="","",IF(COUNTIFS(Base!$A$3:$A$5001,AH$3,Base!$B$3:$B$5001,$A$5,Base!$O$3:$O$5001,"&lt;&gt;")=0,"",SUMIFS(Base!$O$3:$O$5001,Base!$A$3:$A$5001,AH$3,Base!$B$3:$B$5001,$A$5)))</f>
        <v/>
      </c>
      <c r="AI18" s="96" t="str">
        <f>IF(AI$3="","",IF(COUNTIFS(Base!$A$3:$A$5001,AI$3,Base!$B$3:$B$5001,$A$5,Base!$O$3:$O$5001,"&lt;&gt;")=0,"",SUMIFS(Base!$O$3:$O$5001,Base!$A$3:$A$5001,AI$3,Base!$B$3:$B$5001,$A$5)))</f>
        <v/>
      </c>
      <c r="AJ18" s="97" t="str">
        <f>IF(AJ$3="","",IF(COUNTIFS(Base!$A$3:$A$5001,AJ$3,Base!$B$3:$B$5001,$A$5,Base!$O$3:$O$5001,"&lt;&gt;")=0,"",SUMIFS(Base!$O$3:$O$5001,Base!$A$3:$A$5001,AJ$3,Base!$B$3:$B$5001,$A$5)))</f>
        <v/>
      </c>
      <c r="AK18" s="98" t="str">
        <f>IF(COUNT(F18:AJ18)=0,"",SUM(F18:AJ18))</f>
        <v/>
      </c>
    </row>
    <row r="19" ht="15.75" customHeight="1">
      <c r="A19" s="118"/>
      <c r="B19" s="115"/>
      <c r="C19" s="92" t="inlineStr">
        <is>
          <t xml:space="preserve">Folga</t>
        </is>
      </c>
      <c r="D19" s="93"/>
      <c r="E19" s="94"/>
      <c r="F19" s="95" t="str">
        <f>IF(F$3="","",IF(COUNTIFS(Base!$A$3:$A$5001,F$3,Base!$B$3:$B$5001,$A$5,Base!$P$3:$P$5001,"&lt;&gt;")=0,"",SUMIFS(Base!$P$3:$P$5001,Base!$A$3:$A$5001,F$3,Base!$B$3:$B$5001,$A$5)))</f>
        <v/>
      </c>
      <c r="G19" s="96" t="str">
        <f>IF(G$3="","",IF(COUNTIFS(Base!$A$3:$A$5001,G$3,Base!$B$3:$B$5001,$A$5,Base!$P$3:$P$5001,"&lt;&gt;")=0,"",SUMIFS(Base!$P$3:$P$5001,Base!$A$3:$A$5001,G$3,Base!$B$3:$B$5001,$A$5)))</f>
        <v/>
      </c>
      <c r="H19" s="96" t="str">
        <f>IF(H$3="","",IF(COUNTIFS(Base!$A$3:$A$5001,H$3,Base!$B$3:$B$5001,$A$5,Base!$P$3:$P$5001,"&lt;&gt;")=0,"",SUMIFS(Base!$P$3:$P$5001,Base!$A$3:$A$5001,H$3,Base!$B$3:$B$5001,$A$5)))</f>
        <v/>
      </c>
      <c r="I19" s="96" t="str">
        <f>IF(I$3="","",IF(COUNTIFS(Base!$A$3:$A$5001,I$3,Base!$B$3:$B$5001,$A$5,Base!$P$3:$P$5001,"&lt;&gt;")=0,"",SUMIFS(Base!$P$3:$P$5001,Base!$A$3:$A$5001,I$3,Base!$B$3:$B$5001,$A$5)))</f>
        <v/>
      </c>
      <c r="J19" s="96" t="str">
        <f>IF(J$3="","",IF(COUNTIFS(Base!$A$3:$A$5001,J$3,Base!$B$3:$B$5001,$A$5,Base!$P$3:$P$5001,"&lt;&gt;")=0,"",SUMIFS(Base!$P$3:$P$5001,Base!$A$3:$A$5001,J$3,Base!$B$3:$B$5001,$A$5)))</f>
        <v/>
      </c>
      <c r="K19" s="96" t="str">
        <f>IF(K$3="","",IF(COUNTIFS(Base!$A$3:$A$5001,K$3,Base!$B$3:$B$5001,$A$5,Base!$P$3:$P$5001,"&lt;&gt;")=0,"",SUMIFS(Base!$P$3:$P$5001,Base!$A$3:$A$5001,K$3,Base!$B$3:$B$5001,$A$5)))</f>
        <v/>
      </c>
      <c r="L19" s="96" t="str">
        <f>IF(L$3="","",IF(COUNTIFS(Base!$A$3:$A$5001,L$3,Base!$B$3:$B$5001,$A$5,Base!$P$3:$P$5001,"&lt;&gt;")=0,"",SUMIFS(Base!$P$3:$P$5001,Base!$A$3:$A$5001,L$3,Base!$B$3:$B$5001,$A$5)))</f>
        <v/>
      </c>
      <c r="M19" s="96" t="str">
        <f>IF(M$3="","",IF(COUNTIFS(Base!$A$3:$A$5001,M$3,Base!$B$3:$B$5001,$A$5,Base!$P$3:$P$5001,"&lt;&gt;")=0,"",SUMIFS(Base!$P$3:$P$5001,Base!$A$3:$A$5001,M$3,Base!$B$3:$B$5001,$A$5)))</f>
        <v/>
      </c>
      <c r="N19" s="96" t="str">
        <f>IF(N$3="","",IF(COUNTIFS(Base!$A$3:$A$5001,N$3,Base!$B$3:$B$5001,$A$5,Base!$P$3:$P$5001,"&lt;&gt;")=0,"",SUMIFS(Base!$P$3:$P$5001,Base!$A$3:$A$5001,N$3,Base!$B$3:$B$5001,$A$5)))</f>
        <v/>
      </c>
      <c r="O19" s="96" t="str">
        <f>IF(O$3="","",IF(COUNTIFS(Base!$A$3:$A$5001,O$3,Base!$B$3:$B$5001,$A$5,Base!$P$3:$P$5001,"&lt;&gt;")=0,"",SUMIFS(Base!$P$3:$P$5001,Base!$A$3:$A$5001,O$3,Base!$B$3:$B$5001,$A$5)))</f>
        <v/>
      </c>
      <c r="P19" s="96" t="str">
        <f>IF(P$3="","",IF(COUNTIFS(Base!$A$3:$A$5001,P$3,Base!$B$3:$B$5001,$A$5,Base!$P$3:$P$5001,"&lt;&gt;")=0,"",SUMIFS(Base!$P$3:$P$5001,Base!$A$3:$A$5001,P$3,Base!$B$3:$B$5001,$A$5)))</f>
        <v/>
      </c>
      <c r="Q19" s="96" t="str">
        <f>IF(Q$3="","",IF(COUNTIFS(Base!$A$3:$A$5001,Q$3,Base!$B$3:$B$5001,$A$5,Base!$P$3:$P$5001,"&lt;&gt;")=0,"",SUMIFS(Base!$P$3:$P$5001,Base!$A$3:$A$5001,Q$3,Base!$B$3:$B$5001,$A$5)))</f>
        <v/>
      </c>
      <c r="R19" s="96" t="str">
        <f>IF(R$3="","",IF(COUNTIFS(Base!$A$3:$A$5001,R$3,Base!$B$3:$B$5001,$A$5,Base!$P$3:$P$5001,"&lt;&gt;")=0,"",SUMIFS(Base!$P$3:$P$5001,Base!$A$3:$A$5001,R$3,Base!$B$3:$B$5001,$A$5)))</f>
        <v/>
      </c>
      <c r="S19" s="96" t="str">
        <f>IF(S$3="","",IF(COUNTIFS(Base!$A$3:$A$5001,S$3,Base!$B$3:$B$5001,$A$5,Base!$P$3:$P$5001,"&lt;&gt;")=0,"",SUMIFS(Base!$P$3:$P$5001,Base!$A$3:$A$5001,S$3,Base!$B$3:$B$5001,$A$5)))</f>
        <v/>
      </c>
      <c r="T19" s="96" t="str">
        <f>IF(T$3="","",IF(COUNTIFS(Base!$A$3:$A$5001,T$3,Base!$B$3:$B$5001,$A$5,Base!$P$3:$P$5001,"&lt;&gt;")=0,"",SUMIFS(Base!$P$3:$P$5001,Base!$A$3:$A$5001,T$3,Base!$B$3:$B$5001,$A$5)))</f>
        <v/>
      </c>
      <c r="U19" s="96" t="str">
        <f>IF(U$3="","",IF(COUNTIFS(Base!$A$3:$A$5001,U$3,Base!$B$3:$B$5001,$A$5,Base!$P$3:$P$5001,"&lt;&gt;")=0,"",SUMIFS(Base!$P$3:$P$5001,Base!$A$3:$A$5001,U$3,Base!$B$3:$B$5001,$A$5)))</f>
        <v/>
      </c>
      <c r="V19" s="96" t="str">
        <f>IF(V$3="","",IF(COUNTIFS(Base!$A$3:$A$5001,V$3,Base!$B$3:$B$5001,$A$5,Base!$P$3:$P$5001,"&lt;&gt;")=0,"",SUMIFS(Base!$P$3:$P$5001,Base!$A$3:$A$5001,V$3,Base!$B$3:$B$5001,$A$5)))</f>
        <v/>
      </c>
      <c r="W19" s="96" t="str">
        <f>IF(W$3="","",IF(COUNTIFS(Base!$A$3:$A$5001,W$3,Base!$B$3:$B$5001,$A$5,Base!$P$3:$P$5001,"&lt;&gt;")=0,"",SUMIFS(Base!$P$3:$P$5001,Base!$A$3:$A$5001,W$3,Base!$B$3:$B$5001,$A$5)))</f>
        <v/>
      </c>
      <c r="X19" s="96" t="str">
        <f>IF(X$3="","",IF(COUNTIFS(Base!$A$3:$A$5001,X$3,Base!$B$3:$B$5001,$A$5,Base!$P$3:$P$5001,"&lt;&gt;")=0,"",SUMIFS(Base!$P$3:$P$5001,Base!$A$3:$A$5001,X$3,Base!$B$3:$B$5001,$A$5)))</f>
        <v/>
      </c>
      <c r="Y19" s="96" t="str">
        <f>IF(Y$3="","",IF(COUNTIFS(Base!$A$3:$A$5001,Y$3,Base!$B$3:$B$5001,$A$5,Base!$P$3:$P$5001,"&lt;&gt;")=0,"",SUMIFS(Base!$P$3:$P$5001,Base!$A$3:$A$5001,Y$3,Base!$B$3:$B$5001,$A$5)))</f>
        <v/>
      </c>
      <c r="Z19" s="96" t="str">
        <f>IF(Z$3="","",IF(COUNTIFS(Base!$A$3:$A$5001,Z$3,Base!$B$3:$B$5001,$A$5,Base!$P$3:$P$5001,"&lt;&gt;")=0,"",SUMIFS(Base!$P$3:$P$5001,Base!$A$3:$A$5001,Z$3,Base!$B$3:$B$5001,$A$5)))</f>
        <v/>
      </c>
      <c r="AA19" s="96" t="str">
        <f>IF(AA$3="","",IF(COUNTIFS(Base!$A$3:$A$5001,AA$3,Base!$B$3:$B$5001,$A$5,Base!$P$3:$P$5001,"&lt;&gt;")=0,"",SUMIFS(Base!$P$3:$P$5001,Base!$A$3:$A$5001,AA$3,Base!$B$3:$B$5001,$A$5)))</f>
        <v/>
      </c>
      <c r="AB19" s="96" t="str">
        <f>IF(AB$3="","",IF(COUNTIFS(Base!$A$3:$A$5001,AB$3,Base!$B$3:$B$5001,$A$5,Base!$P$3:$P$5001,"&lt;&gt;")=0,"",SUMIFS(Base!$P$3:$P$5001,Base!$A$3:$A$5001,AB$3,Base!$B$3:$B$5001,$A$5)))</f>
        <v/>
      </c>
      <c r="AC19" s="96" t="str">
        <f>IF(AC$3="","",IF(COUNTIFS(Base!$A$3:$A$5001,AC$3,Base!$B$3:$B$5001,$A$5,Base!$P$3:$P$5001,"&lt;&gt;")=0,"",SUMIFS(Base!$P$3:$P$5001,Base!$A$3:$A$5001,AC$3,Base!$B$3:$B$5001,$A$5)))</f>
        <v/>
      </c>
      <c r="AD19" s="96" t="str">
        <f>IF(AD$3="","",IF(COUNTIFS(Base!$A$3:$A$5001,AD$3,Base!$B$3:$B$5001,$A$5,Base!$P$3:$P$5001,"&lt;&gt;")=0,"",SUMIFS(Base!$P$3:$P$5001,Base!$A$3:$A$5001,AD$3,Base!$B$3:$B$5001,$A$5)))</f>
        <v/>
      </c>
      <c r="AE19" s="96" t="str">
        <f>IF(AE$3="","",IF(COUNTIFS(Base!$A$3:$A$5001,AE$3,Base!$B$3:$B$5001,$A$5,Base!$P$3:$P$5001,"&lt;&gt;")=0,"",SUMIFS(Base!$P$3:$P$5001,Base!$A$3:$A$5001,AE$3,Base!$B$3:$B$5001,$A$5)))</f>
        <v/>
      </c>
      <c r="AF19" s="96" t="str">
        <f>IF(AF$3="","",IF(COUNTIFS(Base!$A$3:$A$5001,AF$3,Base!$B$3:$B$5001,$A$5,Base!$P$3:$P$5001,"&lt;&gt;")=0,"",SUMIFS(Base!$P$3:$P$5001,Base!$A$3:$A$5001,AF$3,Base!$B$3:$B$5001,$A$5)))</f>
        <v/>
      </c>
      <c r="AG19" s="96" t="str">
        <f>IF(AG$3="","",IF(COUNTIFS(Base!$A$3:$A$5001,AG$3,Base!$B$3:$B$5001,$A$5,Base!$P$3:$P$5001,"&lt;&gt;")=0,"",SUMIFS(Base!$P$3:$P$5001,Base!$A$3:$A$5001,AG$3,Base!$B$3:$B$5001,$A$5)))</f>
        <v/>
      </c>
      <c r="AH19" s="96" t="str">
        <f>IF(AH$3="","",IF(COUNTIFS(Base!$A$3:$A$5001,AH$3,Base!$B$3:$B$5001,$A$5,Base!$P$3:$P$5001,"&lt;&gt;")=0,"",SUMIFS(Base!$P$3:$P$5001,Base!$A$3:$A$5001,AH$3,Base!$B$3:$B$5001,$A$5)))</f>
        <v/>
      </c>
      <c r="AI19" s="96" t="str">
        <f>IF(AI$3="","",IF(COUNTIFS(Base!$A$3:$A$5001,AI$3,Base!$B$3:$B$5001,$A$5,Base!$P$3:$P$5001,"&lt;&gt;")=0,"",SUMIFS(Base!$P$3:$P$5001,Base!$A$3:$A$5001,AI$3,Base!$B$3:$B$5001,$A$5)))</f>
        <v/>
      </c>
      <c r="AJ19" s="97" t="str">
        <f>IF(AJ$3="","",IF(COUNTIFS(Base!$A$3:$A$5001,AJ$3,Base!$B$3:$B$5001,$A$5,Base!$P$3:$P$5001,"&lt;&gt;")=0,"",SUMIFS(Base!$P$3:$P$5001,Base!$A$3:$A$5001,AJ$3,Base!$B$3:$B$5001,$A$5)))</f>
        <v/>
      </c>
      <c r="AK19" s="98" t="str">
        <f>IF(COUNT(F19:AJ19)=0,"",SUM(F19:AJ19))</f>
        <v/>
      </c>
    </row>
    <row r="20" ht="15.75" customHeight="1">
      <c r="A20" s="118"/>
      <c r="B20" s="115"/>
      <c r="C20" s="92" t="inlineStr">
        <is>
          <t xml:space="preserve">Férias</t>
        </is>
      </c>
      <c r="D20" s="93"/>
      <c r="E20" s="94"/>
      <c r="F20" s="95" t="str">
        <f>IF(F$3="","",IF(COUNTIFS(Base!$A$3:$A$5001,F$3,Base!$B$3:$B$5001,$A$5,Base!$Q$3:$Q$5001,"&lt;&gt;")=0,"",SUMIFS(Base!$Q$3:$Q$5001,Base!$A$3:$A$5001,F$3,Base!$B$3:$B$5001,$A$5)))</f>
        <v/>
      </c>
      <c r="G20" s="96" t="str">
        <f>IF(G$3="","",IF(COUNTIFS(Base!$A$3:$A$5001,G$3,Base!$B$3:$B$5001,$A$5,Base!$Q$3:$Q$5001,"&lt;&gt;")=0,"",SUMIFS(Base!$Q$3:$Q$5001,Base!$A$3:$A$5001,G$3,Base!$B$3:$B$5001,$A$5)))</f>
        <v/>
      </c>
      <c r="H20" s="96" t="str">
        <f>IF(H$3="","",IF(COUNTIFS(Base!$A$3:$A$5001,H$3,Base!$B$3:$B$5001,$A$5,Base!$Q$3:$Q$5001,"&lt;&gt;")=0,"",SUMIFS(Base!$Q$3:$Q$5001,Base!$A$3:$A$5001,H$3,Base!$B$3:$B$5001,$A$5)))</f>
        <v/>
      </c>
      <c r="I20" s="96" t="str">
        <f>IF(I$3="","",IF(COUNTIFS(Base!$A$3:$A$5001,I$3,Base!$B$3:$B$5001,$A$5,Base!$Q$3:$Q$5001,"&lt;&gt;")=0,"",SUMIFS(Base!$Q$3:$Q$5001,Base!$A$3:$A$5001,I$3,Base!$B$3:$B$5001,$A$5)))</f>
        <v/>
      </c>
      <c r="J20" s="96" t="str">
        <f>IF(J$3="","",IF(COUNTIFS(Base!$A$3:$A$5001,J$3,Base!$B$3:$B$5001,$A$5,Base!$Q$3:$Q$5001,"&lt;&gt;")=0,"",SUMIFS(Base!$Q$3:$Q$5001,Base!$A$3:$A$5001,J$3,Base!$B$3:$B$5001,$A$5)))</f>
        <v/>
      </c>
      <c r="K20" s="96" t="str">
        <f>IF(K$3="","",IF(COUNTIFS(Base!$A$3:$A$5001,K$3,Base!$B$3:$B$5001,$A$5,Base!$Q$3:$Q$5001,"&lt;&gt;")=0,"",SUMIFS(Base!$Q$3:$Q$5001,Base!$A$3:$A$5001,K$3,Base!$B$3:$B$5001,$A$5)))</f>
        <v/>
      </c>
      <c r="L20" s="96" t="str">
        <f>IF(L$3="","",IF(COUNTIFS(Base!$A$3:$A$5001,L$3,Base!$B$3:$B$5001,$A$5,Base!$Q$3:$Q$5001,"&lt;&gt;")=0,"",SUMIFS(Base!$Q$3:$Q$5001,Base!$A$3:$A$5001,L$3,Base!$B$3:$B$5001,$A$5)))</f>
        <v/>
      </c>
      <c r="M20" s="96" t="str">
        <f>IF(M$3="","",IF(COUNTIFS(Base!$A$3:$A$5001,M$3,Base!$B$3:$B$5001,$A$5,Base!$Q$3:$Q$5001,"&lt;&gt;")=0,"",SUMIFS(Base!$Q$3:$Q$5001,Base!$A$3:$A$5001,M$3,Base!$B$3:$B$5001,$A$5)))</f>
        <v/>
      </c>
      <c r="N20" s="96" t="str">
        <f>IF(N$3="","",IF(COUNTIFS(Base!$A$3:$A$5001,N$3,Base!$B$3:$B$5001,$A$5,Base!$Q$3:$Q$5001,"&lt;&gt;")=0,"",SUMIFS(Base!$Q$3:$Q$5001,Base!$A$3:$A$5001,N$3,Base!$B$3:$B$5001,$A$5)))</f>
        <v/>
      </c>
      <c r="O20" s="96" t="str">
        <f>IF(O$3="","",IF(COUNTIFS(Base!$A$3:$A$5001,O$3,Base!$B$3:$B$5001,$A$5,Base!$Q$3:$Q$5001,"&lt;&gt;")=0,"",SUMIFS(Base!$Q$3:$Q$5001,Base!$A$3:$A$5001,O$3,Base!$B$3:$B$5001,$A$5)))</f>
        <v/>
      </c>
      <c r="P20" s="96" t="str">
        <f>IF(P$3="","",IF(COUNTIFS(Base!$A$3:$A$5001,P$3,Base!$B$3:$B$5001,$A$5,Base!$Q$3:$Q$5001,"&lt;&gt;")=0,"",SUMIFS(Base!$Q$3:$Q$5001,Base!$A$3:$A$5001,P$3,Base!$B$3:$B$5001,$A$5)))</f>
        <v/>
      </c>
      <c r="Q20" s="96" t="str">
        <f>IF(Q$3="","",IF(COUNTIFS(Base!$A$3:$A$5001,Q$3,Base!$B$3:$B$5001,$A$5,Base!$Q$3:$Q$5001,"&lt;&gt;")=0,"",SUMIFS(Base!$Q$3:$Q$5001,Base!$A$3:$A$5001,Q$3,Base!$B$3:$B$5001,$A$5)))</f>
        <v/>
      </c>
      <c r="R20" s="96" t="str">
        <f>IF(R$3="","",IF(COUNTIFS(Base!$A$3:$A$5001,R$3,Base!$B$3:$B$5001,$A$5,Base!$Q$3:$Q$5001,"&lt;&gt;")=0,"",SUMIFS(Base!$Q$3:$Q$5001,Base!$A$3:$A$5001,R$3,Base!$B$3:$B$5001,$A$5)))</f>
        <v/>
      </c>
      <c r="S20" s="96" t="str">
        <f>IF(S$3="","",IF(COUNTIFS(Base!$A$3:$A$5001,S$3,Base!$B$3:$B$5001,$A$5,Base!$Q$3:$Q$5001,"&lt;&gt;")=0,"",SUMIFS(Base!$Q$3:$Q$5001,Base!$A$3:$A$5001,S$3,Base!$B$3:$B$5001,$A$5)))</f>
        <v/>
      </c>
      <c r="T20" s="96" t="str">
        <f>IF(T$3="","",IF(COUNTIFS(Base!$A$3:$A$5001,T$3,Base!$B$3:$B$5001,$A$5,Base!$Q$3:$Q$5001,"&lt;&gt;")=0,"",SUMIFS(Base!$Q$3:$Q$5001,Base!$A$3:$A$5001,T$3,Base!$B$3:$B$5001,$A$5)))</f>
        <v/>
      </c>
      <c r="U20" s="96" t="str">
        <f>IF(U$3="","",IF(COUNTIFS(Base!$A$3:$A$5001,U$3,Base!$B$3:$B$5001,$A$5,Base!$Q$3:$Q$5001,"&lt;&gt;")=0,"",SUMIFS(Base!$Q$3:$Q$5001,Base!$A$3:$A$5001,U$3,Base!$B$3:$B$5001,$A$5)))</f>
        <v/>
      </c>
      <c r="V20" s="96" t="str">
        <f>IF(V$3="","",IF(COUNTIFS(Base!$A$3:$A$5001,V$3,Base!$B$3:$B$5001,$A$5,Base!$Q$3:$Q$5001,"&lt;&gt;")=0,"",SUMIFS(Base!$Q$3:$Q$5001,Base!$A$3:$A$5001,V$3,Base!$B$3:$B$5001,$A$5)))</f>
        <v/>
      </c>
      <c r="W20" s="96" t="str">
        <f>IF(W$3="","",IF(COUNTIFS(Base!$A$3:$A$5001,W$3,Base!$B$3:$B$5001,$A$5,Base!$Q$3:$Q$5001,"&lt;&gt;")=0,"",SUMIFS(Base!$Q$3:$Q$5001,Base!$A$3:$A$5001,W$3,Base!$B$3:$B$5001,$A$5)))</f>
        <v/>
      </c>
      <c r="X20" s="96" t="str">
        <f>IF(X$3="","",IF(COUNTIFS(Base!$A$3:$A$5001,X$3,Base!$B$3:$B$5001,$A$5,Base!$Q$3:$Q$5001,"&lt;&gt;")=0,"",SUMIFS(Base!$Q$3:$Q$5001,Base!$A$3:$A$5001,X$3,Base!$B$3:$B$5001,$A$5)))</f>
        <v/>
      </c>
      <c r="Y20" s="96" t="str">
        <f>IF(Y$3="","",IF(COUNTIFS(Base!$A$3:$A$5001,Y$3,Base!$B$3:$B$5001,$A$5,Base!$Q$3:$Q$5001,"&lt;&gt;")=0,"",SUMIFS(Base!$Q$3:$Q$5001,Base!$A$3:$A$5001,Y$3,Base!$B$3:$B$5001,$A$5)))</f>
        <v/>
      </c>
      <c r="Z20" s="96" t="str">
        <f>IF(Z$3="","",IF(COUNTIFS(Base!$A$3:$A$5001,Z$3,Base!$B$3:$B$5001,$A$5,Base!$Q$3:$Q$5001,"&lt;&gt;")=0,"",SUMIFS(Base!$Q$3:$Q$5001,Base!$A$3:$A$5001,Z$3,Base!$B$3:$B$5001,$A$5)))</f>
        <v/>
      </c>
      <c r="AA20" s="96" t="str">
        <f>IF(AA$3="","",IF(COUNTIFS(Base!$A$3:$A$5001,AA$3,Base!$B$3:$B$5001,$A$5,Base!$Q$3:$Q$5001,"&lt;&gt;")=0,"",SUMIFS(Base!$Q$3:$Q$5001,Base!$A$3:$A$5001,AA$3,Base!$B$3:$B$5001,$A$5)))</f>
        <v/>
      </c>
      <c r="AB20" s="96" t="str">
        <f>IF(AB$3="","",IF(COUNTIFS(Base!$A$3:$A$5001,AB$3,Base!$B$3:$B$5001,$A$5,Base!$Q$3:$Q$5001,"&lt;&gt;")=0,"",SUMIFS(Base!$Q$3:$Q$5001,Base!$A$3:$A$5001,AB$3,Base!$B$3:$B$5001,$A$5)))</f>
        <v/>
      </c>
      <c r="AC20" s="96" t="str">
        <f>IF(AC$3="","",IF(COUNTIFS(Base!$A$3:$A$5001,AC$3,Base!$B$3:$B$5001,$A$5,Base!$Q$3:$Q$5001,"&lt;&gt;")=0,"",SUMIFS(Base!$Q$3:$Q$5001,Base!$A$3:$A$5001,AC$3,Base!$B$3:$B$5001,$A$5)))</f>
        <v/>
      </c>
      <c r="AD20" s="96" t="str">
        <f>IF(AD$3="","",IF(COUNTIFS(Base!$A$3:$A$5001,AD$3,Base!$B$3:$B$5001,$A$5,Base!$Q$3:$Q$5001,"&lt;&gt;")=0,"",SUMIFS(Base!$Q$3:$Q$5001,Base!$A$3:$A$5001,AD$3,Base!$B$3:$B$5001,$A$5)))</f>
        <v/>
      </c>
      <c r="AE20" s="96" t="str">
        <f>IF(AE$3="","",IF(COUNTIFS(Base!$A$3:$A$5001,AE$3,Base!$B$3:$B$5001,$A$5,Base!$Q$3:$Q$5001,"&lt;&gt;")=0,"",SUMIFS(Base!$Q$3:$Q$5001,Base!$A$3:$A$5001,AE$3,Base!$B$3:$B$5001,$A$5)))</f>
        <v/>
      </c>
      <c r="AF20" s="96" t="str">
        <f>IF(AF$3="","",IF(COUNTIFS(Base!$A$3:$A$5001,AF$3,Base!$B$3:$B$5001,$A$5,Base!$Q$3:$Q$5001,"&lt;&gt;")=0,"",SUMIFS(Base!$Q$3:$Q$5001,Base!$A$3:$A$5001,AF$3,Base!$B$3:$B$5001,$A$5)))</f>
        <v/>
      </c>
      <c r="AG20" s="96" t="str">
        <f>IF(AG$3="","",IF(COUNTIFS(Base!$A$3:$A$5001,AG$3,Base!$B$3:$B$5001,$A$5,Base!$Q$3:$Q$5001,"&lt;&gt;")=0,"",SUMIFS(Base!$Q$3:$Q$5001,Base!$A$3:$A$5001,AG$3,Base!$B$3:$B$5001,$A$5)))</f>
        <v/>
      </c>
      <c r="AH20" s="96" t="str">
        <f>IF(AH$3="","",IF(COUNTIFS(Base!$A$3:$A$5001,AH$3,Base!$B$3:$B$5001,$A$5,Base!$Q$3:$Q$5001,"&lt;&gt;")=0,"",SUMIFS(Base!$Q$3:$Q$5001,Base!$A$3:$A$5001,AH$3,Base!$B$3:$B$5001,$A$5)))</f>
        <v/>
      </c>
      <c r="AI20" s="96" t="str">
        <f>IF(AI$3="","",IF(COUNTIFS(Base!$A$3:$A$5001,AI$3,Base!$B$3:$B$5001,$A$5,Base!$Q$3:$Q$5001,"&lt;&gt;")=0,"",SUMIFS(Base!$Q$3:$Q$5001,Base!$A$3:$A$5001,AI$3,Base!$B$3:$B$5001,$A$5)))</f>
        <v/>
      </c>
      <c r="AJ20" s="97" t="str">
        <f>IF(AJ$3="","",IF(COUNTIFS(Base!$A$3:$A$5001,AJ$3,Base!$B$3:$B$5001,$A$5,Base!$Q$3:$Q$5001,"&lt;&gt;")=0,"",SUMIFS(Base!$Q$3:$Q$5001,Base!$A$3:$A$5001,AJ$3,Base!$B$3:$B$5001,$A$5)))</f>
        <v/>
      </c>
      <c r="AK20" s="98" t="str">
        <f>IF(COUNT(F20:AJ20)=0,"",SUM(F20:AJ20))</f>
        <v/>
      </c>
    </row>
    <row r="21" ht="15.75" customHeight="1">
      <c r="A21" s="119"/>
      <c r="B21" s="116"/>
      <c r="C21" s="99" t="inlineStr">
        <is>
          <t xml:space="preserve">Desligamento</t>
        </is>
      </c>
      <c r="D21" s="100"/>
      <c r="E21" s="101"/>
      <c r="F21" s="102" t="str">
        <f>IF(F$3="","",IF(COUNTIFS(Base!$A$3:$A$5001,F$3,Base!$B$3:$B$5001,$A$5,Base!$R$3:$R$5001,"&lt;&gt;")=0,"",SUMIFS(Base!$R$3:$R$5001,Base!$A$3:$A$5001,F$3,Base!$B$3:$B$5001,$A$5)))</f>
        <v/>
      </c>
      <c r="G21" s="103" t="str">
        <f>IF(G$3="","",IF(COUNTIFS(Base!$A$3:$A$5001,G$3,Base!$B$3:$B$5001,$A$5,Base!$R$3:$R$5001,"&lt;&gt;")=0,"",SUMIFS(Base!$R$3:$R$5001,Base!$A$3:$A$5001,G$3,Base!$B$3:$B$5001,$A$5)))</f>
        <v/>
      </c>
      <c r="H21" s="103" t="str">
        <f>IF(H$3="","",IF(COUNTIFS(Base!$A$3:$A$5001,H$3,Base!$B$3:$B$5001,$A$5,Base!$R$3:$R$5001,"&lt;&gt;")=0,"",SUMIFS(Base!$R$3:$R$5001,Base!$A$3:$A$5001,H$3,Base!$B$3:$B$5001,$A$5)))</f>
        <v/>
      </c>
      <c r="I21" s="103" t="str">
        <f>IF(I$3="","",IF(COUNTIFS(Base!$A$3:$A$5001,I$3,Base!$B$3:$B$5001,$A$5,Base!$R$3:$R$5001,"&lt;&gt;")=0,"",SUMIFS(Base!$R$3:$R$5001,Base!$A$3:$A$5001,I$3,Base!$B$3:$B$5001,$A$5)))</f>
        <v/>
      </c>
      <c r="J21" s="103" t="str">
        <f>IF(J$3="","",IF(COUNTIFS(Base!$A$3:$A$5001,J$3,Base!$B$3:$B$5001,$A$5,Base!$R$3:$R$5001,"&lt;&gt;")=0,"",SUMIFS(Base!$R$3:$R$5001,Base!$A$3:$A$5001,J$3,Base!$B$3:$B$5001,$A$5)))</f>
        <v/>
      </c>
      <c r="K21" s="103" t="str">
        <f>IF(K$3="","",IF(COUNTIFS(Base!$A$3:$A$5001,K$3,Base!$B$3:$B$5001,$A$5,Base!$R$3:$R$5001,"&lt;&gt;")=0,"",SUMIFS(Base!$R$3:$R$5001,Base!$A$3:$A$5001,K$3,Base!$B$3:$B$5001,$A$5)))</f>
        <v/>
      </c>
      <c r="L21" s="103" t="str">
        <f>IF(L$3="","",IF(COUNTIFS(Base!$A$3:$A$5001,L$3,Base!$B$3:$B$5001,$A$5,Base!$R$3:$R$5001,"&lt;&gt;")=0,"",SUMIFS(Base!$R$3:$R$5001,Base!$A$3:$A$5001,L$3,Base!$B$3:$B$5001,$A$5)))</f>
        <v/>
      </c>
      <c r="M21" s="103" t="str">
        <f>IF(M$3="","",IF(COUNTIFS(Base!$A$3:$A$5001,M$3,Base!$B$3:$B$5001,$A$5,Base!$R$3:$R$5001,"&lt;&gt;")=0,"",SUMIFS(Base!$R$3:$R$5001,Base!$A$3:$A$5001,M$3,Base!$B$3:$B$5001,$A$5)))</f>
        <v/>
      </c>
      <c r="N21" s="103" t="str">
        <f>IF(N$3="","",IF(COUNTIFS(Base!$A$3:$A$5001,N$3,Base!$B$3:$B$5001,$A$5,Base!$R$3:$R$5001,"&lt;&gt;")=0,"",SUMIFS(Base!$R$3:$R$5001,Base!$A$3:$A$5001,N$3,Base!$B$3:$B$5001,$A$5)))</f>
        <v/>
      </c>
      <c r="O21" s="103" t="str">
        <f>IF(O$3="","",IF(COUNTIFS(Base!$A$3:$A$5001,O$3,Base!$B$3:$B$5001,$A$5,Base!$R$3:$R$5001,"&lt;&gt;")=0,"",SUMIFS(Base!$R$3:$R$5001,Base!$A$3:$A$5001,O$3,Base!$B$3:$B$5001,$A$5)))</f>
        <v/>
      </c>
      <c r="P21" s="103" t="str">
        <f>IF(P$3="","",IF(COUNTIFS(Base!$A$3:$A$5001,P$3,Base!$B$3:$B$5001,$A$5,Base!$R$3:$R$5001,"&lt;&gt;")=0,"",SUMIFS(Base!$R$3:$R$5001,Base!$A$3:$A$5001,P$3,Base!$B$3:$B$5001,$A$5)))</f>
        <v/>
      </c>
      <c r="Q21" s="103" t="str">
        <f>IF(Q$3="","",IF(COUNTIFS(Base!$A$3:$A$5001,Q$3,Base!$B$3:$B$5001,$A$5,Base!$R$3:$R$5001,"&lt;&gt;")=0,"",SUMIFS(Base!$R$3:$R$5001,Base!$A$3:$A$5001,Q$3,Base!$B$3:$B$5001,$A$5)))</f>
        <v/>
      </c>
      <c r="R21" s="103" t="str">
        <f>IF(R$3="","",IF(COUNTIFS(Base!$A$3:$A$5001,R$3,Base!$B$3:$B$5001,$A$5,Base!$R$3:$R$5001,"&lt;&gt;")=0,"",SUMIFS(Base!$R$3:$R$5001,Base!$A$3:$A$5001,R$3,Base!$B$3:$B$5001,$A$5)))</f>
        <v/>
      </c>
      <c r="S21" s="103" t="str">
        <f>IF(S$3="","",IF(COUNTIFS(Base!$A$3:$A$5001,S$3,Base!$B$3:$B$5001,$A$5,Base!$R$3:$R$5001,"&lt;&gt;")=0,"",SUMIFS(Base!$R$3:$R$5001,Base!$A$3:$A$5001,S$3,Base!$B$3:$B$5001,$A$5)))</f>
        <v/>
      </c>
      <c r="T21" s="103" t="str">
        <f>IF(T$3="","",IF(COUNTIFS(Base!$A$3:$A$5001,T$3,Base!$B$3:$B$5001,$A$5,Base!$R$3:$R$5001,"&lt;&gt;")=0,"",SUMIFS(Base!$R$3:$R$5001,Base!$A$3:$A$5001,T$3,Base!$B$3:$B$5001,$A$5)))</f>
        <v/>
      </c>
      <c r="U21" s="103" t="str">
        <f>IF(U$3="","",IF(COUNTIFS(Base!$A$3:$A$5001,U$3,Base!$B$3:$B$5001,$A$5,Base!$R$3:$R$5001,"&lt;&gt;")=0,"",SUMIFS(Base!$R$3:$R$5001,Base!$A$3:$A$5001,U$3,Base!$B$3:$B$5001,$A$5)))</f>
        <v/>
      </c>
      <c r="V21" s="103" t="str">
        <f>IF(V$3="","",IF(COUNTIFS(Base!$A$3:$A$5001,V$3,Base!$B$3:$B$5001,$A$5,Base!$R$3:$R$5001,"&lt;&gt;")=0,"",SUMIFS(Base!$R$3:$R$5001,Base!$A$3:$A$5001,V$3,Base!$B$3:$B$5001,$A$5)))</f>
        <v/>
      </c>
      <c r="W21" s="103" t="str">
        <f>IF(W$3="","",IF(COUNTIFS(Base!$A$3:$A$5001,W$3,Base!$B$3:$B$5001,$A$5,Base!$R$3:$R$5001,"&lt;&gt;")=0,"",SUMIFS(Base!$R$3:$R$5001,Base!$A$3:$A$5001,W$3,Base!$B$3:$B$5001,$A$5)))</f>
        <v/>
      </c>
      <c r="X21" s="103" t="str">
        <f>IF(X$3="","",IF(COUNTIFS(Base!$A$3:$A$5001,X$3,Base!$B$3:$B$5001,$A$5,Base!$R$3:$R$5001,"&lt;&gt;")=0,"",SUMIFS(Base!$R$3:$R$5001,Base!$A$3:$A$5001,X$3,Base!$B$3:$B$5001,$A$5)))</f>
        <v/>
      </c>
      <c r="Y21" s="103" t="str">
        <f>IF(Y$3="","",IF(COUNTIFS(Base!$A$3:$A$5001,Y$3,Base!$B$3:$B$5001,$A$5,Base!$R$3:$R$5001,"&lt;&gt;")=0,"",SUMIFS(Base!$R$3:$R$5001,Base!$A$3:$A$5001,Y$3,Base!$B$3:$B$5001,$A$5)))</f>
        <v/>
      </c>
      <c r="Z21" s="103" t="str">
        <f>IF(Z$3="","",IF(COUNTIFS(Base!$A$3:$A$5001,Z$3,Base!$B$3:$B$5001,$A$5,Base!$R$3:$R$5001,"&lt;&gt;")=0,"",SUMIFS(Base!$R$3:$R$5001,Base!$A$3:$A$5001,Z$3,Base!$B$3:$B$5001,$A$5)))</f>
        <v/>
      </c>
      <c r="AA21" s="103" t="str">
        <f>IF(AA$3="","",IF(COUNTIFS(Base!$A$3:$A$5001,AA$3,Base!$B$3:$B$5001,$A$5,Base!$R$3:$R$5001,"&lt;&gt;")=0,"",SUMIFS(Base!$R$3:$R$5001,Base!$A$3:$A$5001,AA$3,Base!$B$3:$B$5001,$A$5)))</f>
        <v/>
      </c>
      <c r="AB21" s="103" t="str">
        <f>IF(AB$3="","",IF(COUNTIFS(Base!$A$3:$A$5001,AB$3,Base!$B$3:$B$5001,$A$5,Base!$R$3:$R$5001,"&lt;&gt;")=0,"",SUMIFS(Base!$R$3:$R$5001,Base!$A$3:$A$5001,AB$3,Base!$B$3:$B$5001,$A$5)))</f>
        <v/>
      </c>
      <c r="AC21" s="103" t="str">
        <f>IF(AC$3="","",IF(COUNTIFS(Base!$A$3:$A$5001,AC$3,Base!$B$3:$B$5001,$A$5,Base!$R$3:$R$5001,"&lt;&gt;")=0,"",SUMIFS(Base!$R$3:$R$5001,Base!$A$3:$A$5001,AC$3,Base!$B$3:$B$5001,$A$5)))</f>
        <v/>
      </c>
      <c r="AD21" s="103" t="str">
        <f>IF(AD$3="","",IF(COUNTIFS(Base!$A$3:$A$5001,AD$3,Base!$B$3:$B$5001,$A$5,Base!$R$3:$R$5001,"&lt;&gt;")=0,"",SUMIFS(Base!$R$3:$R$5001,Base!$A$3:$A$5001,AD$3,Base!$B$3:$B$5001,$A$5)))</f>
        <v/>
      </c>
      <c r="AE21" s="103" t="str">
        <f>IF(AE$3="","",IF(COUNTIFS(Base!$A$3:$A$5001,AE$3,Base!$B$3:$B$5001,$A$5,Base!$R$3:$R$5001,"&lt;&gt;")=0,"",SUMIFS(Base!$R$3:$R$5001,Base!$A$3:$A$5001,AE$3,Base!$B$3:$B$5001,$A$5)))</f>
        <v/>
      </c>
      <c r="AF21" s="103" t="str">
        <f>IF(AF$3="","",IF(COUNTIFS(Base!$A$3:$A$5001,AF$3,Base!$B$3:$B$5001,$A$5,Base!$R$3:$R$5001,"&lt;&gt;")=0,"",SUMIFS(Base!$R$3:$R$5001,Base!$A$3:$A$5001,AF$3,Base!$B$3:$B$5001,$A$5)))</f>
        <v/>
      </c>
      <c r="AG21" s="103" t="str">
        <f>IF(AG$3="","",IF(COUNTIFS(Base!$A$3:$A$5001,AG$3,Base!$B$3:$B$5001,$A$5,Base!$R$3:$R$5001,"&lt;&gt;")=0,"",SUMIFS(Base!$R$3:$R$5001,Base!$A$3:$A$5001,AG$3,Base!$B$3:$B$5001,$A$5)))</f>
        <v/>
      </c>
      <c r="AH21" s="103" t="str">
        <f>IF(AH$3="","",IF(COUNTIFS(Base!$A$3:$A$5001,AH$3,Base!$B$3:$B$5001,$A$5,Base!$R$3:$R$5001,"&lt;&gt;")=0,"",SUMIFS(Base!$R$3:$R$5001,Base!$A$3:$A$5001,AH$3,Base!$B$3:$B$5001,$A$5)))</f>
        <v/>
      </c>
      <c r="AI21" s="103" t="str">
        <f>IF(AI$3="","",IF(COUNTIFS(Base!$A$3:$A$5001,AI$3,Base!$B$3:$B$5001,$A$5,Base!$R$3:$R$5001,"&lt;&gt;")=0,"",SUMIFS(Base!$R$3:$R$5001,Base!$A$3:$A$5001,AI$3,Base!$B$3:$B$5001,$A$5)))</f>
        <v/>
      </c>
      <c r="AJ21" s="104" t="str">
        <f>IF(AJ$3="","",IF(COUNTIFS(Base!$A$3:$A$5001,AJ$3,Base!$B$3:$B$5001,$A$5,Base!$R$3:$R$5001,"&lt;&gt;")=0,"",SUMIFS(Base!$R$3:$R$5001,Base!$A$3:$A$5001,AJ$3,Base!$B$3:$B$5001,$A$5)))</f>
        <v/>
      </c>
      <c r="AK21" s="100" t="str">
        <f>IF(COUNT(F21:AJ21)=0,"",SUM(F21:AJ21))</f>
        <v/>
      </c>
    </row>
    <row r="23" ht="15.75" customHeight="1">
      <c r="A23" s="117" t="inlineStr">
        <is>
          <t xml:space="preserve">Gm</t>
        </is>
      </c>
      <c r="B23" s="105" t="inlineStr">
        <is>
          <t xml:space="preserve">IN</t>
        </is>
      </c>
      <c r="C23" s="21" t="inlineStr">
        <is>
          <t xml:space="preserve">Veículos Recebidos</t>
        </is>
      </c>
      <c r="D23" s="22"/>
      <c r="E23" s="23"/>
      <c r="F23" s="24">
        <f>IF(F$3="","",IF(COUNTIFS(Base!$A$3:$A$5001,F$3,Base!$B$3:$B$5001,$A$23,Base!$C$3:$C$5001,"&lt;&gt;")=0,"",SUMIFS(Base!$C$3:$C$5001,Base!$A$3:$A$5001,F$3,Base!$B$3:$B$5001,$A$23)))</f>
        <v>3</v>
      </c>
      <c r="G23" s="25">
        <f>IF(G$3="","",IF(COUNTIFS(Base!$A$3:$A$5001,G$3,Base!$B$3:$B$5001,$A$23,Base!$C$3:$C$5001,"&lt;&gt;")=0,"",SUMIFS(Base!$C$3:$C$5001,Base!$A$3:$A$5001,G$3,Base!$B$3:$B$5001,$A$23)))</f>
        <v>0</v>
      </c>
      <c r="H23" s="25">
        <f>IF(H$3="","",IF(COUNTIFS(Base!$A$3:$A$5001,H$3,Base!$B$3:$B$5001,$A$23,Base!$C$3:$C$5001,"&lt;&gt;")=0,"",SUMIFS(Base!$C$3:$C$5001,Base!$A$3:$A$5001,H$3,Base!$B$3:$B$5001,$A$23)))</f>
        <v>7</v>
      </c>
      <c r="I23" s="25">
        <f>IF(I$3="","",IF(COUNTIFS(Base!$A$3:$A$5001,I$3,Base!$B$3:$B$5001,$A$23,Base!$C$3:$C$5001,"&lt;&gt;")=0,"",SUMIFS(Base!$C$3:$C$5001,Base!$A$3:$A$5001,I$3,Base!$B$3:$B$5001,$A$23)))</f>
        <v>7</v>
      </c>
      <c r="J23" s="25" t="str">
        <f>IF(J$3="","",IF(COUNTIFS(Base!$A$3:$A$5001,J$3,Base!$B$3:$B$5001,$A$23,Base!$C$3:$C$5001,"&lt;&gt;")=0,"",SUMIFS(Base!$C$3:$C$5001,Base!$A$3:$A$5001,J$3,Base!$B$3:$B$5001,$A$23)))</f>
        <v/>
      </c>
      <c r="K23" s="25" t="str">
        <f>IF(K$3="","",IF(COUNTIFS(Base!$A$3:$A$5001,K$3,Base!$B$3:$B$5001,$A$23,Base!$C$3:$C$5001,"&lt;&gt;")=0,"",SUMIFS(Base!$C$3:$C$5001,Base!$A$3:$A$5001,K$3,Base!$B$3:$B$5001,$A$23)))</f>
        <v/>
      </c>
      <c r="L23" s="25">
        <f>IF(L$3="","",IF(COUNTIFS(Base!$A$3:$A$5001,L$3,Base!$B$3:$B$5001,$A$23,Base!$C$3:$C$5001,"&lt;&gt;")=0,"",SUMIFS(Base!$C$3:$C$5001,Base!$A$3:$A$5001,L$3,Base!$B$3:$B$5001,$A$23)))</f>
        <v>7</v>
      </c>
      <c r="M23" s="25">
        <f>IF(M$3="","",IF(COUNTIFS(Base!$A$3:$A$5001,M$3,Base!$B$3:$B$5001,$A$23,Base!$C$3:$C$5001,"&lt;&gt;")=0,"",SUMIFS(Base!$C$3:$C$5001,Base!$A$3:$A$5001,M$3,Base!$B$3:$B$5001,$A$23)))</f>
        <v>7</v>
      </c>
      <c r="N23" s="25">
        <f>IF(N$3="","",IF(COUNTIFS(Base!$A$3:$A$5001,N$3,Base!$B$3:$B$5001,$A$23,Base!$C$3:$C$5001,"&lt;&gt;")=0,"",SUMIFS(Base!$C$3:$C$5001,Base!$A$3:$A$5001,N$3,Base!$B$3:$B$5001,$A$23)))</f>
        <v>4</v>
      </c>
      <c r="O23" s="25">
        <f>IF(O$3="","",IF(COUNTIFS(Base!$A$3:$A$5001,O$3,Base!$B$3:$B$5001,$A$23,Base!$C$3:$C$5001,"&lt;&gt;")=0,"",SUMIFS(Base!$C$3:$C$5001,Base!$A$3:$A$5001,O$3,Base!$B$3:$B$5001,$A$23)))</f>
        <v>8</v>
      </c>
      <c r="P23" s="25">
        <f>IF(P$3="","",IF(COUNTIFS(Base!$A$3:$A$5001,P$3,Base!$B$3:$B$5001,$A$23,Base!$C$3:$C$5001,"&lt;&gt;")=0,"",SUMIFS(Base!$C$3:$C$5001,Base!$A$3:$A$5001,P$3,Base!$B$3:$B$5001,$A$23)))</f>
        <v>5</v>
      </c>
      <c r="Q23" s="25" t="str">
        <f>IF(Q$3="","",IF(COUNTIFS(Base!$A$3:$A$5001,Q$3,Base!$B$3:$B$5001,$A$23,Base!$C$3:$C$5001,"&lt;&gt;")=0,"",SUMIFS(Base!$C$3:$C$5001,Base!$A$3:$A$5001,Q$3,Base!$B$3:$B$5001,$A$23)))</f>
        <v/>
      </c>
      <c r="R23" s="25" t="str">
        <f>IF(R$3="","",IF(COUNTIFS(Base!$A$3:$A$5001,R$3,Base!$B$3:$B$5001,$A$23,Base!$C$3:$C$5001,"&lt;&gt;")=0,"",SUMIFS(Base!$C$3:$C$5001,Base!$A$3:$A$5001,R$3,Base!$B$3:$B$5001,$A$23)))</f>
        <v/>
      </c>
      <c r="S23" s="25">
        <f>IF(S$3="","",IF(COUNTIFS(Base!$A$3:$A$5001,S$3,Base!$B$3:$B$5001,$A$23,Base!$C$3:$C$5001,"&lt;&gt;")=0,"",SUMIFS(Base!$C$3:$C$5001,Base!$A$3:$A$5001,S$3,Base!$B$3:$B$5001,$A$23)))</f>
        <v>8</v>
      </c>
      <c r="T23" s="25">
        <f>IF(T$3="","",IF(COUNTIFS(Base!$A$3:$A$5001,T$3,Base!$B$3:$B$5001,$A$23,Base!$C$3:$C$5001,"&lt;&gt;")=0,"",SUMIFS(Base!$C$3:$C$5001,Base!$A$3:$A$5001,T$3,Base!$B$3:$B$5001,$A$23)))</f>
        <v>1</v>
      </c>
      <c r="U23" s="25">
        <f>IF(U$3="","",IF(COUNTIFS(Base!$A$3:$A$5001,U$3,Base!$B$3:$B$5001,$A$23,Base!$C$3:$C$5001,"&lt;&gt;")=0,"",SUMIFS(Base!$C$3:$C$5001,Base!$A$3:$A$5001,U$3,Base!$B$3:$B$5001,$A$23)))</f>
        <v>0</v>
      </c>
      <c r="V23" s="25">
        <f>IF(V$3="","",IF(COUNTIFS(Base!$A$3:$A$5001,V$3,Base!$B$3:$B$5001,$A$23,Base!$C$3:$C$5001,"&lt;&gt;")=0,"",SUMIFS(Base!$C$3:$C$5001,Base!$A$3:$A$5001,V$3,Base!$B$3:$B$5001,$A$23)))</f>
        <v>3</v>
      </c>
      <c r="W23" s="25">
        <f>IF(W$3="","",IF(COUNTIFS(Base!$A$3:$A$5001,W$3,Base!$B$3:$B$5001,$A$23,Base!$C$3:$C$5001,"&lt;&gt;")=0,"",SUMIFS(Base!$C$3:$C$5001,Base!$A$3:$A$5001,W$3,Base!$B$3:$B$5001,$A$23)))</f>
        <v>1</v>
      </c>
      <c r="X23" s="25" t="str">
        <f>IF(X$3="","",IF(COUNTIFS(Base!$A$3:$A$5001,X$3,Base!$B$3:$B$5001,$A$23,Base!$C$3:$C$5001,"&lt;&gt;")=0,"",SUMIFS(Base!$C$3:$C$5001,Base!$A$3:$A$5001,X$3,Base!$B$3:$B$5001,$A$23)))</f>
        <v/>
      </c>
      <c r="Y23" s="25" t="str">
        <f>IF(Y$3="","",IF(COUNTIFS(Base!$A$3:$A$5001,Y$3,Base!$B$3:$B$5001,$A$23,Base!$C$3:$C$5001,"&lt;&gt;")=0,"",SUMIFS(Base!$C$3:$C$5001,Base!$A$3:$A$5001,Y$3,Base!$B$3:$B$5001,$A$23)))</f>
        <v/>
      </c>
      <c r="Z23" s="25">
        <f>IF(Z$3="","",IF(COUNTIFS(Base!$A$3:$A$5001,Z$3,Base!$B$3:$B$5001,$A$23,Base!$C$3:$C$5001,"&lt;&gt;")=0,"",SUMIFS(Base!$C$3:$C$5001,Base!$A$3:$A$5001,Z$3,Base!$B$3:$B$5001,$A$23)))</f>
        <v>0</v>
      </c>
      <c r="AA23" s="25">
        <f>IF(AA$3="","",IF(COUNTIFS(Base!$A$3:$A$5001,AA$3,Base!$B$3:$B$5001,$A$23,Base!$C$3:$C$5001,"&lt;&gt;")=0,"",SUMIFS(Base!$C$3:$C$5001,Base!$A$3:$A$5001,AA$3,Base!$B$3:$B$5001,$A$23)))</f>
        <v>0</v>
      </c>
      <c r="AB23" s="25">
        <f>IF(AB$3="","",IF(COUNTIFS(Base!$A$3:$A$5001,AB$3,Base!$B$3:$B$5001,$A$23,Base!$C$3:$C$5001,"&lt;&gt;")=0,"",SUMIFS(Base!$C$3:$C$5001,Base!$A$3:$A$5001,AB$3,Base!$B$3:$B$5001,$A$23)))</f>
        <v>4</v>
      </c>
      <c r="AC23" s="25">
        <f>IF(AC$3="","",IF(COUNTIFS(Base!$A$3:$A$5001,AC$3,Base!$B$3:$B$5001,$A$23,Base!$C$3:$C$5001,"&lt;&gt;")=0,"",SUMIFS(Base!$C$3:$C$5001,Base!$A$3:$A$5001,AC$3,Base!$B$3:$B$5001,$A$23)))</f>
        <v>4</v>
      </c>
      <c r="AD23" s="25">
        <f>IF(AD$3="","",IF(COUNTIFS(Base!$A$3:$A$5001,AD$3,Base!$B$3:$B$5001,$A$23,Base!$C$3:$C$5001,"&lt;&gt;")=0,"",SUMIFS(Base!$C$3:$C$5001,Base!$A$3:$A$5001,AD$3,Base!$B$3:$B$5001,$A$23)))</f>
        <v>5</v>
      </c>
      <c r="AE23" s="25" t="str">
        <f>IF(AE$3="","",IF(COUNTIFS(Base!$A$3:$A$5001,AE$3,Base!$B$3:$B$5001,$A$23,Base!$C$3:$C$5001,"&lt;&gt;")=0,"",SUMIFS(Base!$C$3:$C$5001,Base!$A$3:$A$5001,AE$3,Base!$B$3:$B$5001,$A$23)))</f>
        <v/>
      </c>
      <c r="AF23" s="25" t="str">
        <f>IF(AF$3="","",IF(COUNTIFS(Base!$A$3:$A$5001,AF$3,Base!$B$3:$B$5001,$A$23,Base!$C$3:$C$5001,"&lt;&gt;")=0,"",SUMIFS(Base!$C$3:$C$5001,Base!$A$3:$A$5001,AF$3,Base!$B$3:$B$5001,$A$23)))</f>
        <v/>
      </c>
      <c r="AG23" s="25">
        <f>IF(AG$3="","",IF(COUNTIFS(Base!$A$3:$A$5001,AG$3,Base!$B$3:$B$5001,$A$23,Base!$C$3:$C$5001,"&lt;&gt;")=0,"",SUMIFS(Base!$C$3:$C$5001,Base!$A$3:$A$5001,AG$3,Base!$B$3:$B$5001,$A$23)))</f>
        <v>0</v>
      </c>
      <c r="AH23" s="25">
        <f>IF(AH$3="","",IF(COUNTIFS(Base!$A$3:$A$5001,AH$3,Base!$B$3:$B$5001,$A$23,Base!$C$3:$C$5001,"&lt;&gt;")=0,"",SUMIFS(Base!$C$3:$C$5001,Base!$A$3:$A$5001,AH$3,Base!$B$3:$B$5001,$A$23)))</f>
        <v>6</v>
      </c>
      <c r="AI23" s="25" t="str">
        <f>IF(AI$3="","",IF(COUNTIFS(Base!$A$3:$A$5001,AI$3,Base!$B$3:$B$5001,$A$23,Base!$C$3:$C$5001,"&lt;&gt;")=0,"",SUMIFS(Base!$C$3:$C$5001,Base!$A$3:$A$5001,AI$3,Base!$B$3:$B$5001,$A$23)))</f>
        <v/>
      </c>
      <c r="AJ23" s="26" t="str">
        <f>IF(AJ$3="","",IF(COUNTIFS(Base!$A$3:$A$5001,AJ$3,Base!$B$3:$B$5001,$A$23,Base!$C$3:$C$5001,"&lt;&gt;")=0,"",SUMIFS(Base!$C$3:$C$5001,Base!$A$3:$A$5001,AJ$3,Base!$B$3:$B$5001,$A$23)))</f>
        <v/>
      </c>
      <c r="AK23" s="27">
        <f>IF(COUNT(F23:AJ23)=0,"",SUM(F23:AJ23))</f>
        <v>80</v>
      </c>
    </row>
    <row r="24" ht="15.75" customHeight="1">
      <c r="A24" s="118"/>
      <c r="B24" s="106"/>
      <c r="C24" s="28" t="inlineStr">
        <is>
          <t xml:space="preserve">Pallets Movimentados</t>
        </is>
      </c>
      <c r="D24" s="29"/>
      <c r="E24" s="30"/>
      <c r="F24" s="31">
        <f>IF(F$3="","",IF(COUNTIFS(Base!$A$3:$A$5001,F$3,Base!$B$3:$B$5001,$A$23,Base!$D$3:$D$5001,"&lt;&gt;")=0,"",SUMIFS(Base!$D$3:$D$5001,Base!$A$3:$A$5001,F$3,Base!$B$3:$B$5001,$A$23)))</f>
        <v>63</v>
      </c>
      <c r="G24" s="32">
        <f>IF(G$3="","",IF(COUNTIFS(Base!$A$3:$A$5001,G$3,Base!$B$3:$B$5001,$A$23,Base!$D$3:$D$5001,"&lt;&gt;")=0,"",SUMIFS(Base!$D$3:$D$5001,Base!$A$3:$A$5001,G$3,Base!$B$3:$B$5001,$A$23)))</f>
        <v>0</v>
      </c>
      <c r="H24" s="32">
        <f>IF(H$3="","",IF(COUNTIFS(Base!$A$3:$A$5001,H$3,Base!$B$3:$B$5001,$A$23,Base!$D$3:$D$5001,"&lt;&gt;")=0,"",SUMIFS(Base!$D$3:$D$5001,Base!$A$3:$A$5001,H$3,Base!$B$3:$B$5001,$A$23)))</f>
        <v>168</v>
      </c>
      <c r="I24" s="32">
        <f>IF(I$3="","",IF(COUNTIFS(Base!$A$3:$A$5001,I$3,Base!$B$3:$B$5001,$A$23,Base!$D$3:$D$5001,"&lt;&gt;")=0,"",SUMIFS(Base!$D$3:$D$5001,Base!$A$3:$A$5001,I$3,Base!$B$3:$B$5001,$A$23)))</f>
        <v>182</v>
      </c>
      <c r="J24" s="32" t="str">
        <f>IF(J$3="","",IF(COUNTIFS(Base!$A$3:$A$5001,J$3,Base!$B$3:$B$5001,$A$23,Base!$D$3:$D$5001,"&lt;&gt;")=0,"",SUMIFS(Base!$D$3:$D$5001,Base!$A$3:$A$5001,J$3,Base!$B$3:$B$5001,$A$23)))</f>
        <v/>
      </c>
      <c r="K24" s="32" t="str">
        <f>IF(K$3="","",IF(COUNTIFS(Base!$A$3:$A$5001,K$3,Base!$B$3:$B$5001,$A$23,Base!$D$3:$D$5001,"&lt;&gt;")=0,"",SUMIFS(Base!$D$3:$D$5001,Base!$A$3:$A$5001,K$3,Base!$B$3:$B$5001,$A$23)))</f>
        <v/>
      </c>
      <c r="L24" s="32">
        <f>IF(L$3="","",IF(COUNTIFS(Base!$A$3:$A$5001,L$3,Base!$B$3:$B$5001,$A$23,Base!$D$3:$D$5001,"&lt;&gt;")=0,"",SUMIFS(Base!$D$3:$D$5001,Base!$A$3:$A$5001,L$3,Base!$B$3:$B$5001,$A$23)))</f>
        <v>147</v>
      </c>
      <c r="M24" s="32">
        <f>IF(M$3="","",IF(COUNTIFS(Base!$A$3:$A$5001,M$3,Base!$B$3:$B$5001,$A$23,Base!$D$3:$D$5001,"&lt;&gt;")=0,"",SUMIFS(Base!$D$3:$D$5001,Base!$A$3:$A$5001,M$3,Base!$B$3:$B$5001,$A$23)))</f>
        <v>189</v>
      </c>
      <c r="N24" s="32">
        <f>IF(N$3="","",IF(COUNTIFS(Base!$A$3:$A$5001,N$3,Base!$B$3:$B$5001,$A$23,Base!$D$3:$D$5001,"&lt;&gt;")=0,"",SUMIFS(Base!$D$3:$D$5001,Base!$A$3:$A$5001,N$3,Base!$B$3:$B$5001,$A$23)))</f>
        <v>108</v>
      </c>
      <c r="O24" s="32">
        <f>IF(O$3="","",IF(COUNTIFS(Base!$A$3:$A$5001,O$3,Base!$B$3:$B$5001,$A$23,Base!$D$3:$D$5001,"&lt;&gt;")=0,"",SUMIFS(Base!$D$3:$D$5001,Base!$A$3:$A$5001,O$3,Base!$B$3:$B$5001,$A$23)))</f>
        <v>176</v>
      </c>
      <c r="P24" s="32">
        <f>IF(P$3="","",IF(COUNTIFS(Base!$A$3:$A$5001,P$3,Base!$B$3:$B$5001,$A$23,Base!$D$3:$D$5001,"&lt;&gt;")=0,"",SUMIFS(Base!$D$3:$D$5001,Base!$A$3:$A$5001,P$3,Base!$B$3:$B$5001,$A$23)))</f>
        <v>105</v>
      </c>
      <c r="Q24" s="32" t="str">
        <f>IF(Q$3="","",IF(COUNTIFS(Base!$A$3:$A$5001,Q$3,Base!$B$3:$B$5001,$A$23,Base!$D$3:$D$5001,"&lt;&gt;")=0,"",SUMIFS(Base!$D$3:$D$5001,Base!$A$3:$A$5001,Q$3,Base!$B$3:$B$5001,$A$23)))</f>
        <v/>
      </c>
      <c r="R24" s="32" t="str">
        <f>IF(R$3="","",IF(COUNTIFS(Base!$A$3:$A$5001,R$3,Base!$B$3:$B$5001,$A$23,Base!$D$3:$D$5001,"&lt;&gt;")=0,"",SUMIFS(Base!$D$3:$D$5001,Base!$A$3:$A$5001,R$3,Base!$B$3:$B$5001,$A$23)))</f>
        <v/>
      </c>
      <c r="S24" s="32">
        <f>IF(S$3="","",IF(COUNTIFS(Base!$A$3:$A$5001,S$3,Base!$B$3:$B$5001,$A$23,Base!$D$3:$D$5001,"&lt;&gt;")=0,"",SUMIFS(Base!$D$3:$D$5001,Base!$A$3:$A$5001,S$3,Base!$B$3:$B$5001,$A$23)))</f>
        <v>184</v>
      </c>
      <c r="T24" s="32">
        <f>IF(T$3="","",IF(COUNTIFS(Base!$A$3:$A$5001,T$3,Base!$B$3:$B$5001,$A$23,Base!$D$3:$D$5001,"&lt;&gt;")=0,"",SUMIFS(Base!$D$3:$D$5001,Base!$A$3:$A$5001,T$3,Base!$B$3:$B$5001,$A$23)))</f>
        <v>21</v>
      </c>
      <c r="U24" s="32">
        <f>IF(U$3="","",IF(COUNTIFS(Base!$A$3:$A$5001,U$3,Base!$B$3:$B$5001,$A$23,Base!$D$3:$D$5001,"&lt;&gt;")=0,"",SUMIFS(Base!$D$3:$D$5001,Base!$A$3:$A$5001,U$3,Base!$B$3:$B$5001,$A$23)))</f>
        <v>0</v>
      </c>
      <c r="V24" s="32">
        <f>IF(V$3="","",IF(COUNTIFS(Base!$A$3:$A$5001,V$3,Base!$B$3:$B$5001,$A$23,Base!$D$3:$D$5001,"&lt;&gt;")=0,"",SUMIFS(Base!$D$3:$D$5001,Base!$A$3:$A$5001,V$3,Base!$B$3:$B$5001,$A$23)))</f>
        <v>72</v>
      </c>
      <c r="W24" s="32">
        <f>IF(W$3="","",IF(COUNTIFS(Base!$A$3:$A$5001,W$3,Base!$B$3:$B$5001,$A$23,Base!$D$3:$D$5001,"&lt;&gt;")=0,"",SUMIFS(Base!$D$3:$D$5001,Base!$A$3:$A$5001,W$3,Base!$B$3:$B$5001,$A$23)))</f>
        <v>27</v>
      </c>
      <c r="X24" s="32" t="str">
        <f>IF(X$3="","",IF(COUNTIFS(Base!$A$3:$A$5001,X$3,Base!$B$3:$B$5001,$A$23,Base!$D$3:$D$5001,"&lt;&gt;")=0,"",SUMIFS(Base!$D$3:$D$5001,Base!$A$3:$A$5001,X$3,Base!$B$3:$B$5001,$A$23)))</f>
        <v/>
      </c>
      <c r="Y24" s="32" t="str">
        <f>IF(Y$3="","",IF(COUNTIFS(Base!$A$3:$A$5001,Y$3,Base!$B$3:$B$5001,$A$23,Base!$D$3:$D$5001,"&lt;&gt;")=0,"",SUMIFS(Base!$D$3:$D$5001,Base!$A$3:$A$5001,Y$3,Base!$B$3:$B$5001,$A$23)))</f>
        <v/>
      </c>
      <c r="Z24" s="32">
        <f>IF(Z$3="","",IF(COUNTIFS(Base!$A$3:$A$5001,Z$3,Base!$B$3:$B$5001,$A$23,Base!$D$3:$D$5001,"&lt;&gt;")=0,"",SUMIFS(Base!$D$3:$D$5001,Base!$A$3:$A$5001,Z$3,Base!$B$3:$B$5001,$A$23)))</f>
        <v>0</v>
      </c>
      <c r="AA24" s="32">
        <f>IF(AA$3="","",IF(COUNTIFS(Base!$A$3:$A$5001,AA$3,Base!$B$3:$B$5001,$A$23,Base!$D$3:$D$5001,"&lt;&gt;")=0,"",SUMIFS(Base!$D$3:$D$5001,Base!$A$3:$A$5001,AA$3,Base!$B$3:$B$5001,$A$23)))</f>
        <v>0</v>
      </c>
      <c r="AB24" s="32">
        <f>IF(AB$3="","",IF(COUNTIFS(Base!$A$3:$A$5001,AB$3,Base!$B$3:$B$5001,$A$23,Base!$D$3:$D$5001,"&lt;&gt;")=0,"",SUMIFS(Base!$D$3:$D$5001,Base!$A$3:$A$5001,AB$3,Base!$B$3:$B$5001,$A$23)))</f>
        <v>88</v>
      </c>
      <c r="AC24" s="32">
        <f>IF(AC$3="","",IF(COUNTIFS(Base!$A$3:$A$5001,AC$3,Base!$B$3:$B$5001,$A$23,Base!$D$3:$D$5001,"&lt;&gt;")=0,"",SUMIFS(Base!$D$3:$D$5001,Base!$A$3:$A$5001,AC$3,Base!$B$3:$B$5001,$A$23)))</f>
        <v>112</v>
      </c>
      <c r="AD24" s="32">
        <f>IF(AD$3="","",IF(COUNTIFS(Base!$A$3:$A$5001,AD$3,Base!$B$3:$B$5001,$A$23,Base!$D$3:$D$5001,"&lt;&gt;")=0,"",SUMIFS(Base!$D$3:$D$5001,Base!$A$3:$A$5001,AD$3,Base!$B$3:$B$5001,$A$23)))</f>
        <v>140</v>
      </c>
      <c r="AE24" s="32" t="str">
        <f>IF(AE$3="","",IF(COUNTIFS(Base!$A$3:$A$5001,AE$3,Base!$B$3:$B$5001,$A$23,Base!$D$3:$D$5001,"&lt;&gt;")=0,"",SUMIFS(Base!$D$3:$D$5001,Base!$A$3:$A$5001,AE$3,Base!$B$3:$B$5001,$A$23)))</f>
        <v/>
      </c>
      <c r="AF24" s="32" t="str">
        <f>IF(AF$3="","",IF(COUNTIFS(Base!$A$3:$A$5001,AF$3,Base!$B$3:$B$5001,$A$23,Base!$D$3:$D$5001,"&lt;&gt;")=0,"",SUMIFS(Base!$D$3:$D$5001,Base!$A$3:$A$5001,AF$3,Base!$B$3:$B$5001,$A$23)))</f>
        <v/>
      </c>
      <c r="AG24" s="32">
        <f>IF(AG$3="","",IF(COUNTIFS(Base!$A$3:$A$5001,AG$3,Base!$B$3:$B$5001,$A$23,Base!$D$3:$D$5001,"&lt;&gt;")=0,"",SUMIFS(Base!$D$3:$D$5001,Base!$A$3:$A$5001,AG$3,Base!$B$3:$B$5001,$A$23)))</f>
        <v>0</v>
      </c>
      <c r="AH24" s="32">
        <f>IF(AH$3="","",IF(COUNTIFS(Base!$A$3:$A$5001,AH$3,Base!$B$3:$B$5001,$A$23,Base!$D$3:$D$5001,"&lt;&gt;")=0,"",SUMIFS(Base!$D$3:$D$5001,Base!$A$3:$A$5001,AH$3,Base!$B$3:$B$5001,$A$23)))</f>
        <v>120</v>
      </c>
      <c r="AI24" s="32" t="str">
        <f>IF(AI$3="","",IF(COUNTIFS(Base!$A$3:$A$5001,AI$3,Base!$B$3:$B$5001,$A$23,Base!$D$3:$D$5001,"&lt;&gt;")=0,"",SUMIFS(Base!$D$3:$D$5001,Base!$A$3:$A$5001,AI$3,Base!$B$3:$B$5001,$A$23)))</f>
        <v/>
      </c>
      <c r="AJ24" s="33" t="str">
        <f>IF(AJ$3="","",IF(COUNTIFS(Base!$A$3:$A$5001,AJ$3,Base!$B$3:$B$5001,$A$23,Base!$D$3:$D$5001,"&lt;&gt;")=0,"",SUMIFS(Base!$D$3:$D$5001,Base!$A$3:$A$5001,AJ$3,Base!$B$3:$B$5001,$A$23)))</f>
        <v/>
      </c>
      <c r="AK24" s="34">
        <f>IF(COUNT(F24:AJ24)=0,"",SUM(F24:AJ24))</f>
        <v>1902</v>
      </c>
    </row>
    <row r="25" ht="15.75" customHeight="1">
      <c r="A25" s="118"/>
      <c r="B25" s="107"/>
      <c r="C25" s="35" t="inlineStr">
        <is>
          <t xml:space="preserve">Toneladas Movimentadas</t>
        </is>
      </c>
      <c r="D25" s="36"/>
      <c r="E25" s="37"/>
      <c r="F25" s="38">
        <f>IF(F$3="","",IF(COUNTIFS(Base!$A$3:$A$5001,F$3,Base!$B$3:$B$5001,$A$23,Base!$E$3:$E$5001,"&lt;&gt;")=0,"",SUMIFS(Base!$E$3:$E$5001,Base!$A$3:$A$5001,F$3,Base!$B$3:$B$5001,$A$23)))</f>
        <v>67.11</v>
      </c>
      <c r="G25" s="39">
        <f>IF(G$3="","",IF(COUNTIFS(Base!$A$3:$A$5001,G$3,Base!$B$3:$B$5001,$A$23,Base!$E$3:$E$5001,"&lt;&gt;")=0,"",SUMIFS(Base!$E$3:$E$5001,Base!$A$3:$A$5001,G$3,Base!$B$3:$B$5001,$A$23)))</f>
        <v>0</v>
      </c>
      <c r="H25" s="39">
        <f>IF(H$3="","",IF(COUNTIFS(Base!$A$3:$A$5001,H$3,Base!$B$3:$B$5001,$A$23,Base!$E$3:$E$5001,"&lt;&gt;")=0,"",SUMIFS(Base!$E$3:$E$5001,Base!$A$3:$A$5001,H$3,Base!$B$3:$B$5001,$A$23)))</f>
        <v>135.35</v>
      </c>
      <c r="I25" s="39">
        <f>IF(I$3="","",IF(COUNTIFS(Base!$A$3:$A$5001,I$3,Base!$B$3:$B$5001,$A$23,Base!$E$3:$E$5001,"&lt;&gt;")=0,"",SUMIFS(Base!$E$3:$E$5001,Base!$A$3:$A$5001,I$3,Base!$B$3:$B$5001,$A$23)))</f>
        <v>77.89</v>
      </c>
      <c r="J25" s="39" t="str">
        <f>IF(J$3="","",IF(COUNTIFS(Base!$A$3:$A$5001,J$3,Base!$B$3:$B$5001,$A$23,Base!$E$3:$E$5001,"&lt;&gt;")=0,"",SUMIFS(Base!$E$3:$E$5001,Base!$A$3:$A$5001,J$3,Base!$B$3:$B$5001,$A$23)))</f>
        <v/>
      </c>
      <c r="K25" s="39" t="str">
        <f>IF(K$3="","",IF(COUNTIFS(Base!$A$3:$A$5001,K$3,Base!$B$3:$B$5001,$A$23,Base!$E$3:$E$5001,"&lt;&gt;")=0,"",SUMIFS(Base!$E$3:$E$5001,Base!$A$3:$A$5001,K$3,Base!$B$3:$B$5001,$A$23)))</f>
        <v/>
      </c>
      <c r="L25" s="39">
        <f>IF(L$3="","",IF(COUNTIFS(Base!$A$3:$A$5001,L$3,Base!$B$3:$B$5001,$A$23,Base!$E$3:$E$5001,"&lt;&gt;")=0,"",SUMIFS(Base!$E$3:$E$5001,Base!$A$3:$A$5001,L$3,Base!$B$3:$B$5001,$A$23)))</f>
        <v>128.45</v>
      </c>
      <c r="M25" s="39">
        <f>IF(M$3="","",IF(COUNTIFS(Base!$A$3:$A$5001,M$3,Base!$B$3:$B$5001,$A$23,Base!$E$3:$E$5001,"&lt;&gt;")=0,"",SUMIFS(Base!$E$3:$E$5001,Base!$A$3:$A$5001,M$3,Base!$B$3:$B$5001,$A$23)))</f>
        <v>121.51</v>
      </c>
      <c r="N25" s="39">
        <f>IF(N$3="","",IF(COUNTIFS(Base!$A$3:$A$5001,N$3,Base!$B$3:$B$5001,$A$23,Base!$E$3:$E$5001,"&lt;&gt;")=0,"",SUMIFS(Base!$E$3:$E$5001,Base!$A$3:$A$5001,N$3,Base!$B$3:$B$5001,$A$23)))</f>
        <v>57.31</v>
      </c>
      <c r="O25" s="39">
        <f>IF(O$3="","",IF(COUNTIFS(Base!$A$3:$A$5001,O$3,Base!$B$3:$B$5001,$A$23,Base!$E$3:$E$5001,"&lt;&gt;")=0,"",SUMIFS(Base!$E$3:$E$5001,Base!$A$3:$A$5001,O$3,Base!$B$3:$B$5001,$A$23)))</f>
        <v>175.49</v>
      </c>
      <c r="P25" s="39">
        <f>IF(P$3="","",IF(COUNTIFS(Base!$A$3:$A$5001,P$3,Base!$B$3:$B$5001,$A$23,Base!$E$3:$E$5001,"&lt;&gt;")=0,"",SUMIFS(Base!$E$3:$E$5001,Base!$A$3:$A$5001,P$3,Base!$B$3:$B$5001,$A$23)))</f>
        <v>99.73</v>
      </c>
      <c r="Q25" s="39" t="str">
        <f>IF(Q$3="","",IF(COUNTIFS(Base!$A$3:$A$5001,Q$3,Base!$B$3:$B$5001,$A$23,Base!$E$3:$E$5001,"&lt;&gt;")=0,"",SUMIFS(Base!$E$3:$E$5001,Base!$A$3:$A$5001,Q$3,Base!$B$3:$B$5001,$A$23)))</f>
        <v/>
      </c>
      <c r="R25" s="39" t="str">
        <f>IF(R$3="","",IF(COUNTIFS(Base!$A$3:$A$5001,R$3,Base!$B$3:$B$5001,$A$23,Base!$E$3:$E$5001,"&lt;&gt;")=0,"",SUMIFS(Base!$E$3:$E$5001,Base!$A$3:$A$5001,R$3,Base!$B$3:$B$5001,$A$23)))</f>
        <v/>
      </c>
      <c r="S25" s="39">
        <f>IF(S$3="","",IF(COUNTIFS(Base!$A$3:$A$5001,S$3,Base!$B$3:$B$5001,$A$23,Base!$E$3:$E$5001,"&lt;&gt;")=0,"",SUMIFS(Base!$E$3:$E$5001,Base!$A$3:$A$5001,S$3,Base!$B$3:$B$5001,$A$23)))</f>
        <v>129.19</v>
      </c>
      <c r="T25" s="39">
        <f>IF(T$3="","",IF(COUNTIFS(Base!$A$3:$A$5001,T$3,Base!$B$3:$B$5001,$A$23,Base!$E$3:$E$5001,"&lt;&gt;")=0,"",SUMIFS(Base!$E$3:$E$5001,Base!$A$3:$A$5001,T$3,Base!$B$3:$B$5001,$A$23)))</f>
        <v>18.6</v>
      </c>
      <c r="U25" s="39">
        <f>IF(U$3="","",IF(COUNTIFS(Base!$A$3:$A$5001,U$3,Base!$B$3:$B$5001,$A$23,Base!$E$3:$E$5001,"&lt;&gt;")=0,"",SUMIFS(Base!$E$3:$E$5001,Base!$A$3:$A$5001,U$3,Base!$B$3:$B$5001,$A$23)))</f>
        <v>0</v>
      </c>
      <c r="V25" s="39">
        <f>IF(V$3="","",IF(COUNTIFS(Base!$A$3:$A$5001,V$3,Base!$B$3:$B$5001,$A$23,Base!$E$3:$E$5001,"&lt;&gt;")=0,"",SUMIFS(Base!$E$3:$E$5001,Base!$A$3:$A$5001,V$3,Base!$B$3:$B$5001,$A$23)))</f>
        <v>46.44</v>
      </c>
      <c r="W25" s="39">
        <f>IF(W$3="","",IF(COUNTIFS(Base!$A$3:$A$5001,W$3,Base!$B$3:$B$5001,$A$23,Base!$E$3:$E$5001,"&lt;&gt;")=0,"",SUMIFS(Base!$E$3:$E$5001,Base!$A$3:$A$5001,W$3,Base!$B$3:$B$5001,$A$23)))</f>
        <v>15.14</v>
      </c>
      <c r="X25" s="39" t="str">
        <f>IF(X$3="","",IF(COUNTIFS(Base!$A$3:$A$5001,X$3,Base!$B$3:$B$5001,$A$23,Base!$E$3:$E$5001,"&lt;&gt;")=0,"",SUMIFS(Base!$E$3:$E$5001,Base!$A$3:$A$5001,X$3,Base!$B$3:$B$5001,$A$23)))</f>
        <v/>
      </c>
      <c r="Y25" s="39" t="str">
        <f>IF(Y$3="","",IF(COUNTIFS(Base!$A$3:$A$5001,Y$3,Base!$B$3:$B$5001,$A$23,Base!$E$3:$E$5001,"&lt;&gt;")=0,"",SUMIFS(Base!$E$3:$E$5001,Base!$A$3:$A$5001,Y$3,Base!$B$3:$B$5001,$A$23)))</f>
        <v/>
      </c>
      <c r="Z25" s="39">
        <f>IF(Z$3="","",IF(COUNTIFS(Base!$A$3:$A$5001,Z$3,Base!$B$3:$B$5001,$A$23,Base!$E$3:$E$5001,"&lt;&gt;")=0,"",SUMIFS(Base!$E$3:$E$5001,Base!$A$3:$A$5001,Z$3,Base!$B$3:$B$5001,$A$23)))</f>
        <v>0</v>
      </c>
      <c r="AA25" s="39">
        <f>IF(AA$3="","",IF(COUNTIFS(Base!$A$3:$A$5001,AA$3,Base!$B$3:$B$5001,$A$23,Base!$E$3:$E$5001,"&lt;&gt;")=0,"",SUMIFS(Base!$E$3:$E$5001,Base!$A$3:$A$5001,AA$3,Base!$B$3:$B$5001,$A$23)))</f>
        <v>0</v>
      </c>
      <c r="AB25" s="39">
        <f>IF(AB$3="","",IF(COUNTIFS(Base!$A$3:$A$5001,AB$3,Base!$B$3:$B$5001,$A$23,Base!$E$3:$E$5001,"&lt;&gt;")=0,"",SUMIFS(Base!$E$3:$E$5001,Base!$A$3:$A$5001,AB$3,Base!$B$3:$B$5001,$A$23)))</f>
        <v>82.33</v>
      </c>
      <c r="AC25" s="39">
        <f>IF(AC$3="","",IF(COUNTIFS(Base!$A$3:$A$5001,AC$3,Base!$B$3:$B$5001,$A$23,Base!$E$3:$E$5001,"&lt;&gt;")=0,"",SUMIFS(Base!$E$3:$E$5001,Base!$A$3:$A$5001,AC$3,Base!$B$3:$B$5001,$A$23)))</f>
        <v>59.44</v>
      </c>
      <c r="AD25" s="39">
        <f>IF(AD$3="","",IF(COUNTIFS(Base!$A$3:$A$5001,AD$3,Base!$B$3:$B$5001,$A$23,Base!$E$3:$E$5001,"&lt;&gt;")=0,"",SUMIFS(Base!$E$3:$E$5001,Base!$A$3:$A$5001,AD$3,Base!$B$3:$B$5001,$A$23)))</f>
        <v>75.07</v>
      </c>
      <c r="AE25" s="39" t="str">
        <f>IF(AE$3="","",IF(COUNTIFS(Base!$A$3:$A$5001,AE$3,Base!$B$3:$B$5001,$A$23,Base!$E$3:$E$5001,"&lt;&gt;")=0,"",SUMIFS(Base!$E$3:$E$5001,Base!$A$3:$A$5001,AE$3,Base!$B$3:$B$5001,$A$23)))</f>
        <v/>
      </c>
      <c r="AF25" s="39" t="str">
        <f>IF(AF$3="","",IF(COUNTIFS(Base!$A$3:$A$5001,AF$3,Base!$B$3:$B$5001,$A$23,Base!$E$3:$E$5001,"&lt;&gt;")=0,"",SUMIFS(Base!$E$3:$E$5001,Base!$A$3:$A$5001,AF$3,Base!$B$3:$B$5001,$A$23)))</f>
        <v/>
      </c>
      <c r="AG25" s="39">
        <f>IF(AG$3="","",IF(COUNTIFS(Base!$A$3:$A$5001,AG$3,Base!$B$3:$B$5001,$A$23,Base!$E$3:$E$5001,"&lt;&gt;")=0,"",SUMIFS(Base!$E$3:$E$5001,Base!$A$3:$A$5001,AG$3,Base!$B$3:$B$5001,$A$23)))</f>
        <v>0</v>
      </c>
      <c r="AH25" s="39">
        <f>IF(AH$3="","",IF(COUNTIFS(Base!$A$3:$A$5001,AH$3,Base!$B$3:$B$5001,$A$23,Base!$E$3:$E$5001,"&lt;&gt;")=0,"",SUMIFS(Base!$E$3:$E$5001,Base!$A$3:$A$5001,AH$3,Base!$B$3:$B$5001,$A$23)))</f>
        <v>79.12</v>
      </c>
      <c r="AI25" s="39" t="str">
        <f>IF(AI$3="","",IF(COUNTIFS(Base!$A$3:$A$5001,AI$3,Base!$B$3:$B$5001,$A$23,Base!$E$3:$E$5001,"&lt;&gt;")=0,"",SUMIFS(Base!$E$3:$E$5001,Base!$A$3:$A$5001,AI$3,Base!$B$3:$B$5001,$A$23)))</f>
        <v/>
      </c>
      <c r="AJ25" s="40" t="str">
        <f>IF(AJ$3="","",IF(COUNTIFS(Base!$A$3:$A$5001,AJ$3,Base!$B$3:$B$5001,$A$23,Base!$E$3:$E$5001,"&lt;&gt;")=0,"",SUMIFS(Base!$E$3:$E$5001,Base!$A$3:$A$5001,AJ$3,Base!$B$3:$B$5001,$A$23)))</f>
        <v/>
      </c>
      <c r="AK25" s="36">
        <f>IF(COUNT(F25:AJ25)=0,"",SUM(F25:AJ25))</f>
        <v>1368.17</v>
      </c>
    </row>
    <row r="26" ht="15.75" customHeight="1">
      <c r="A26" s="118"/>
      <c r="B26" s="108" t="inlineStr">
        <is>
          <t xml:space="preserve">OUT</t>
        </is>
      </c>
      <c r="C26" s="41" t="inlineStr">
        <is>
          <t xml:space="preserve">Veículos Expedidos</t>
        </is>
      </c>
      <c r="D26" s="42"/>
      <c r="E26" s="43"/>
      <c r="F26" s="44">
        <f>IF(F$3="","",IF(COUNTIFS(Base!$A$3:$A$5001,F$3,Base!$B$3:$B$5001,$A$23,Base!$F$3:$F$5001,"&lt;&gt;")=0,"",SUMIFS(Base!$F$3:$F$5001,Base!$A$3:$A$5001,F$3,Base!$B$3:$B$5001,$A$23)))</f>
        <v>11</v>
      </c>
      <c r="G26" s="45">
        <f>IF(G$3="","",IF(COUNTIFS(Base!$A$3:$A$5001,G$3,Base!$B$3:$B$5001,$A$23,Base!$F$3:$F$5001,"&lt;&gt;")=0,"",SUMIFS(Base!$F$3:$F$5001,Base!$A$3:$A$5001,G$3,Base!$B$3:$B$5001,$A$23)))</f>
        <v>2</v>
      </c>
      <c r="H26" s="45">
        <f>IF(H$3="","",IF(COUNTIFS(Base!$A$3:$A$5001,H$3,Base!$B$3:$B$5001,$A$23,Base!$F$3:$F$5001,"&lt;&gt;")=0,"",SUMIFS(Base!$F$3:$F$5001,Base!$A$3:$A$5001,H$3,Base!$B$3:$B$5001,$A$23)))</f>
        <v>5</v>
      </c>
      <c r="I26" s="45">
        <f>IF(I$3="","",IF(COUNTIFS(Base!$A$3:$A$5001,I$3,Base!$B$3:$B$5001,$A$23,Base!$F$3:$F$5001,"&lt;&gt;")=0,"",SUMIFS(Base!$F$3:$F$5001,Base!$A$3:$A$5001,I$3,Base!$B$3:$B$5001,$A$23)))</f>
        <v>6</v>
      </c>
      <c r="J26" s="45" t="str">
        <f>IF(J$3="","",IF(COUNTIFS(Base!$A$3:$A$5001,J$3,Base!$B$3:$B$5001,$A$23,Base!$F$3:$F$5001,"&lt;&gt;")=0,"",SUMIFS(Base!$F$3:$F$5001,Base!$A$3:$A$5001,J$3,Base!$B$3:$B$5001,$A$23)))</f>
        <v/>
      </c>
      <c r="K26" s="45" t="str">
        <f>IF(K$3="","",IF(COUNTIFS(Base!$A$3:$A$5001,K$3,Base!$B$3:$B$5001,$A$23,Base!$F$3:$F$5001,"&lt;&gt;")=0,"",SUMIFS(Base!$F$3:$F$5001,Base!$A$3:$A$5001,K$3,Base!$B$3:$B$5001,$A$23)))</f>
        <v/>
      </c>
      <c r="L26" s="45">
        <f>IF(L$3="","",IF(COUNTIFS(Base!$A$3:$A$5001,L$3,Base!$B$3:$B$5001,$A$23,Base!$F$3:$F$5001,"&lt;&gt;")=0,"",SUMIFS(Base!$F$3:$F$5001,Base!$A$3:$A$5001,L$3,Base!$B$3:$B$5001,$A$23)))</f>
        <v>2</v>
      </c>
      <c r="M26" s="45">
        <f>IF(M$3="","",IF(COUNTIFS(Base!$A$3:$A$5001,M$3,Base!$B$3:$B$5001,$A$23,Base!$F$3:$F$5001,"&lt;&gt;")=0,"",SUMIFS(Base!$F$3:$F$5001,Base!$A$3:$A$5001,M$3,Base!$B$3:$B$5001,$A$23)))</f>
        <v>11</v>
      </c>
      <c r="N26" s="45">
        <f>IF(N$3="","",IF(COUNTIFS(Base!$A$3:$A$5001,N$3,Base!$B$3:$B$5001,$A$23,Base!$F$3:$F$5001,"&lt;&gt;")=0,"",SUMIFS(Base!$F$3:$F$5001,Base!$A$3:$A$5001,N$3,Base!$B$3:$B$5001,$A$23)))</f>
        <v>4</v>
      </c>
      <c r="O26" s="45">
        <f>IF(O$3="","",IF(COUNTIFS(Base!$A$3:$A$5001,O$3,Base!$B$3:$B$5001,$A$23,Base!$F$3:$F$5001,"&lt;&gt;")=0,"",SUMIFS(Base!$F$3:$F$5001,Base!$A$3:$A$5001,O$3,Base!$B$3:$B$5001,$A$23)))</f>
        <v>0</v>
      </c>
      <c r="P26" s="45">
        <f>IF(P$3="","",IF(COUNTIFS(Base!$A$3:$A$5001,P$3,Base!$B$3:$B$5001,$A$23,Base!$F$3:$F$5001,"&lt;&gt;")=0,"",SUMIFS(Base!$F$3:$F$5001,Base!$A$3:$A$5001,P$3,Base!$B$3:$B$5001,$A$23)))</f>
        <v>11</v>
      </c>
      <c r="Q26" s="45" t="str">
        <f>IF(Q$3="","",IF(COUNTIFS(Base!$A$3:$A$5001,Q$3,Base!$B$3:$B$5001,$A$23,Base!$F$3:$F$5001,"&lt;&gt;")=0,"",SUMIFS(Base!$F$3:$F$5001,Base!$A$3:$A$5001,Q$3,Base!$B$3:$B$5001,$A$23)))</f>
        <v/>
      </c>
      <c r="R26" s="45" t="str">
        <f>IF(R$3="","",IF(COUNTIFS(Base!$A$3:$A$5001,R$3,Base!$B$3:$B$5001,$A$23,Base!$F$3:$F$5001,"&lt;&gt;")=0,"",SUMIFS(Base!$F$3:$F$5001,Base!$A$3:$A$5001,R$3,Base!$B$3:$B$5001,$A$23)))</f>
        <v/>
      </c>
      <c r="S26" s="45">
        <f>IF(S$3="","",IF(COUNTIFS(Base!$A$3:$A$5001,S$3,Base!$B$3:$B$5001,$A$23,Base!$F$3:$F$5001,"&lt;&gt;")=0,"",SUMIFS(Base!$F$3:$F$5001,Base!$A$3:$A$5001,S$3,Base!$B$3:$B$5001,$A$23)))</f>
        <v>1</v>
      </c>
      <c r="T26" s="45">
        <f>IF(T$3="","",IF(COUNTIFS(Base!$A$3:$A$5001,T$3,Base!$B$3:$B$5001,$A$23,Base!$F$3:$F$5001,"&lt;&gt;")=0,"",SUMIFS(Base!$F$3:$F$5001,Base!$A$3:$A$5001,T$3,Base!$B$3:$B$5001,$A$23)))</f>
        <v>4</v>
      </c>
      <c r="U26" s="45">
        <f>IF(U$3="","",IF(COUNTIFS(Base!$A$3:$A$5001,U$3,Base!$B$3:$B$5001,$A$23,Base!$F$3:$F$5001,"&lt;&gt;")=0,"",SUMIFS(Base!$F$3:$F$5001,Base!$A$3:$A$5001,U$3,Base!$B$3:$B$5001,$A$23)))</f>
        <v>5</v>
      </c>
      <c r="V26" s="45">
        <f>IF(V$3="","",IF(COUNTIFS(Base!$A$3:$A$5001,V$3,Base!$B$3:$B$5001,$A$23,Base!$F$3:$F$5001,"&lt;&gt;")=0,"",SUMIFS(Base!$F$3:$F$5001,Base!$A$3:$A$5001,V$3,Base!$B$3:$B$5001,$A$23)))</f>
        <v>1</v>
      </c>
      <c r="W26" s="45">
        <f>IF(W$3="","",IF(COUNTIFS(Base!$A$3:$A$5001,W$3,Base!$B$3:$B$5001,$A$23,Base!$F$3:$F$5001,"&lt;&gt;")=0,"",SUMIFS(Base!$F$3:$F$5001,Base!$A$3:$A$5001,W$3,Base!$B$3:$B$5001,$A$23)))</f>
        <v>4</v>
      </c>
      <c r="X26" s="45" t="str">
        <f>IF(X$3="","",IF(COUNTIFS(Base!$A$3:$A$5001,X$3,Base!$B$3:$B$5001,$A$23,Base!$F$3:$F$5001,"&lt;&gt;")=0,"",SUMIFS(Base!$F$3:$F$5001,Base!$A$3:$A$5001,X$3,Base!$B$3:$B$5001,$A$23)))</f>
        <v/>
      </c>
      <c r="Y26" s="45" t="str">
        <f>IF(Y$3="","",IF(COUNTIFS(Base!$A$3:$A$5001,Y$3,Base!$B$3:$B$5001,$A$23,Base!$F$3:$F$5001,"&lt;&gt;")=0,"",SUMIFS(Base!$F$3:$F$5001,Base!$A$3:$A$5001,Y$3,Base!$B$3:$B$5001,$A$23)))</f>
        <v/>
      </c>
      <c r="Z26" s="45">
        <f>IF(Z$3="","",IF(COUNTIFS(Base!$A$3:$A$5001,Z$3,Base!$B$3:$B$5001,$A$23,Base!$F$3:$F$5001,"&lt;&gt;")=0,"",SUMIFS(Base!$F$3:$F$5001,Base!$A$3:$A$5001,Z$3,Base!$B$3:$B$5001,$A$23)))</f>
        <v>0</v>
      </c>
      <c r="AA26" s="45">
        <f>IF(AA$3="","",IF(COUNTIFS(Base!$A$3:$A$5001,AA$3,Base!$B$3:$B$5001,$A$23,Base!$F$3:$F$5001,"&lt;&gt;")=0,"",SUMIFS(Base!$F$3:$F$5001,Base!$A$3:$A$5001,AA$3,Base!$B$3:$B$5001,$A$23)))</f>
        <v>0</v>
      </c>
      <c r="AB26" s="45">
        <f>IF(AB$3="","",IF(COUNTIFS(Base!$A$3:$A$5001,AB$3,Base!$B$3:$B$5001,$A$23,Base!$F$3:$F$5001,"&lt;&gt;")=0,"",SUMIFS(Base!$F$3:$F$5001,Base!$A$3:$A$5001,AB$3,Base!$B$3:$B$5001,$A$23)))</f>
        <v>5</v>
      </c>
      <c r="AC26" s="45">
        <f>IF(AC$3="","",IF(COUNTIFS(Base!$A$3:$A$5001,AC$3,Base!$B$3:$B$5001,$A$23,Base!$F$3:$F$5001,"&lt;&gt;")=0,"",SUMIFS(Base!$F$3:$F$5001,Base!$A$3:$A$5001,AC$3,Base!$B$3:$B$5001,$A$23)))</f>
        <v>5</v>
      </c>
      <c r="AD26" s="45">
        <f>IF(AD$3="","",IF(COUNTIFS(Base!$A$3:$A$5001,AD$3,Base!$B$3:$B$5001,$A$23,Base!$F$3:$F$5001,"&lt;&gt;")=0,"",SUMIFS(Base!$F$3:$F$5001,Base!$A$3:$A$5001,AD$3,Base!$B$3:$B$5001,$A$23)))</f>
        <v>3</v>
      </c>
      <c r="AE26" s="45" t="str">
        <f>IF(AE$3="","",IF(COUNTIFS(Base!$A$3:$A$5001,AE$3,Base!$B$3:$B$5001,$A$23,Base!$F$3:$F$5001,"&lt;&gt;")=0,"",SUMIFS(Base!$F$3:$F$5001,Base!$A$3:$A$5001,AE$3,Base!$B$3:$B$5001,$A$23)))</f>
        <v/>
      </c>
      <c r="AF26" s="45" t="str">
        <f>IF(AF$3="","",IF(COUNTIFS(Base!$A$3:$A$5001,AF$3,Base!$B$3:$B$5001,$A$23,Base!$F$3:$F$5001,"&lt;&gt;")=0,"",SUMIFS(Base!$F$3:$F$5001,Base!$A$3:$A$5001,AF$3,Base!$B$3:$B$5001,$A$23)))</f>
        <v/>
      </c>
      <c r="AG26" s="45">
        <f>IF(AG$3="","",IF(COUNTIFS(Base!$A$3:$A$5001,AG$3,Base!$B$3:$B$5001,$A$23,Base!$F$3:$F$5001,"&lt;&gt;")=0,"",SUMIFS(Base!$F$3:$F$5001,Base!$A$3:$A$5001,AG$3,Base!$B$3:$B$5001,$A$23)))</f>
        <v>3</v>
      </c>
      <c r="AH26" s="45">
        <f>IF(AH$3="","",IF(COUNTIFS(Base!$A$3:$A$5001,AH$3,Base!$B$3:$B$5001,$A$23,Base!$F$3:$F$5001,"&lt;&gt;")=0,"",SUMIFS(Base!$F$3:$F$5001,Base!$A$3:$A$5001,AH$3,Base!$B$3:$B$5001,$A$23)))</f>
        <v>3</v>
      </c>
      <c r="AI26" s="45" t="str">
        <f>IF(AI$3="","",IF(COUNTIFS(Base!$A$3:$A$5001,AI$3,Base!$B$3:$B$5001,$A$23,Base!$F$3:$F$5001,"&lt;&gt;")=0,"",SUMIFS(Base!$F$3:$F$5001,Base!$A$3:$A$5001,AI$3,Base!$B$3:$B$5001,$A$23)))</f>
        <v/>
      </c>
      <c r="AJ26" s="46" t="str">
        <f>IF(AJ$3="","",IF(COUNTIFS(Base!$A$3:$A$5001,AJ$3,Base!$B$3:$B$5001,$A$23,Base!$F$3:$F$5001,"&lt;&gt;")=0,"",SUMIFS(Base!$F$3:$F$5001,Base!$A$3:$A$5001,AJ$3,Base!$B$3:$B$5001,$A$23)))</f>
        <v/>
      </c>
      <c r="AK26" s="47">
        <f>IF(COUNT(F26:AJ26)=0,"",SUM(F26:AJ26))</f>
        <v>86</v>
      </c>
    </row>
    <row r="27" ht="15.75" customHeight="1">
      <c r="A27" s="118"/>
      <c r="B27" s="109"/>
      <c r="C27" s="48" t="inlineStr">
        <is>
          <t xml:space="preserve">Pallets Movimentados</t>
        </is>
      </c>
      <c r="D27" s="49"/>
      <c r="E27" s="50"/>
      <c r="F27" s="51">
        <f>IF(F$3="","",IF(COUNTIFS(Base!$A$3:$A$5001,F$3,Base!$B$3:$B$5001,$A$23,Base!$G$3:$G$5001,"&lt;&gt;")=0,"",SUMIFS(Base!$G$3:$G$5001,Base!$A$3:$A$5001,F$3,Base!$B$3:$B$5001,$A$23)))</f>
        <v>198</v>
      </c>
      <c r="G27" s="52">
        <f>IF(G$3="","",IF(COUNTIFS(Base!$A$3:$A$5001,G$3,Base!$B$3:$B$5001,$A$23,Base!$G$3:$G$5001,"&lt;&gt;")=0,"",SUMIFS(Base!$G$3:$G$5001,Base!$A$3:$A$5001,G$3,Base!$B$3:$B$5001,$A$23)))</f>
        <v>36</v>
      </c>
      <c r="H27" s="52">
        <f>IF(H$3="","",IF(COUNTIFS(Base!$A$3:$A$5001,H$3,Base!$B$3:$B$5001,$A$23,Base!$G$3:$G$5001,"&lt;&gt;")=0,"",SUMIFS(Base!$G$3:$G$5001,Base!$A$3:$A$5001,H$3,Base!$B$3:$B$5001,$A$23)))</f>
        <v>90</v>
      </c>
      <c r="I27" s="52">
        <f>IF(I$3="","",IF(COUNTIFS(Base!$A$3:$A$5001,I$3,Base!$B$3:$B$5001,$A$23,Base!$G$3:$G$5001,"&lt;&gt;")=0,"",SUMIFS(Base!$G$3:$G$5001,Base!$A$3:$A$5001,I$3,Base!$B$3:$B$5001,$A$23)))</f>
        <v>108</v>
      </c>
      <c r="J27" s="52" t="str">
        <f>IF(J$3="","",IF(COUNTIFS(Base!$A$3:$A$5001,J$3,Base!$B$3:$B$5001,$A$23,Base!$G$3:$G$5001,"&lt;&gt;")=0,"",SUMIFS(Base!$G$3:$G$5001,Base!$A$3:$A$5001,J$3,Base!$B$3:$B$5001,$A$23)))</f>
        <v/>
      </c>
      <c r="K27" s="52" t="str">
        <f>IF(K$3="","",IF(COUNTIFS(Base!$A$3:$A$5001,K$3,Base!$B$3:$B$5001,$A$23,Base!$G$3:$G$5001,"&lt;&gt;")=0,"",SUMIFS(Base!$G$3:$G$5001,Base!$A$3:$A$5001,K$3,Base!$B$3:$B$5001,$A$23)))</f>
        <v/>
      </c>
      <c r="L27" s="52">
        <f>IF(L$3="","",IF(COUNTIFS(Base!$A$3:$A$5001,L$3,Base!$B$3:$B$5001,$A$23,Base!$G$3:$G$5001,"&lt;&gt;")=0,"",SUMIFS(Base!$G$3:$G$5001,Base!$A$3:$A$5001,L$3,Base!$B$3:$B$5001,$A$23)))</f>
        <v>36</v>
      </c>
      <c r="M27" s="52">
        <f>IF(M$3="","",IF(COUNTIFS(Base!$A$3:$A$5001,M$3,Base!$B$3:$B$5001,$A$23,Base!$G$3:$G$5001,"&lt;&gt;")=0,"",SUMIFS(Base!$G$3:$G$5001,Base!$A$3:$A$5001,M$3,Base!$B$3:$B$5001,$A$23)))</f>
        <v>198</v>
      </c>
      <c r="N27" s="52">
        <f>IF(N$3="","",IF(COUNTIFS(Base!$A$3:$A$5001,N$3,Base!$B$3:$B$5001,$A$23,Base!$G$3:$G$5001,"&lt;&gt;")=0,"",SUMIFS(Base!$G$3:$G$5001,Base!$A$3:$A$5001,N$3,Base!$B$3:$B$5001,$A$23)))</f>
        <v>72</v>
      </c>
      <c r="O27" s="52">
        <f>IF(O$3="","",IF(COUNTIFS(Base!$A$3:$A$5001,O$3,Base!$B$3:$B$5001,$A$23,Base!$G$3:$G$5001,"&lt;&gt;")=0,"",SUMIFS(Base!$G$3:$G$5001,Base!$A$3:$A$5001,O$3,Base!$B$3:$B$5001,$A$23)))</f>
        <v>0</v>
      </c>
      <c r="P27" s="52">
        <f>IF(P$3="","",IF(COUNTIFS(Base!$A$3:$A$5001,P$3,Base!$B$3:$B$5001,$A$23,Base!$G$3:$G$5001,"&lt;&gt;")=0,"",SUMIFS(Base!$G$3:$G$5001,Base!$A$3:$A$5001,P$3,Base!$B$3:$B$5001,$A$23)))</f>
        <v>198</v>
      </c>
      <c r="Q27" s="52" t="str">
        <f>IF(Q$3="","",IF(COUNTIFS(Base!$A$3:$A$5001,Q$3,Base!$B$3:$B$5001,$A$23,Base!$G$3:$G$5001,"&lt;&gt;")=0,"",SUMIFS(Base!$G$3:$G$5001,Base!$A$3:$A$5001,Q$3,Base!$B$3:$B$5001,$A$23)))</f>
        <v/>
      </c>
      <c r="R27" s="52" t="str">
        <f>IF(R$3="","",IF(COUNTIFS(Base!$A$3:$A$5001,R$3,Base!$B$3:$B$5001,$A$23,Base!$G$3:$G$5001,"&lt;&gt;")=0,"",SUMIFS(Base!$G$3:$G$5001,Base!$A$3:$A$5001,R$3,Base!$B$3:$B$5001,$A$23)))</f>
        <v/>
      </c>
      <c r="S27" s="52">
        <f>IF(S$3="","",IF(COUNTIFS(Base!$A$3:$A$5001,S$3,Base!$B$3:$B$5001,$A$23,Base!$G$3:$G$5001,"&lt;&gt;")=0,"",SUMIFS(Base!$G$3:$G$5001,Base!$A$3:$A$5001,S$3,Base!$B$3:$B$5001,$A$23)))</f>
        <v>18</v>
      </c>
      <c r="T27" s="52">
        <f>IF(T$3="","",IF(COUNTIFS(Base!$A$3:$A$5001,T$3,Base!$B$3:$B$5001,$A$23,Base!$G$3:$G$5001,"&lt;&gt;")=0,"",SUMIFS(Base!$G$3:$G$5001,Base!$A$3:$A$5001,T$3,Base!$B$3:$B$5001,$A$23)))</f>
        <v>72</v>
      </c>
      <c r="U27" s="52">
        <f>IF(U$3="","",IF(COUNTIFS(Base!$A$3:$A$5001,U$3,Base!$B$3:$B$5001,$A$23,Base!$G$3:$G$5001,"&lt;&gt;")=0,"",SUMIFS(Base!$G$3:$G$5001,Base!$A$3:$A$5001,U$3,Base!$B$3:$B$5001,$A$23)))</f>
        <v>90</v>
      </c>
      <c r="V27" s="52">
        <f>IF(V$3="","",IF(COUNTIFS(Base!$A$3:$A$5001,V$3,Base!$B$3:$B$5001,$A$23,Base!$G$3:$G$5001,"&lt;&gt;")=0,"",SUMIFS(Base!$G$3:$G$5001,Base!$A$3:$A$5001,V$3,Base!$B$3:$B$5001,$A$23)))</f>
        <v>18</v>
      </c>
      <c r="W27" s="52">
        <f>IF(W$3="","",IF(COUNTIFS(Base!$A$3:$A$5001,W$3,Base!$B$3:$B$5001,$A$23,Base!$G$3:$G$5001,"&lt;&gt;")=0,"",SUMIFS(Base!$G$3:$G$5001,Base!$A$3:$A$5001,W$3,Base!$B$3:$B$5001,$A$23)))</f>
        <v>72</v>
      </c>
      <c r="X27" s="52" t="str">
        <f>IF(X$3="","",IF(COUNTIFS(Base!$A$3:$A$5001,X$3,Base!$B$3:$B$5001,$A$23,Base!$G$3:$G$5001,"&lt;&gt;")=0,"",SUMIFS(Base!$G$3:$G$5001,Base!$A$3:$A$5001,X$3,Base!$B$3:$B$5001,$A$23)))</f>
        <v/>
      </c>
      <c r="Y27" s="52" t="str">
        <f>IF(Y$3="","",IF(COUNTIFS(Base!$A$3:$A$5001,Y$3,Base!$B$3:$B$5001,$A$23,Base!$G$3:$G$5001,"&lt;&gt;")=0,"",SUMIFS(Base!$G$3:$G$5001,Base!$A$3:$A$5001,Y$3,Base!$B$3:$B$5001,$A$23)))</f>
        <v/>
      </c>
      <c r="Z27" s="52">
        <f>IF(Z$3="","",IF(COUNTIFS(Base!$A$3:$A$5001,Z$3,Base!$B$3:$B$5001,$A$23,Base!$G$3:$G$5001,"&lt;&gt;")=0,"",SUMIFS(Base!$G$3:$G$5001,Base!$A$3:$A$5001,Z$3,Base!$B$3:$B$5001,$A$23)))</f>
        <v>0</v>
      </c>
      <c r="AA27" s="52">
        <f>IF(AA$3="","",IF(COUNTIFS(Base!$A$3:$A$5001,AA$3,Base!$B$3:$B$5001,$A$23,Base!$G$3:$G$5001,"&lt;&gt;")=0,"",SUMIFS(Base!$G$3:$G$5001,Base!$A$3:$A$5001,AA$3,Base!$B$3:$B$5001,$A$23)))</f>
        <v>0</v>
      </c>
      <c r="AB27" s="52">
        <f>IF(AB$3="","",IF(COUNTIFS(Base!$A$3:$A$5001,AB$3,Base!$B$3:$B$5001,$A$23,Base!$G$3:$G$5001,"&lt;&gt;")=0,"",SUMIFS(Base!$G$3:$G$5001,Base!$A$3:$A$5001,AB$3,Base!$B$3:$B$5001,$A$23)))</f>
        <v>90</v>
      </c>
      <c r="AC27" s="52">
        <f>IF(AC$3="","",IF(COUNTIFS(Base!$A$3:$A$5001,AC$3,Base!$B$3:$B$5001,$A$23,Base!$G$3:$G$5001,"&lt;&gt;")=0,"",SUMIFS(Base!$G$3:$G$5001,Base!$A$3:$A$5001,AC$3,Base!$B$3:$B$5001,$A$23)))</f>
        <v>90</v>
      </c>
      <c r="AD27" s="52">
        <f>IF(AD$3="","",IF(COUNTIFS(Base!$A$3:$A$5001,AD$3,Base!$B$3:$B$5001,$A$23,Base!$G$3:$G$5001,"&lt;&gt;")=0,"",SUMIFS(Base!$G$3:$G$5001,Base!$A$3:$A$5001,AD$3,Base!$B$3:$B$5001,$A$23)))</f>
        <v>54</v>
      </c>
      <c r="AE27" s="52" t="str">
        <f>IF(AE$3="","",IF(COUNTIFS(Base!$A$3:$A$5001,AE$3,Base!$B$3:$B$5001,$A$23,Base!$G$3:$G$5001,"&lt;&gt;")=0,"",SUMIFS(Base!$G$3:$G$5001,Base!$A$3:$A$5001,AE$3,Base!$B$3:$B$5001,$A$23)))</f>
        <v/>
      </c>
      <c r="AF27" s="52" t="str">
        <f>IF(AF$3="","",IF(COUNTIFS(Base!$A$3:$A$5001,AF$3,Base!$B$3:$B$5001,$A$23,Base!$G$3:$G$5001,"&lt;&gt;")=0,"",SUMIFS(Base!$G$3:$G$5001,Base!$A$3:$A$5001,AF$3,Base!$B$3:$B$5001,$A$23)))</f>
        <v/>
      </c>
      <c r="AG27" s="52">
        <f>IF(AG$3="","",IF(COUNTIFS(Base!$A$3:$A$5001,AG$3,Base!$B$3:$B$5001,$A$23,Base!$G$3:$G$5001,"&lt;&gt;")=0,"",SUMIFS(Base!$G$3:$G$5001,Base!$A$3:$A$5001,AG$3,Base!$B$3:$B$5001,$A$23)))</f>
        <v>54</v>
      </c>
      <c r="AH27" s="52">
        <f>IF(AH$3="","",IF(COUNTIFS(Base!$A$3:$A$5001,AH$3,Base!$B$3:$B$5001,$A$23,Base!$G$3:$G$5001,"&lt;&gt;")=0,"",SUMIFS(Base!$G$3:$G$5001,Base!$A$3:$A$5001,AH$3,Base!$B$3:$B$5001,$A$23)))</f>
        <v>54</v>
      </c>
      <c r="AI27" s="52" t="str">
        <f>IF(AI$3="","",IF(COUNTIFS(Base!$A$3:$A$5001,AI$3,Base!$B$3:$B$5001,$A$23,Base!$G$3:$G$5001,"&lt;&gt;")=0,"",SUMIFS(Base!$G$3:$G$5001,Base!$A$3:$A$5001,AI$3,Base!$B$3:$B$5001,$A$23)))</f>
        <v/>
      </c>
      <c r="AJ27" s="53" t="str">
        <f>IF(AJ$3="","",IF(COUNTIFS(Base!$A$3:$A$5001,AJ$3,Base!$B$3:$B$5001,$A$23,Base!$G$3:$G$5001,"&lt;&gt;")=0,"",SUMIFS(Base!$G$3:$G$5001,Base!$A$3:$A$5001,AJ$3,Base!$B$3:$B$5001,$A$23)))</f>
        <v/>
      </c>
      <c r="AK27" s="54">
        <f>IF(COUNT(F27:AJ27)=0,"",SUM(F27:AJ27))</f>
        <v>1548</v>
      </c>
    </row>
    <row r="28" ht="15.75" customHeight="1">
      <c r="A28" s="118"/>
      <c r="B28" s="110"/>
      <c r="C28" s="55" t="inlineStr">
        <is>
          <t xml:space="preserve">Toneladas Movimentadas</t>
        </is>
      </c>
      <c r="D28" s="56"/>
      <c r="E28" s="57"/>
      <c r="F28" s="58">
        <f>IF(F$3="","",IF(COUNTIFS(Base!$A$3:$A$5001,F$3,Base!$B$3:$B$5001,$A$23,Base!$H$3:$H$5001,"&lt;&gt;")=0,"",SUMIFS(Base!$H$3:$H$5001,Base!$A$3:$A$5001,F$3,Base!$B$3:$B$5001,$A$23)))</f>
        <v>88.52</v>
      </c>
      <c r="G28" s="59">
        <f>IF(G$3="","",IF(COUNTIFS(Base!$A$3:$A$5001,G$3,Base!$B$3:$B$5001,$A$23,Base!$H$3:$H$5001,"&lt;&gt;")=0,"",SUMIFS(Base!$H$3:$H$5001,Base!$A$3:$A$5001,G$3,Base!$B$3:$B$5001,$A$23)))</f>
        <v>34.96</v>
      </c>
      <c r="H28" s="59">
        <f>IF(H$3="","",IF(COUNTIFS(Base!$A$3:$A$5001,H$3,Base!$B$3:$B$5001,$A$23,Base!$H$3:$H$5001,"&lt;&gt;")=0,"",SUMIFS(Base!$H$3:$H$5001,Base!$A$3:$A$5001,H$3,Base!$B$3:$B$5001,$A$23)))</f>
        <v>42.85</v>
      </c>
      <c r="I28" s="59">
        <f>IF(I$3="","",IF(COUNTIFS(Base!$A$3:$A$5001,I$3,Base!$B$3:$B$5001,$A$23,Base!$H$3:$H$5001,"&lt;&gt;")=0,"",SUMIFS(Base!$H$3:$H$5001,Base!$A$3:$A$5001,I$3,Base!$B$3:$B$5001,$A$23)))</f>
        <v>88.72</v>
      </c>
      <c r="J28" s="59" t="str">
        <f>IF(J$3="","",IF(COUNTIFS(Base!$A$3:$A$5001,J$3,Base!$B$3:$B$5001,$A$23,Base!$H$3:$H$5001,"&lt;&gt;")=0,"",SUMIFS(Base!$H$3:$H$5001,Base!$A$3:$A$5001,J$3,Base!$B$3:$B$5001,$A$23)))</f>
        <v/>
      </c>
      <c r="K28" s="59" t="str">
        <f>IF(K$3="","",IF(COUNTIFS(Base!$A$3:$A$5001,K$3,Base!$B$3:$B$5001,$A$23,Base!$H$3:$H$5001,"&lt;&gt;")=0,"",SUMIFS(Base!$H$3:$H$5001,Base!$A$3:$A$5001,K$3,Base!$B$3:$B$5001,$A$23)))</f>
        <v/>
      </c>
      <c r="L28" s="59">
        <f>IF(L$3="","",IF(COUNTIFS(Base!$A$3:$A$5001,L$3,Base!$B$3:$B$5001,$A$23,Base!$H$3:$H$5001,"&lt;&gt;")=0,"",SUMIFS(Base!$H$3:$H$5001,Base!$A$3:$A$5001,L$3,Base!$B$3:$B$5001,$A$23)))</f>
        <v>34.84</v>
      </c>
      <c r="M28" s="59">
        <f>IF(M$3="","",IF(COUNTIFS(Base!$A$3:$A$5001,M$3,Base!$B$3:$B$5001,$A$23,Base!$H$3:$H$5001,"&lt;&gt;")=0,"",SUMIFS(Base!$H$3:$H$5001,Base!$A$3:$A$5001,M$3,Base!$B$3:$B$5001,$A$23)))</f>
        <v>144.02</v>
      </c>
      <c r="N28" s="59">
        <f>IF(N$3="","",IF(COUNTIFS(Base!$A$3:$A$5001,N$3,Base!$B$3:$B$5001,$A$23,Base!$H$3:$H$5001,"&lt;&gt;")=0,"",SUMIFS(Base!$H$3:$H$5001,Base!$A$3:$A$5001,N$3,Base!$B$3:$B$5001,$A$23)))</f>
        <v>67.52</v>
      </c>
      <c r="O28" s="59">
        <f>IF(O$3="","",IF(COUNTIFS(Base!$A$3:$A$5001,O$3,Base!$B$3:$B$5001,$A$23,Base!$H$3:$H$5001,"&lt;&gt;")=0,"",SUMIFS(Base!$H$3:$H$5001,Base!$A$3:$A$5001,O$3,Base!$B$3:$B$5001,$A$23)))</f>
        <v>0</v>
      </c>
      <c r="P28" s="59">
        <f>IF(P$3="","",IF(COUNTIFS(Base!$A$3:$A$5001,P$3,Base!$B$3:$B$5001,$A$23,Base!$H$3:$H$5001,"&lt;&gt;")=0,"",SUMIFS(Base!$H$3:$H$5001,Base!$A$3:$A$5001,P$3,Base!$B$3:$B$5001,$A$23)))</f>
        <v>201.85</v>
      </c>
      <c r="Q28" s="59" t="str">
        <f>IF(Q$3="","",IF(COUNTIFS(Base!$A$3:$A$5001,Q$3,Base!$B$3:$B$5001,$A$23,Base!$H$3:$H$5001,"&lt;&gt;")=0,"",SUMIFS(Base!$H$3:$H$5001,Base!$A$3:$A$5001,Q$3,Base!$B$3:$B$5001,$A$23)))</f>
        <v/>
      </c>
      <c r="R28" s="59" t="str">
        <f>IF(R$3="","",IF(COUNTIFS(Base!$A$3:$A$5001,R$3,Base!$B$3:$B$5001,$A$23,Base!$H$3:$H$5001,"&lt;&gt;")=0,"",SUMIFS(Base!$H$3:$H$5001,Base!$A$3:$A$5001,R$3,Base!$B$3:$B$5001,$A$23)))</f>
        <v/>
      </c>
      <c r="S28" s="59">
        <f>IF(S$3="","",IF(COUNTIFS(Base!$A$3:$A$5001,S$3,Base!$B$3:$B$5001,$A$23,Base!$H$3:$H$5001,"&lt;&gt;")=0,"",SUMIFS(Base!$H$3:$H$5001,Base!$A$3:$A$5001,S$3,Base!$B$3:$B$5001,$A$23)))</f>
        <v>13.67</v>
      </c>
      <c r="T28" s="59">
        <f>IF(T$3="","",IF(COUNTIFS(Base!$A$3:$A$5001,T$3,Base!$B$3:$B$5001,$A$23,Base!$H$3:$H$5001,"&lt;&gt;")=0,"",SUMIFS(Base!$H$3:$H$5001,Base!$A$3:$A$5001,T$3,Base!$B$3:$B$5001,$A$23)))</f>
        <v>25.39</v>
      </c>
      <c r="U28" s="59">
        <f>IF(U$3="","",IF(COUNTIFS(Base!$A$3:$A$5001,U$3,Base!$B$3:$B$5001,$A$23,Base!$H$3:$H$5001,"&lt;&gt;")=0,"",SUMIFS(Base!$H$3:$H$5001,Base!$A$3:$A$5001,U$3,Base!$B$3:$B$5001,$A$23)))</f>
        <v>32.27</v>
      </c>
      <c r="V28" s="59">
        <f>IF(V$3="","",IF(COUNTIFS(Base!$A$3:$A$5001,V$3,Base!$B$3:$B$5001,$A$23,Base!$H$3:$H$5001,"&lt;&gt;")=0,"",SUMIFS(Base!$H$3:$H$5001,Base!$A$3:$A$5001,V$3,Base!$B$3:$B$5001,$A$23)))</f>
        <v>7.43</v>
      </c>
      <c r="W28" s="59">
        <f>IF(W$3="","",IF(COUNTIFS(Base!$A$3:$A$5001,W$3,Base!$B$3:$B$5001,$A$23,Base!$H$3:$H$5001,"&lt;&gt;")=0,"",SUMIFS(Base!$H$3:$H$5001,Base!$A$3:$A$5001,W$3,Base!$B$3:$B$5001,$A$23)))</f>
        <v>79.14</v>
      </c>
      <c r="X28" s="59" t="str">
        <f>IF(X$3="","",IF(COUNTIFS(Base!$A$3:$A$5001,X$3,Base!$B$3:$B$5001,$A$23,Base!$H$3:$H$5001,"&lt;&gt;")=0,"",SUMIFS(Base!$H$3:$H$5001,Base!$A$3:$A$5001,X$3,Base!$B$3:$B$5001,$A$23)))</f>
        <v/>
      </c>
      <c r="Y28" s="59" t="str">
        <f>IF(Y$3="","",IF(COUNTIFS(Base!$A$3:$A$5001,Y$3,Base!$B$3:$B$5001,$A$23,Base!$H$3:$H$5001,"&lt;&gt;")=0,"",SUMIFS(Base!$H$3:$H$5001,Base!$A$3:$A$5001,Y$3,Base!$B$3:$B$5001,$A$23)))</f>
        <v/>
      </c>
      <c r="Z28" s="59">
        <f>IF(Z$3="","",IF(COUNTIFS(Base!$A$3:$A$5001,Z$3,Base!$B$3:$B$5001,$A$23,Base!$H$3:$H$5001,"&lt;&gt;")=0,"",SUMIFS(Base!$H$3:$H$5001,Base!$A$3:$A$5001,Z$3,Base!$B$3:$B$5001,$A$23)))</f>
        <v>0</v>
      </c>
      <c r="AA28" s="59">
        <f>IF(AA$3="","",IF(COUNTIFS(Base!$A$3:$A$5001,AA$3,Base!$B$3:$B$5001,$A$23,Base!$H$3:$H$5001,"&lt;&gt;")=0,"",SUMIFS(Base!$H$3:$H$5001,Base!$A$3:$A$5001,AA$3,Base!$B$3:$B$5001,$A$23)))</f>
        <v>0</v>
      </c>
      <c r="AB28" s="59">
        <f>IF(AB$3="","",IF(COUNTIFS(Base!$A$3:$A$5001,AB$3,Base!$B$3:$B$5001,$A$23,Base!$H$3:$H$5001,"&lt;&gt;")=0,"",SUMIFS(Base!$H$3:$H$5001,Base!$A$3:$A$5001,AB$3,Base!$B$3:$B$5001,$A$23)))</f>
        <v>54.09</v>
      </c>
      <c r="AC28" s="59">
        <f>IF(AC$3="","",IF(COUNTIFS(Base!$A$3:$A$5001,AC$3,Base!$B$3:$B$5001,$A$23,Base!$H$3:$H$5001,"&lt;&gt;")=0,"",SUMIFS(Base!$H$3:$H$5001,Base!$A$3:$A$5001,AC$3,Base!$B$3:$B$5001,$A$23)))</f>
        <v>62.47</v>
      </c>
      <c r="AD28" s="59">
        <f>IF(AD$3="","",IF(COUNTIFS(Base!$A$3:$A$5001,AD$3,Base!$B$3:$B$5001,$A$23,Base!$H$3:$H$5001,"&lt;&gt;")=0,"",SUMIFS(Base!$H$3:$H$5001,Base!$A$3:$A$5001,AD$3,Base!$B$3:$B$5001,$A$23)))</f>
        <v>49.53</v>
      </c>
      <c r="AE28" s="59" t="str">
        <f>IF(AE$3="","",IF(COUNTIFS(Base!$A$3:$A$5001,AE$3,Base!$B$3:$B$5001,$A$23,Base!$H$3:$H$5001,"&lt;&gt;")=0,"",SUMIFS(Base!$H$3:$H$5001,Base!$A$3:$A$5001,AE$3,Base!$B$3:$B$5001,$A$23)))</f>
        <v/>
      </c>
      <c r="AF28" s="59" t="str">
        <f>IF(AF$3="","",IF(COUNTIFS(Base!$A$3:$A$5001,AF$3,Base!$B$3:$B$5001,$A$23,Base!$H$3:$H$5001,"&lt;&gt;")=0,"",SUMIFS(Base!$H$3:$H$5001,Base!$A$3:$A$5001,AF$3,Base!$B$3:$B$5001,$A$23)))</f>
        <v/>
      </c>
      <c r="AG28" s="59">
        <f>IF(AG$3="","",IF(COUNTIFS(Base!$A$3:$A$5001,AG$3,Base!$B$3:$B$5001,$A$23,Base!$H$3:$H$5001,"&lt;&gt;")=0,"",SUMIFS(Base!$H$3:$H$5001,Base!$A$3:$A$5001,AG$3,Base!$B$3:$B$5001,$A$23)))</f>
        <v>56.89</v>
      </c>
      <c r="AH28" s="59">
        <f>IF(AH$3="","",IF(COUNTIFS(Base!$A$3:$A$5001,AH$3,Base!$B$3:$B$5001,$A$23,Base!$H$3:$H$5001,"&lt;&gt;")=0,"",SUMIFS(Base!$H$3:$H$5001,Base!$A$3:$A$5001,AH$3,Base!$B$3:$B$5001,$A$23)))</f>
        <v>39.52</v>
      </c>
      <c r="AI28" s="59" t="str">
        <f>IF(AI$3="","",IF(COUNTIFS(Base!$A$3:$A$5001,AI$3,Base!$B$3:$B$5001,$A$23,Base!$H$3:$H$5001,"&lt;&gt;")=0,"",SUMIFS(Base!$H$3:$H$5001,Base!$A$3:$A$5001,AI$3,Base!$B$3:$B$5001,$A$23)))</f>
        <v/>
      </c>
      <c r="AJ28" s="60" t="str">
        <f>IF(AJ$3="","",IF(COUNTIFS(Base!$A$3:$A$5001,AJ$3,Base!$B$3:$B$5001,$A$23,Base!$H$3:$H$5001,"&lt;&gt;")=0,"",SUMIFS(Base!$H$3:$H$5001,Base!$A$3:$A$5001,AJ$3,Base!$B$3:$B$5001,$A$23)))</f>
        <v/>
      </c>
      <c r="AK28" s="56">
        <f>IF(COUNT(F28:AJ28)=0,"",SUM(F28:AJ28))</f>
        <v>1123.68</v>
      </c>
    </row>
    <row r="29" ht="15.75" customHeight="1">
      <c r="A29" s="118"/>
      <c r="B29" s="111" t="inlineStr">
        <is>
          <t xml:space="preserve">NC</t>
        </is>
      </c>
      <c r="C29" s="61" t="inlineStr">
        <is>
          <t xml:space="preserve">Incidentes</t>
        </is>
      </c>
      <c r="D29" s="62"/>
      <c r="E29" s="63"/>
      <c r="F29" s="64">
        <f>IF(F$3="","",IF(COUNTIFS(Base!$A$3:$A$5001,F$3,Base!$B$3:$B$5001,$A$23,Base!$I$3:$I$5001,"&lt;&gt;")=0,"",SUMIFS(Base!$I$3:$I$5001,Base!$A$3:$A$5001,F$3,Base!$B$3:$B$5001,$A$23)))</f>
        <v>0</v>
      </c>
      <c r="G29" s="65">
        <f>IF(G$3="","",IF(COUNTIFS(Base!$A$3:$A$5001,G$3,Base!$B$3:$B$5001,$A$23,Base!$I$3:$I$5001,"&lt;&gt;")=0,"",SUMIFS(Base!$I$3:$I$5001,Base!$A$3:$A$5001,G$3,Base!$B$3:$B$5001,$A$23)))</f>
        <v>0</v>
      </c>
      <c r="H29" s="65">
        <f>IF(H$3="","",IF(COUNTIFS(Base!$A$3:$A$5001,H$3,Base!$B$3:$B$5001,$A$23,Base!$I$3:$I$5001,"&lt;&gt;")=0,"",SUMIFS(Base!$I$3:$I$5001,Base!$A$3:$A$5001,H$3,Base!$B$3:$B$5001,$A$23)))</f>
        <v>0</v>
      </c>
      <c r="I29" s="65">
        <f>IF(I$3="","",IF(COUNTIFS(Base!$A$3:$A$5001,I$3,Base!$B$3:$B$5001,$A$23,Base!$I$3:$I$5001,"&lt;&gt;")=0,"",SUMIFS(Base!$I$3:$I$5001,Base!$A$3:$A$5001,I$3,Base!$B$3:$B$5001,$A$23)))</f>
        <v>0</v>
      </c>
      <c r="J29" s="65" t="str">
        <f>IF(J$3="","",IF(COUNTIFS(Base!$A$3:$A$5001,J$3,Base!$B$3:$B$5001,$A$23,Base!$I$3:$I$5001,"&lt;&gt;")=0,"",SUMIFS(Base!$I$3:$I$5001,Base!$A$3:$A$5001,J$3,Base!$B$3:$B$5001,$A$23)))</f>
        <v/>
      </c>
      <c r="K29" s="65" t="str">
        <f>IF(K$3="","",IF(COUNTIFS(Base!$A$3:$A$5001,K$3,Base!$B$3:$B$5001,$A$23,Base!$I$3:$I$5001,"&lt;&gt;")=0,"",SUMIFS(Base!$I$3:$I$5001,Base!$A$3:$A$5001,K$3,Base!$B$3:$B$5001,$A$23)))</f>
        <v/>
      </c>
      <c r="L29" s="65">
        <f>IF(L$3="","",IF(COUNTIFS(Base!$A$3:$A$5001,L$3,Base!$B$3:$B$5001,$A$23,Base!$I$3:$I$5001,"&lt;&gt;")=0,"",SUMIFS(Base!$I$3:$I$5001,Base!$A$3:$A$5001,L$3,Base!$B$3:$B$5001,$A$23)))</f>
        <v>0</v>
      </c>
      <c r="M29" s="65">
        <f>IF(M$3="","",IF(COUNTIFS(Base!$A$3:$A$5001,M$3,Base!$B$3:$B$5001,$A$23,Base!$I$3:$I$5001,"&lt;&gt;")=0,"",SUMIFS(Base!$I$3:$I$5001,Base!$A$3:$A$5001,M$3,Base!$B$3:$B$5001,$A$23)))</f>
        <v>0</v>
      </c>
      <c r="N29" s="65">
        <f>IF(N$3="","",IF(COUNTIFS(Base!$A$3:$A$5001,N$3,Base!$B$3:$B$5001,$A$23,Base!$I$3:$I$5001,"&lt;&gt;")=0,"",SUMIFS(Base!$I$3:$I$5001,Base!$A$3:$A$5001,N$3,Base!$B$3:$B$5001,$A$23)))</f>
        <v>0</v>
      </c>
      <c r="O29" s="65">
        <f>IF(O$3="","",IF(COUNTIFS(Base!$A$3:$A$5001,O$3,Base!$B$3:$B$5001,$A$23,Base!$I$3:$I$5001,"&lt;&gt;")=0,"",SUMIFS(Base!$I$3:$I$5001,Base!$A$3:$A$5001,O$3,Base!$B$3:$B$5001,$A$23)))</f>
        <v>1</v>
      </c>
      <c r="P29" s="65">
        <f>IF(P$3="","",IF(COUNTIFS(Base!$A$3:$A$5001,P$3,Base!$B$3:$B$5001,$A$23,Base!$I$3:$I$5001,"&lt;&gt;")=0,"",SUMIFS(Base!$I$3:$I$5001,Base!$A$3:$A$5001,P$3,Base!$B$3:$B$5001,$A$23)))</f>
        <v>0</v>
      </c>
      <c r="Q29" s="65" t="str">
        <f>IF(Q$3="","",IF(COUNTIFS(Base!$A$3:$A$5001,Q$3,Base!$B$3:$B$5001,$A$23,Base!$I$3:$I$5001,"&lt;&gt;")=0,"",SUMIFS(Base!$I$3:$I$5001,Base!$A$3:$A$5001,Q$3,Base!$B$3:$B$5001,$A$23)))</f>
        <v/>
      </c>
      <c r="R29" s="65" t="str">
        <f>IF(R$3="","",IF(COUNTIFS(Base!$A$3:$A$5001,R$3,Base!$B$3:$B$5001,$A$23,Base!$I$3:$I$5001,"&lt;&gt;")=0,"",SUMIFS(Base!$I$3:$I$5001,Base!$A$3:$A$5001,R$3,Base!$B$3:$B$5001,$A$23)))</f>
        <v/>
      </c>
      <c r="S29" s="65">
        <f>IF(S$3="","",IF(COUNTIFS(Base!$A$3:$A$5001,S$3,Base!$B$3:$B$5001,$A$23,Base!$I$3:$I$5001,"&lt;&gt;")=0,"",SUMIFS(Base!$I$3:$I$5001,Base!$A$3:$A$5001,S$3,Base!$B$3:$B$5001,$A$23)))</f>
        <v>0</v>
      </c>
      <c r="T29" s="65">
        <f>IF(T$3="","",IF(COUNTIFS(Base!$A$3:$A$5001,T$3,Base!$B$3:$B$5001,$A$23,Base!$I$3:$I$5001,"&lt;&gt;")=0,"",SUMIFS(Base!$I$3:$I$5001,Base!$A$3:$A$5001,T$3,Base!$B$3:$B$5001,$A$23)))</f>
        <v>0</v>
      </c>
      <c r="U29" s="65">
        <f>IF(U$3="","",IF(COUNTIFS(Base!$A$3:$A$5001,U$3,Base!$B$3:$B$5001,$A$23,Base!$I$3:$I$5001,"&lt;&gt;")=0,"",SUMIFS(Base!$I$3:$I$5001,Base!$A$3:$A$5001,U$3,Base!$B$3:$B$5001,$A$23)))</f>
        <v>0</v>
      </c>
      <c r="V29" s="65">
        <f>IF(V$3="","",IF(COUNTIFS(Base!$A$3:$A$5001,V$3,Base!$B$3:$B$5001,$A$23,Base!$I$3:$I$5001,"&lt;&gt;")=0,"",SUMIFS(Base!$I$3:$I$5001,Base!$A$3:$A$5001,V$3,Base!$B$3:$B$5001,$A$23)))</f>
        <v>0</v>
      </c>
      <c r="W29" s="65">
        <f>IF(W$3="","",IF(COUNTIFS(Base!$A$3:$A$5001,W$3,Base!$B$3:$B$5001,$A$23,Base!$I$3:$I$5001,"&lt;&gt;")=0,"",SUMIFS(Base!$I$3:$I$5001,Base!$A$3:$A$5001,W$3,Base!$B$3:$B$5001,$A$23)))</f>
        <v>0</v>
      </c>
      <c r="X29" s="65" t="str">
        <f>IF(X$3="","",IF(COUNTIFS(Base!$A$3:$A$5001,X$3,Base!$B$3:$B$5001,$A$23,Base!$I$3:$I$5001,"&lt;&gt;")=0,"",SUMIFS(Base!$I$3:$I$5001,Base!$A$3:$A$5001,X$3,Base!$B$3:$B$5001,$A$23)))</f>
        <v/>
      </c>
      <c r="Y29" s="65" t="str">
        <f>IF(Y$3="","",IF(COUNTIFS(Base!$A$3:$A$5001,Y$3,Base!$B$3:$B$5001,$A$23,Base!$I$3:$I$5001,"&lt;&gt;")=0,"",SUMIFS(Base!$I$3:$I$5001,Base!$A$3:$A$5001,Y$3,Base!$B$3:$B$5001,$A$23)))</f>
        <v/>
      </c>
      <c r="Z29" s="65">
        <f>IF(Z$3="","",IF(COUNTIFS(Base!$A$3:$A$5001,Z$3,Base!$B$3:$B$5001,$A$23,Base!$I$3:$I$5001,"&lt;&gt;")=0,"",SUMIFS(Base!$I$3:$I$5001,Base!$A$3:$A$5001,Z$3,Base!$B$3:$B$5001,$A$23)))</f>
        <v>0</v>
      </c>
      <c r="AA29" s="65">
        <f>IF(AA$3="","",IF(COUNTIFS(Base!$A$3:$A$5001,AA$3,Base!$B$3:$B$5001,$A$23,Base!$I$3:$I$5001,"&lt;&gt;")=0,"",SUMIFS(Base!$I$3:$I$5001,Base!$A$3:$A$5001,AA$3,Base!$B$3:$B$5001,$A$23)))</f>
        <v>0</v>
      </c>
      <c r="AB29" s="65">
        <f>IF(AB$3="","",IF(COUNTIFS(Base!$A$3:$A$5001,AB$3,Base!$B$3:$B$5001,$A$23,Base!$I$3:$I$5001,"&lt;&gt;")=0,"",SUMIFS(Base!$I$3:$I$5001,Base!$A$3:$A$5001,AB$3,Base!$B$3:$B$5001,$A$23)))</f>
        <v>0</v>
      </c>
      <c r="AC29" s="65">
        <f>IF(AC$3="","",IF(COUNTIFS(Base!$A$3:$A$5001,AC$3,Base!$B$3:$B$5001,$A$23,Base!$I$3:$I$5001,"&lt;&gt;")=0,"",SUMIFS(Base!$I$3:$I$5001,Base!$A$3:$A$5001,AC$3,Base!$B$3:$B$5001,$A$23)))</f>
        <v>0</v>
      </c>
      <c r="AD29" s="65">
        <f>IF(AD$3="","",IF(COUNTIFS(Base!$A$3:$A$5001,AD$3,Base!$B$3:$B$5001,$A$23,Base!$I$3:$I$5001,"&lt;&gt;")=0,"",SUMIFS(Base!$I$3:$I$5001,Base!$A$3:$A$5001,AD$3,Base!$B$3:$B$5001,$A$23)))</f>
        <v>0</v>
      </c>
      <c r="AE29" s="65" t="str">
        <f>IF(AE$3="","",IF(COUNTIFS(Base!$A$3:$A$5001,AE$3,Base!$B$3:$B$5001,$A$23,Base!$I$3:$I$5001,"&lt;&gt;")=0,"",SUMIFS(Base!$I$3:$I$5001,Base!$A$3:$A$5001,AE$3,Base!$B$3:$B$5001,$A$23)))</f>
        <v/>
      </c>
      <c r="AF29" s="65" t="str">
        <f>IF(AF$3="","",IF(COUNTIFS(Base!$A$3:$A$5001,AF$3,Base!$B$3:$B$5001,$A$23,Base!$I$3:$I$5001,"&lt;&gt;")=0,"",SUMIFS(Base!$I$3:$I$5001,Base!$A$3:$A$5001,AF$3,Base!$B$3:$B$5001,$A$23)))</f>
        <v/>
      </c>
      <c r="AG29" s="65">
        <f>IF(AG$3="","",IF(COUNTIFS(Base!$A$3:$A$5001,AG$3,Base!$B$3:$B$5001,$A$23,Base!$I$3:$I$5001,"&lt;&gt;")=0,"",SUMIFS(Base!$I$3:$I$5001,Base!$A$3:$A$5001,AG$3,Base!$B$3:$B$5001,$A$23)))</f>
        <v>0</v>
      </c>
      <c r="AH29" s="65">
        <f>IF(AH$3="","",IF(COUNTIFS(Base!$A$3:$A$5001,AH$3,Base!$B$3:$B$5001,$A$23,Base!$I$3:$I$5001,"&lt;&gt;")=0,"",SUMIFS(Base!$I$3:$I$5001,Base!$A$3:$A$5001,AH$3,Base!$B$3:$B$5001,$A$23)))</f>
        <v>0</v>
      </c>
      <c r="AI29" s="65" t="str">
        <f>IF(AI$3="","",IF(COUNTIFS(Base!$A$3:$A$5001,AI$3,Base!$B$3:$B$5001,$A$23,Base!$I$3:$I$5001,"&lt;&gt;")=0,"",SUMIFS(Base!$I$3:$I$5001,Base!$A$3:$A$5001,AI$3,Base!$B$3:$B$5001,$A$23)))</f>
        <v/>
      </c>
      <c r="AJ29" s="66" t="str">
        <f>IF(AJ$3="","",IF(COUNTIFS(Base!$A$3:$A$5001,AJ$3,Base!$B$3:$B$5001,$A$23,Base!$I$3:$I$5001,"&lt;&gt;")=0,"",SUMIFS(Base!$I$3:$I$5001,Base!$A$3:$A$5001,AJ$3,Base!$B$3:$B$5001,$A$23)))</f>
        <v/>
      </c>
      <c r="AK29" s="67">
        <f>IF(COUNT(F29:AJ29)=0,"",SUM(F29:AJ29))</f>
        <v>1</v>
      </c>
    </row>
    <row r="30" ht="15.75" customHeight="1">
      <c r="A30" s="118"/>
      <c r="B30" s="112"/>
      <c r="C30" s="68" t="inlineStr">
        <is>
          <t xml:space="preserve">No show</t>
        </is>
      </c>
      <c r="D30" s="69"/>
      <c r="E30" s="70"/>
      <c r="F30" s="71" t="str">
        <f>IF(F$3="","",IF(COUNTIFS(Base!$A$3:$A$5001,F$3,Base!$B$3:$B$5001,$A$23,Base!$J$3:$J$5001,"&lt;&gt;")=0,"",SUMIFS(Base!$J$3:$J$5001,Base!$A$3:$A$5001,F$3,Base!$B$3:$B$5001,$A$23)))</f>
        <v/>
      </c>
      <c r="G30" s="72" t="str">
        <f>IF(G$3="","",IF(COUNTIFS(Base!$A$3:$A$5001,G$3,Base!$B$3:$B$5001,$A$23,Base!$J$3:$J$5001,"&lt;&gt;")=0,"",SUMIFS(Base!$J$3:$J$5001,Base!$A$3:$A$5001,G$3,Base!$B$3:$B$5001,$A$23)))</f>
        <v/>
      </c>
      <c r="H30" s="72" t="str">
        <f>IF(H$3="","",IF(COUNTIFS(Base!$A$3:$A$5001,H$3,Base!$B$3:$B$5001,$A$23,Base!$J$3:$J$5001,"&lt;&gt;")=0,"",SUMIFS(Base!$J$3:$J$5001,Base!$A$3:$A$5001,H$3,Base!$B$3:$B$5001,$A$23)))</f>
        <v/>
      </c>
      <c r="I30" s="72" t="str">
        <f>IF(I$3="","",IF(COUNTIFS(Base!$A$3:$A$5001,I$3,Base!$B$3:$B$5001,$A$23,Base!$J$3:$J$5001,"&lt;&gt;")=0,"",SUMIFS(Base!$J$3:$J$5001,Base!$A$3:$A$5001,I$3,Base!$B$3:$B$5001,$A$23)))</f>
        <v/>
      </c>
      <c r="J30" s="72" t="str">
        <f>IF(J$3="","",IF(COUNTIFS(Base!$A$3:$A$5001,J$3,Base!$B$3:$B$5001,$A$23,Base!$J$3:$J$5001,"&lt;&gt;")=0,"",SUMIFS(Base!$J$3:$J$5001,Base!$A$3:$A$5001,J$3,Base!$B$3:$B$5001,$A$23)))</f>
        <v/>
      </c>
      <c r="K30" s="72" t="str">
        <f>IF(K$3="","",IF(COUNTIFS(Base!$A$3:$A$5001,K$3,Base!$B$3:$B$5001,$A$23,Base!$J$3:$J$5001,"&lt;&gt;")=0,"",SUMIFS(Base!$J$3:$J$5001,Base!$A$3:$A$5001,K$3,Base!$B$3:$B$5001,$A$23)))</f>
        <v/>
      </c>
      <c r="L30" s="72" t="str">
        <f>IF(L$3="","",IF(COUNTIFS(Base!$A$3:$A$5001,L$3,Base!$B$3:$B$5001,$A$23,Base!$J$3:$J$5001,"&lt;&gt;")=0,"",SUMIFS(Base!$J$3:$J$5001,Base!$A$3:$A$5001,L$3,Base!$B$3:$B$5001,$A$23)))</f>
        <v/>
      </c>
      <c r="M30" s="72" t="str">
        <f>IF(M$3="","",IF(COUNTIFS(Base!$A$3:$A$5001,M$3,Base!$B$3:$B$5001,$A$23,Base!$J$3:$J$5001,"&lt;&gt;")=0,"",SUMIFS(Base!$J$3:$J$5001,Base!$A$3:$A$5001,M$3,Base!$B$3:$B$5001,$A$23)))</f>
        <v/>
      </c>
      <c r="N30" s="72" t="str">
        <f>IF(N$3="","",IF(COUNTIFS(Base!$A$3:$A$5001,N$3,Base!$B$3:$B$5001,$A$23,Base!$J$3:$J$5001,"&lt;&gt;")=0,"",SUMIFS(Base!$J$3:$J$5001,Base!$A$3:$A$5001,N$3,Base!$B$3:$B$5001,$A$23)))</f>
        <v/>
      </c>
      <c r="O30" s="72" t="str">
        <f>IF(O$3="","",IF(COUNTIFS(Base!$A$3:$A$5001,O$3,Base!$B$3:$B$5001,$A$23,Base!$J$3:$J$5001,"&lt;&gt;")=0,"",SUMIFS(Base!$J$3:$J$5001,Base!$A$3:$A$5001,O$3,Base!$B$3:$B$5001,$A$23)))</f>
        <v/>
      </c>
      <c r="P30" s="72" t="str">
        <f>IF(P$3="","",IF(COUNTIFS(Base!$A$3:$A$5001,P$3,Base!$B$3:$B$5001,$A$23,Base!$J$3:$J$5001,"&lt;&gt;")=0,"",SUMIFS(Base!$J$3:$J$5001,Base!$A$3:$A$5001,P$3,Base!$B$3:$B$5001,$A$23)))</f>
        <v/>
      </c>
      <c r="Q30" s="72" t="str">
        <f>IF(Q$3="","",IF(COUNTIFS(Base!$A$3:$A$5001,Q$3,Base!$B$3:$B$5001,$A$23,Base!$J$3:$J$5001,"&lt;&gt;")=0,"",SUMIFS(Base!$J$3:$J$5001,Base!$A$3:$A$5001,Q$3,Base!$B$3:$B$5001,$A$23)))</f>
        <v/>
      </c>
      <c r="R30" s="72" t="str">
        <f>IF(R$3="","",IF(COUNTIFS(Base!$A$3:$A$5001,R$3,Base!$B$3:$B$5001,$A$23,Base!$J$3:$J$5001,"&lt;&gt;")=0,"",SUMIFS(Base!$J$3:$J$5001,Base!$A$3:$A$5001,R$3,Base!$B$3:$B$5001,$A$23)))</f>
        <v/>
      </c>
      <c r="S30" s="72" t="str">
        <f>IF(S$3="","",IF(COUNTIFS(Base!$A$3:$A$5001,S$3,Base!$B$3:$B$5001,$A$23,Base!$J$3:$J$5001,"&lt;&gt;")=0,"",SUMIFS(Base!$J$3:$J$5001,Base!$A$3:$A$5001,S$3,Base!$B$3:$B$5001,$A$23)))</f>
        <v/>
      </c>
      <c r="T30" s="72" t="str">
        <f>IF(T$3="","",IF(COUNTIFS(Base!$A$3:$A$5001,T$3,Base!$B$3:$B$5001,$A$23,Base!$J$3:$J$5001,"&lt;&gt;")=0,"",SUMIFS(Base!$J$3:$J$5001,Base!$A$3:$A$5001,T$3,Base!$B$3:$B$5001,$A$23)))</f>
        <v/>
      </c>
      <c r="U30" s="72" t="str">
        <f>IF(U$3="","",IF(COUNTIFS(Base!$A$3:$A$5001,U$3,Base!$B$3:$B$5001,$A$23,Base!$J$3:$J$5001,"&lt;&gt;")=0,"",SUMIFS(Base!$J$3:$J$5001,Base!$A$3:$A$5001,U$3,Base!$B$3:$B$5001,$A$23)))</f>
        <v/>
      </c>
      <c r="V30" s="72" t="str">
        <f>IF(V$3="","",IF(COUNTIFS(Base!$A$3:$A$5001,V$3,Base!$B$3:$B$5001,$A$23,Base!$J$3:$J$5001,"&lt;&gt;")=0,"",SUMIFS(Base!$J$3:$J$5001,Base!$A$3:$A$5001,V$3,Base!$B$3:$B$5001,$A$23)))</f>
        <v/>
      </c>
      <c r="W30" s="72" t="str">
        <f>IF(W$3="","",IF(COUNTIFS(Base!$A$3:$A$5001,W$3,Base!$B$3:$B$5001,$A$23,Base!$J$3:$J$5001,"&lt;&gt;")=0,"",SUMIFS(Base!$J$3:$J$5001,Base!$A$3:$A$5001,W$3,Base!$B$3:$B$5001,$A$23)))</f>
        <v/>
      </c>
      <c r="X30" s="72" t="str">
        <f>IF(X$3="","",IF(COUNTIFS(Base!$A$3:$A$5001,X$3,Base!$B$3:$B$5001,$A$23,Base!$J$3:$J$5001,"&lt;&gt;")=0,"",SUMIFS(Base!$J$3:$J$5001,Base!$A$3:$A$5001,X$3,Base!$B$3:$B$5001,$A$23)))</f>
        <v/>
      </c>
      <c r="Y30" s="72" t="str">
        <f>IF(Y$3="","",IF(COUNTIFS(Base!$A$3:$A$5001,Y$3,Base!$B$3:$B$5001,$A$23,Base!$J$3:$J$5001,"&lt;&gt;")=0,"",SUMIFS(Base!$J$3:$J$5001,Base!$A$3:$A$5001,Y$3,Base!$B$3:$B$5001,$A$23)))</f>
        <v/>
      </c>
      <c r="Z30" s="72" t="str">
        <f>IF(Z$3="","",IF(COUNTIFS(Base!$A$3:$A$5001,Z$3,Base!$B$3:$B$5001,$A$23,Base!$J$3:$J$5001,"&lt;&gt;")=0,"",SUMIFS(Base!$J$3:$J$5001,Base!$A$3:$A$5001,Z$3,Base!$B$3:$B$5001,$A$23)))</f>
        <v/>
      </c>
      <c r="AA30" s="72" t="str">
        <f>IF(AA$3="","",IF(COUNTIFS(Base!$A$3:$A$5001,AA$3,Base!$B$3:$B$5001,$A$23,Base!$J$3:$J$5001,"&lt;&gt;")=0,"",SUMIFS(Base!$J$3:$J$5001,Base!$A$3:$A$5001,AA$3,Base!$B$3:$B$5001,$A$23)))</f>
        <v/>
      </c>
      <c r="AB30" s="72" t="str">
        <f>IF(AB$3="","",IF(COUNTIFS(Base!$A$3:$A$5001,AB$3,Base!$B$3:$B$5001,$A$23,Base!$J$3:$J$5001,"&lt;&gt;")=0,"",SUMIFS(Base!$J$3:$J$5001,Base!$A$3:$A$5001,AB$3,Base!$B$3:$B$5001,$A$23)))</f>
        <v/>
      </c>
      <c r="AC30" s="72" t="str">
        <f>IF(AC$3="","",IF(COUNTIFS(Base!$A$3:$A$5001,AC$3,Base!$B$3:$B$5001,$A$23,Base!$J$3:$J$5001,"&lt;&gt;")=0,"",SUMIFS(Base!$J$3:$J$5001,Base!$A$3:$A$5001,AC$3,Base!$B$3:$B$5001,$A$23)))</f>
        <v/>
      </c>
      <c r="AD30" s="72" t="str">
        <f>IF(AD$3="","",IF(COUNTIFS(Base!$A$3:$A$5001,AD$3,Base!$B$3:$B$5001,$A$23,Base!$J$3:$J$5001,"&lt;&gt;")=0,"",SUMIFS(Base!$J$3:$J$5001,Base!$A$3:$A$5001,AD$3,Base!$B$3:$B$5001,$A$23)))</f>
        <v/>
      </c>
      <c r="AE30" s="72" t="str">
        <f>IF(AE$3="","",IF(COUNTIFS(Base!$A$3:$A$5001,AE$3,Base!$B$3:$B$5001,$A$23,Base!$J$3:$J$5001,"&lt;&gt;")=0,"",SUMIFS(Base!$J$3:$J$5001,Base!$A$3:$A$5001,AE$3,Base!$B$3:$B$5001,$A$23)))</f>
        <v/>
      </c>
      <c r="AF30" s="72" t="str">
        <f>IF(AF$3="","",IF(COUNTIFS(Base!$A$3:$A$5001,AF$3,Base!$B$3:$B$5001,$A$23,Base!$J$3:$J$5001,"&lt;&gt;")=0,"",SUMIFS(Base!$J$3:$J$5001,Base!$A$3:$A$5001,AF$3,Base!$B$3:$B$5001,$A$23)))</f>
        <v/>
      </c>
      <c r="AG30" s="72" t="str">
        <f>IF(AG$3="","",IF(COUNTIFS(Base!$A$3:$A$5001,AG$3,Base!$B$3:$B$5001,$A$23,Base!$J$3:$J$5001,"&lt;&gt;")=0,"",SUMIFS(Base!$J$3:$J$5001,Base!$A$3:$A$5001,AG$3,Base!$B$3:$B$5001,$A$23)))</f>
        <v/>
      </c>
      <c r="AH30" s="72" t="str">
        <f>IF(AH$3="","",IF(COUNTIFS(Base!$A$3:$A$5001,AH$3,Base!$B$3:$B$5001,$A$23,Base!$J$3:$J$5001,"&lt;&gt;")=0,"",SUMIFS(Base!$J$3:$J$5001,Base!$A$3:$A$5001,AH$3,Base!$B$3:$B$5001,$A$23)))</f>
        <v/>
      </c>
      <c r="AI30" s="72" t="str">
        <f>IF(AI$3="","",IF(COUNTIFS(Base!$A$3:$A$5001,AI$3,Base!$B$3:$B$5001,$A$23,Base!$J$3:$J$5001,"&lt;&gt;")=0,"",SUMIFS(Base!$J$3:$J$5001,Base!$A$3:$A$5001,AI$3,Base!$B$3:$B$5001,$A$23)))</f>
        <v/>
      </c>
      <c r="AJ30" s="73" t="str">
        <f>IF(AJ$3="","",IF(COUNTIFS(Base!$A$3:$A$5001,AJ$3,Base!$B$3:$B$5001,$A$23,Base!$J$3:$J$5001,"&lt;&gt;")=0,"",SUMIFS(Base!$J$3:$J$5001,Base!$A$3:$A$5001,AJ$3,Base!$B$3:$B$5001,$A$23)))</f>
        <v/>
      </c>
      <c r="AK30" s="74" t="str">
        <f>IF(COUNT(F30:AJ30)=0,"",SUM(F30:AJ30))</f>
        <v/>
      </c>
    </row>
    <row r="31" ht="15.75" customHeight="1">
      <c r="A31" s="118"/>
      <c r="B31" s="113"/>
      <c r="C31" s="75" t="inlineStr">
        <is>
          <t xml:space="preserve">Backlog</t>
        </is>
      </c>
      <c r="D31" s="76"/>
      <c r="E31" s="77"/>
      <c r="F31" s="78" t="str">
        <f>IF(F$3="","",IF(COUNTIFS(Base!$A$3:$A$5001,F$3,Base!$B$3:$B$5001,$A$23,Base!$K$3:$K$5001,"&lt;&gt;")=0,"",SUMIFS(Base!$K$3:$K$5001,Base!$A$3:$A$5001,F$3,Base!$B$3:$B$5001,$A$23)))</f>
        <v/>
      </c>
      <c r="G31" s="79" t="str">
        <f>IF(G$3="","",IF(COUNTIFS(Base!$A$3:$A$5001,G$3,Base!$B$3:$B$5001,$A$23,Base!$K$3:$K$5001,"&lt;&gt;")=0,"",SUMIFS(Base!$K$3:$K$5001,Base!$A$3:$A$5001,G$3,Base!$B$3:$B$5001,$A$23)))</f>
        <v/>
      </c>
      <c r="H31" s="79" t="str">
        <f>IF(H$3="","",IF(COUNTIFS(Base!$A$3:$A$5001,H$3,Base!$B$3:$B$5001,$A$23,Base!$K$3:$K$5001,"&lt;&gt;")=0,"",SUMIFS(Base!$K$3:$K$5001,Base!$A$3:$A$5001,H$3,Base!$B$3:$B$5001,$A$23)))</f>
        <v/>
      </c>
      <c r="I31" s="79" t="str">
        <f>IF(I$3="","",IF(COUNTIFS(Base!$A$3:$A$5001,I$3,Base!$B$3:$B$5001,$A$23,Base!$K$3:$K$5001,"&lt;&gt;")=0,"",SUMIFS(Base!$K$3:$K$5001,Base!$A$3:$A$5001,I$3,Base!$B$3:$B$5001,$A$23)))</f>
        <v/>
      </c>
      <c r="J31" s="79" t="str">
        <f>IF(J$3="","",IF(COUNTIFS(Base!$A$3:$A$5001,J$3,Base!$B$3:$B$5001,$A$23,Base!$K$3:$K$5001,"&lt;&gt;")=0,"",SUMIFS(Base!$K$3:$K$5001,Base!$A$3:$A$5001,J$3,Base!$B$3:$B$5001,$A$23)))</f>
        <v/>
      </c>
      <c r="K31" s="79" t="str">
        <f>IF(K$3="","",IF(COUNTIFS(Base!$A$3:$A$5001,K$3,Base!$B$3:$B$5001,$A$23,Base!$K$3:$K$5001,"&lt;&gt;")=0,"",SUMIFS(Base!$K$3:$K$5001,Base!$A$3:$A$5001,K$3,Base!$B$3:$B$5001,$A$23)))</f>
        <v/>
      </c>
      <c r="L31" s="79" t="str">
        <f>IF(L$3="","",IF(COUNTIFS(Base!$A$3:$A$5001,L$3,Base!$B$3:$B$5001,$A$23,Base!$K$3:$K$5001,"&lt;&gt;")=0,"",SUMIFS(Base!$K$3:$K$5001,Base!$A$3:$A$5001,L$3,Base!$B$3:$B$5001,$A$23)))</f>
        <v/>
      </c>
      <c r="M31" s="79" t="str">
        <f>IF(M$3="","",IF(COUNTIFS(Base!$A$3:$A$5001,M$3,Base!$B$3:$B$5001,$A$23,Base!$K$3:$K$5001,"&lt;&gt;")=0,"",SUMIFS(Base!$K$3:$K$5001,Base!$A$3:$A$5001,M$3,Base!$B$3:$B$5001,$A$23)))</f>
        <v/>
      </c>
      <c r="N31" s="79" t="str">
        <f>IF(N$3="","",IF(COUNTIFS(Base!$A$3:$A$5001,N$3,Base!$B$3:$B$5001,$A$23,Base!$K$3:$K$5001,"&lt;&gt;")=0,"",SUMIFS(Base!$K$3:$K$5001,Base!$A$3:$A$5001,N$3,Base!$B$3:$B$5001,$A$23)))</f>
        <v/>
      </c>
      <c r="O31" s="79" t="str">
        <f>IF(O$3="","",IF(COUNTIFS(Base!$A$3:$A$5001,O$3,Base!$B$3:$B$5001,$A$23,Base!$K$3:$K$5001,"&lt;&gt;")=0,"",SUMIFS(Base!$K$3:$K$5001,Base!$A$3:$A$5001,O$3,Base!$B$3:$B$5001,$A$23)))</f>
        <v/>
      </c>
      <c r="P31" s="79" t="str">
        <f>IF(P$3="","",IF(COUNTIFS(Base!$A$3:$A$5001,P$3,Base!$B$3:$B$5001,$A$23,Base!$K$3:$K$5001,"&lt;&gt;")=0,"",SUMIFS(Base!$K$3:$K$5001,Base!$A$3:$A$5001,P$3,Base!$B$3:$B$5001,$A$23)))</f>
        <v/>
      </c>
      <c r="Q31" s="79" t="str">
        <f>IF(Q$3="","",IF(COUNTIFS(Base!$A$3:$A$5001,Q$3,Base!$B$3:$B$5001,$A$23,Base!$K$3:$K$5001,"&lt;&gt;")=0,"",SUMIFS(Base!$K$3:$K$5001,Base!$A$3:$A$5001,Q$3,Base!$B$3:$B$5001,$A$23)))</f>
        <v/>
      </c>
      <c r="R31" s="79" t="str">
        <f>IF(R$3="","",IF(COUNTIFS(Base!$A$3:$A$5001,R$3,Base!$B$3:$B$5001,$A$23,Base!$K$3:$K$5001,"&lt;&gt;")=0,"",SUMIFS(Base!$K$3:$K$5001,Base!$A$3:$A$5001,R$3,Base!$B$3:$B$5001,$A$23)))</f>
        <v/>
      </c>
      <c r="S31" s="79" t="str">
        <f>IF(S$3="","",IF(COUNTIFS(Base!$A$3:$A$5001,S$3,Base!$B$3:$B$5001,$A$23,Base!$K$3:$K$5001,"&lt;&gt;")=0,"",SUMIFS(Base!$K$3:$K$5001,Base!$A$3:$A$5001,S$3,Base!$B$3:$B$5001,$A$23)))</f>
        <v/>
      </c>
      <c r="T31" s="79" t="str">
        <f>IF(T$3="","",IF(COUNTIFS(Base!$A$3:$A$5001,T$3,Base!$B$3:$B$5001,$A$23,Base!$K$3:$K$5001,"&lt;&gt;")=0,"",SUMIFS(Base!$K$3:$K$5001,Base!$A$3:$A$5001,T$3,Base!$B$3:$B$5001,$A$23)))</f>
        <v/>
      </c>
      <c r="U31" s="79" t="str">
        <f>IF(U$3="","",IF(COUNTIFS(Base!$A$3:$A$5001,U$3,Base!$B$3:$B$5001,$A$23,Base!$K$3:$K$5001,"&lt;&gt;")=0,"",SUMIFS(Base!$K$3:$K$5001,Base!$A$3:$A$5001,U$3,Base!$B$3:$B$5001,$A$23)))</f>
        <v/>
      </c>
      <c r="V31" s="79" t="str">
        <f>IF(V$3="","",IF(COUNTIFS(Base!$A$3:$A$5001,V$3,Base!$B$3:$B$5001,$A$23,Base!$K$3:$K$5001,"&lt;&gt;")=0,"",SUMIFS(Base!$K$3:$K$5001,Base!$A$3:$A$5001,V$3,Base!$B$3:$B$5001,$A$23)))</f>
        <v/>
      </c>
      <c r="W31" s="79" t="str">
        <f>IF(W$3="","",IF(COUNTIFS(Base!$A$3:$A$5001,W$3,Base!$B$3:$B$5001,$A$23,Base!$K$3:$K$5001,"&lt;&gt;")=0,"",SUMIFS(Base!$K$3:$K$5001,Base!$A$3:$A$5001,W$3,Base!$B$3:$B$5001,$A$23)))</f>
        <v/>
      </c>
      <c r="X31" s="79" t="str">
        <f>IF(X$3="","",IF(COUNTIFS(Base!$A$3:$A$5001,X$3,Base!$B$3:$B$5001,$A$23,Base!$K$3:$K$5001,"&lt;&gt;")=0,"",SUMIFS(Base!$K$3:$K$5001,Base!$A$3:$A$5001,X$3,Base!$B$3:$B$5001,$A$23)))</f>
        <v/>
      </c>
      <c r="Y31" s="79" t="str">
        <f>IF(Y$3="","",IF(COUNTIFS(Base!$A$3:$A$5001,Y$3,Base!$B$3:$B$5001,$A$23,Base!$K$3:$K$5001,"&lt;&gt;")=0,"",SUMIFS(Base!$K$3:$K$5001,Base!$A$3:$A$5001,Y$3,Base!$B$3:$B$5001,$A$23)))</f>
        <v/>
      </c>
      <c r="Z31" s="79" t="str">
        <f>IF(Z$3="","",IF(COUNTIFS(Base!$A$3:$A$5001,Z$3,Base!$B$3:$B$5001,$A$23,Base!$K$3:$K$5001,"&lt;&gt;")=0,"",SUMIFS(Base!$K$3:$K$5001,Base!$A$3:$A$5001,Z$3,Base!$B$3:$B$5001,$A$23)))</f>
        <v/>
      </c>
      <c r="AA31" s="79" t="str">
        <f>IF(AA$3="","",IF(COUNTIFS(Base!$A$3:$A$5001,AA$3,Base!$B$3:$B$5001,$A$23,Base!$K$3:$K$5001,"&lt;&gt;")=0,"",SUMIFS(Base!$K$3:$K$5001,Base!$A$3:$A$5001,AA$3,Base!$B$3:$B$5001,$A$23)))</f>
        <v/>
      </c>
      <c r="AB31" s="79" t="str">
        <f>IF(AB$3="","",IF(COUNTIFS(Base!$A$3:$A$5001,AB$3,Base!$B$3:$B$5001,$A$23,Base!$K$3:$K$5001,"&lt;&gt;")=0,"",SUMIFS(Base!$K$3:$K$5001,Base!$A$3:$A$5001,AB$3,Base!$B$3:$B$5001,$A$23)))</f>
        <v/>
      </c>
      <c r="AC31" s="79" t="str">
        <f>IF(AC$3="","",IF(COUNTIFS(Base!$A$3:$A$5001,AC$3,Base!$B$3:$B$5001,$A$23,Base!$K$3:$K$5001,"&lt;&gt;")=0,"",SUMIFS(Base!$K$3:$K$5001,Base!$A$3:$A$5001,AC$3,Base!$B$3:$B$5001,$A$23)))</f>
        <v/>
      </c>
      <c r="AD31" s="79" t="str">
        <f>IF(AD$3="","",IF(COUNTIFS(Base!$A$3:$A$5001,AD$3,Base!$B$3:$B$5001,$A$23,Base!$K$3:$K$5001,"&lt;&gt;")=0,"",SUMIFS(Base!$K$3:$K$5001,Base!$A$3:$A$5001,AD$3,Base!$B$3:$B$5001,$A$23)))</f>
        <v/>
      </c>
      <c r="AE31" s="79" t="str">
        <f>IF(AE$3="","",IF(COUNTIFS(Base!$A$3:$A$5001,AE$3,Base!$B$3:$B$5001,$A$23,Base!$K$3:$K$5001,"&lt;&gt;")=0,"",SUMIFS(Base!$K$3:$K$5001,Base!$A$3:$A$5001,AE$3,Base!$B$3:$B$5001,$A$23)))</f>
        <v/>
      </c>
      <c r="AF31" s="79" t="str">
        <f>IF(AF$3="","",IF(COUNTIFS(Base!$A$3:$A$5001,AF$3,Base!$B$3:$B$5001,$A$23,Base!$K$3:$K$5001,"&lt;&gt;")=0,"",SUMIFS(Base!$K$3:$K$5001,Base!$A$3:$A$5001,AF$3,Base!$B$3:$B$5001,$A$23)))</f>
        <v/>
      </c>
      <c r="AG31" s="79" t="str">
        <f>IF(AG$3="","",IF(COUNTIFS(Base!$A$3:$A$5001,AG$3,Base!$B$3:$B$5001,$A$23,Base!$K$3:$K$5001,"&lt;&gt;")=0,"",SUMIFS(Base!$K$3:$K$5001,Base!$A$3:$A$5001,AG$3,Base!$B$3:$B$5001,$A$23)))</f>
        <v/>
      </c>
      <c r="AH31" s="79" t="str">
        <f>IF(AH$3="","",IF(COUNTIFS(Base!$A$3:$A$5001,AH$3,Base!$B$3:$B$5001,$A$23,Base!$K$3:$K$5001,"&lt;&gt;")=0,"",SUMIFS(Base!$K$3:$K$5001,Base!$A$3:$A$5001,AH$3,Base!$B$3:$B$5001,$A$23)))</f>
        <v/>
      </c>
      <c r="AI31" s="79" t="str">
        <f>IF(AI$3="","",IF(COUNTIFS(Base!$A$3:$A$5001,AI$3,Base!$B$3:$B$5001,$A$23,Base!$K$3:$K$5001,"&lt;&gt;")=0,"",SUMIFS(Base!$K$3:$K$5001,Base!$A$3:$A$5001,AI$3,Base!$B$3:$B$5001,$A$23)))</f>
        <v/>
      </c>
      <c r="AJ31" s="80" t="str">
        <f>IF(AJ$3="","",IF(COUNTIFS(Base!$A$3:$A$5001,AJ$3,Base!$B$3:$B$5001,$A$23,Base!$K$3:$K$5001,"&lt;&gt;")=0,"",SUMIFS(Base!$K$3:$K$5001,Base!$A$3:$A$5001,AJ$3,Base!$B$3:$B$5001,$A$23)))</f>
        <v/>
      </c>
      <c r="AK31" s="76" t="str">
        <f>IFERROR(LOOKUP(9.99E+307,F31:AJ31),"")</f>
        <v/>
      </c>
    </row>
    <row r="32" ht="15.75" customHeight="1">
      <c r="A32" s="118"/>
      <c r="B32" s="105" t="inlineStr">
        <is>
          <t xml:space="preserve">OCUPAÇÃO (P.P)</t>
        </is>
      </c>
      <c r="C32" s="21" t="inlineStr">
        <is>
          <t xml:space="preserve">Posições Disponíveis</t>
        </is>
      </c>
      <c r="D32" s="22"/>
      <c r="E32" s="23"/>
      <c r="F32" s="24">
        <f>IF(F$3="","",IF(COUNTIFS(Base!$A$3:$A$5001,F$3,Base!$B$3:$B$5001,$A$23,Base!$L$3:$L$5001,"&lt;&gt;")=0,"",SUMIFS(Base!$L$3:$L$5001,Base!$A$3:$A$5001,F$3,Base!$B$3:$B$5001,$A$23)))</f>
        <v>800</v>
      </c>
      <c r="G32" s="25">
        <f>IF(G$3="","",IF(COUNTIFS(Base!$A$3:$A$5001,G$3,Base!$B$3:$B$5001,$A$23,Base!$L$3:$L$5001,"&lt;&gt;")=0,"",SUMIFS(Base!$L$3:$L$5001,Base!$A$3:$A$5001,G$3,Base!$B$3:$B$5001,$A$23)))</f>
        <v>800</v>
      </c>
      <c r="H32" s="25">
        <f>IF(H$3="","",IF(COUNTIFS(Base!$A$3:$A$5001,H$3,Base!$B$3:$B$5001,$A$23,Base!$L$3:$L$5001,"&lt;&gt;")=0,"",SUMIFS(Base!$L$3:$L$5001,Base!$A$3:$A$5001,H$3,Base!$B$3:$B$5001,$A$23)))</f>
        <v>800</v>
      </c>
      <c r="I32" s="25">
        <f>IF(I$3="","",IF(COUNTIFS(Base!$A$3:$A$5001,I$3,Base!$B$3:$B$5001,$A$23,Base!$L$3:$L$5001,"&lt;&gt;")=0,"",SUMIFS(Base!$L$3:$L$5001,Base!$A$3:$A$5001,I$3,Base!$B$3:$B$5001,$A$23)))</f>
        <v>800</v>
      </c>
      <c r="J32" s="25" t="str">
        <f>IF(J$3="","",IF(COUNTIFS(Base!$A$3:$A$5001,J$3,Base!$B$3:$B$5001,$A$23,Base!$L$3:$L$5001,"&lt;&gt;")=0,"",SUMIFS(Base!$L$3:$L$5001,Base!$A$3:$A$5001,J$3,Base!$B$3:$B$5001,$A$23)))</f>
        <v/>
      </c>
      <c r="K32" s="25" t="str">
        <f>IF(K$3="","",IF(COUNTIFS(Base!$A$3:$A$5001,K$3,Base!$B$3:$B$5001,$A$23,Base!$L$3:$L$5001,"&lt;&gt;")=0,"",SUMIFS(Base!$L$3:$L$5001,Base!$A$3:$A$5001,K$3,Base!$B$3:$B$5001,$A$23)))</f>
        <v/>
      </c>
      <c r="L32" s="25">
        <f>IF(L$3="","",IF(COUNTIFS(Base!$A$3:$A$5001,L$3,Base!$B$3:$B$5001,$A$23,Base!$L$3:$L$5001,"&lt;&gt;")=0,"",SUMIFS(Base!$L$3:$L$5001,Base!$A$3:$A$5001,L$3,Base!$B$3:$B$5001,$A$23)))</f>
        <v>800</v>
      </c>
      <c r="M32" s="25">
        <f>IF(M$3="","",IF(COUNTIFS(Base!$A$3:$A$5001,M$3,Base!$B$3:$B$5001,$A$23,Base!$L$3:$L$5001,"&lt;&gt;")=0,"",SUMIFS(Base!$L$3:$L$5001,Base!$A$3:$A$5001,M$3,Base!$B$3:$B$5001,$A$23)))</f>
        <v>800</v>
      </c>
      <c r="N32" s="25">
        <f>IF(N$3="","",IF(COUNTIFS(Base!$A$3:$A$5001,N$3,Base!$B$3:$B$5001,$A$23,Base!$L$3:$L$5001,"&lt;&gt;")=0,"",SUMIFS(Base!$L$3:$L$5001,Base!$A$3:$A$5001,N$3,Base!$B$3:$B$5001,$A$23)))</f>
        <v>800</v>
      </c>
      <c r="O32" s="25">
        <f>IF(O$3="","",IF(COUNTIFS(Base!$A$3:$A$5001,O$3,Base!$B$3:$B$5001,$A$23,Base!$L$3:$L$5001,"&lt;&gt;")=0,"",SUMIFS(Base!$L$3:$L$5001,Base!$A$3:$A$5001,O$3,Base!$B$3:$B$5001,$A$23)))</f>
        <v>800</v>
      </c>
      <c r="P32" s="25">
        <f>IF(P$3="","",IF(COUNTIFS(Base!$A$3:$A$5001,P$3,Base!$B$3:$B$5001,$A$23,Base!$L$3:$L$5001,"&lt;&gt;")=0,"",SUMIFS(Base!$L$3:$L$5001,Base!$A$3:$A$5001,P$3,Base!$B$3:$B$5001,$A$23)))</f>
        <v>800</v>
      </c>
      <c r="Q32" s="25" t="str">
        <f>IF(Q$3="","",IF(COUNTIFS(Base!$A$3:$A$5001,Q$3,Base!$B$3:$B$5001,$A$23,Base!$L$3:$L$5001,"&lt;&gt;")=0,"",SUMIFS(Base!$L$3:$L$5001,Base!$A$3:$A$5001,Q$3,Base!$B$3:$B$5001,$A$23)))</f>
        <v/>
      </c>
      <c r="R32" s="25" t="str">
        <f>IF(R$3="","",IF(COUNTIFS(Base!$A$3:$A$5001,R$3,Base!$B$3:$B$5001,$A$23,Base!$L$3:$L$5001,"&lt;&gt;")=0,"",SUMIFS(Base!$L$3:$L$5001,Base!$A$3:$A$5001,R$3,Base!$B$3:$B$5001,$A$23)))</f>
        <v/>
      </c>
      <c r="S32" s="25">
        <f>IF(S$3="","",IF(COUNTIFS(Base!$A$3:$A$5001,S$3,Base!$B$3:$B$5001,$A$23,Base!$L$3:$L$5001,"&lt;&gt;")=0,"",SUMIFS(Base!$L$3:$L$5001,Base!$A$3:$A$5001,S$3,Base!$B$3:$B$5001,$A$23)))</f>
        <v>800</v>
      </c>
      <c r="T32" s="25">
        <f>IF(T$3="","",IF(COUNTIFS(Base!$A$3:$A$5001,T$3,Base!$B$3:$B$5001,$A$23,Base!$L$3:$L$5001,"&lt;&gt;")=0,"",SUMIFS(Base!$L$3:$L$5001,Base!$A$3:$A$5001,T$3,Base!$B$3:$B$5001,$A$23)))</f>
        <v>800</v>
      </c>
      <c r="U32" s="25">
        <f>IF(U$3="","",IF(COUNTIFS(Base!$A$3:$A$5001,U$3,Base!$B$3:$B$5001,$A$23,Base!$L$3:$L$5001,"&lt;&gt;")=0,"",SUMIFS(Base!$L$3:$L$5001,Base!$A$3:$A$5001,U$3,Base!$B$3:$B$5001,$A$23)))</f>
        <v>800</v>
      </c>
      <c r="V32" s="25">
        <f>IF(V$3="","",IF(COUNTIFS(Base!$A$3:$A$5001,V$3,Base!$B$3:$B$5001,$A$23,Base!$L$3:$L$5001,"&lt;&gt;")=0,"",SUMIFS(Base!$L$3:$L$5001,Base!$A$3:$A$5001,V$3,Base!$B$3:$B$5001,$A$23)))</f>
        <v>800</v>
      </c>
      <c r="W32" s="25">
        <f>IF(W$3="","",IF(COUNTIFS(Base!$A$3:$A$5001,W$3,Base!$B$3:$B$5001,$A$23,Base!$L$3:$L$5001,"&lt;&gt;")=0,"",SUMIFS(Base!$L$3:$L$5001,Base!$A$3:$A$5001,W$3,Base!$B$3:$B$5001,$A$23)))</f>
        <v>800</v>
      </c>
      <c r="X32" s="25" t="str">
        <f>IF(X$3="","",IF(COUNTIFS(Base!$A$3:$A$5001,X$3,Base!$B$3:$B$5001,$A$23,Base!$L$3:$L$5001,"&lt;&gt;")=0,"",SUMIFS(Base!$L$3:$L$5001,Base!$A$3:$A$5001,X$3,Base!$B$3:$B$5001,$A$23)))</f>
        <v/>
      </c>
      <c r="Y32" s="25" t="str">
        <f>IF(Y$3="","",IF(COUNTIFS(Base!$A$3:$A$5001,Y$3,Base!$B$3:$B$5001,$A$23,Base!$L$3:$L$5001,"&lt;&gt;")=0,"",SUMIFS(Base!$L$3:$L$5001,Base!$A$3:$A$5001,Y$3,Base!$B$3:$B$5001,$A$23)))</f>
        <v/>
      </c>
      <c r="Z32" s="25">
        <f>IF(Z$3="","",IF(COUNTIFS(Base!$A$3:$A$5001,Z$3,Base!$B$3:$B$5001,$A$23,Base!$L$3:$L$5001,"&lt;&gt;")=0,"",SUMIFS(Base!$L$3:$L$5001,Base!$A$3:$A$5001,Z$3,Base!$B$3:$B$5001,$A$23)))</f>
        <v>800</v>
      </c>
      <c r="AA32" s="25">
        <f>IF(AA$3="","",IF(COUNTIFS(Base!$A$3:$A$5001,AA$3,Base!$B$3:$B$5001,$A$23,Base!$L$3:$L$5001,"&lt;&gt;")=0,"",SUMIFS(Base!$L$3:$L$5001,Base!$A$3:$A$5001,AA$3,Base!$B$3:$B$5001,$A$23)))</f>
        <v>800</v>
      </c>
      <c r="AB32" s="25">
        <f>IF(AB$3="","",IF(COUNTIFS(Base!$A$3:$A$5001,AB$3,Base!$B$3:$B$5001,$A$23,Base!$L$3:$L$5001,"&lt;&gt;")=0,"",SUMIFS(Base!$L$3:$L$5001,Base!$A$3:$A$5001,AB$3,Base!$B$3:$B$5001,$A$23)))</f>
        <v>800</v>
      </c>
      <c r="AC32" s="25">
        <f>IF(AC$3="","",IF(COUNTIFS(Base!$A$3:$A$5001,AC$3,Base!$B$3:$B$5001,$A$23,Base!$L$3:$L$5001,"&lt;&gt;")=0,"",SUMIFS(Base!$L$3:$L$5001,Base!$A$3:$A$5001,AC$3,Base!$B$3:$B$5001,$A$23)))</f>
        <v>800</v>
      </c>
      <c r="AD32" s="25">
        <f>IF(AD$3="","",IF(COUNTIFS(Base!$A$3:$A$5001,AD$3,Base!$B$3:$B$5001,$A$23,Base!$L$3:$L$5001,"&lt;&gt;")=0,"",SUMIFS(Base!$L$3:$L$5001,Base!$A$3:$A$5001,AD$3,Base!$B$3:$B$5001,$A$23)))</f>
        <v>800</v>
      </c>
      <c r="AE32" s="25" t="str">
        <f>IF(AE$3="","",IF(COUNTIFS(Base!$A$3:$A$5001,AE$3,Base!$B$3:$B$5001,$A$23,Base!$L$3:$L$5001,"&lt;&gt;")=0,"",SUMIFS(Base!$L$3:$L$5001,Base!$A$3:$A$5001,AE$3,Base!$B$3:$B$5001,$A$23)))</f>
        <v/>
      </c>
      <c r="AF32" s="25" t="str">
        <f>IF(AF$3="","",IF(COUNTIFS(Base!$A$3:$A$5001,AF$3,Base!$B$3:$B$5001,$A$23,Base!$L$3:$L$5001,"&lt;&gt;")=0,"",SUMIFS(Base!$L$3:$L$5001,Base!$A$3:$A$5001,AF$3,Base!$B$3:$B$5001,$A$23)))</f>
        <v/>
      </c>
      <c r="AG32" s="25">
        <f>IF(AG$3="","",IF(COUNTIFS(Base!$A$3:$A$5001,AG$3,Base!$B$3:$B$5001,$A$23,Base!$L$3:$L$5001,"&lt;&gt;")=0,"",SUMIFS(Base!$L$3:$L$5001,Base!$A$3:$A$5001,AG$3,Base!$B$3:$B$5001,$A$23)))</f>
        <v>800</v>
      </c>
      <c r="AH32" s="25">
        <f>IF(AH$3="","",IF(COUNTIFS(Base!$A$3:$A$5001,AH$3,Base!$B$3:$B$5001,$A$23,Base!$L$3:$L$5001,"&lt;&gt;")=0,"",SUMIFS(Base!$L$3:$L$5001,Base!$A$3:$A$5001,AH$3,Base!$B$3:$B$5001,$A$23)))</f>
        <v>800</v>
      </c>
      <c r="AI32" s="25" t="str">
        <f>IF(AI$3="","",IF(COUNTIFS(Base!$A$3:$A$5001,AI$3,Base!$B$3:$B$5001,$A$23,Base!$L$3:$L$5001,"&lt;&gt;")=0,"",SUMIFS(Base!$L$3:$L$5001,Base!$A$3:$A$5001,AI$3,Base!$B$3:$B$5001,$A$23)))</f>
        <v/>
      </c>
      <c r="AJ32" s="26" t="str">
        <f>IF(AJ$3="","",IF(COUNTIFS(Base!$A$3:$A$5001,AJ$3,Base!$B$3:$B$5001,$A$23,Base!$L$3:$L$5001,"&lt;&gt;")=0,"",SUMIFS(Base!$L$3:$L$5001,Base!$A$3:$A$5001,AJ$3,Base!$B$3:$B$5001,$A$23)))</f>
        <v/>
      </c>
      <c r="AK32" s="27">
        <f>IFERROR(LOOKUP(9.99E+307,F32:AJ32),"")</f>
        <v>800</v>
      </c>
    </row>
    <row r="33" ht="15.75" customHeight="1">
      <c r="A33" s="118"/>
      <c r="B33" s="106"/>
      <c r="C33" s="28" t="inlineStr">
        <is>
          <t xml:space="preserve">Posições Ocupadas</t>
        </is>
      </c>
      <c r="D33" s="29"/>
      <c r="E33" s="30"/>
      <c r="F33" s="31">
        <f>IF(F$3="","",IF(COUNTIFS(Base!$A$3:$A$5001,F$3,Base!$B$3:$B$5001,$A$23,Base!$M$3:$M$5001,"&lt;&gt;")=0,"",SUMIFS(Base!$M$3:$M$5001,Base!$A$3:$A$5001,F$3,Base!$B$3:$B$5001,$A$23)))</f>
        <v>517</v>
      </c>
      <c r="G33" s="32">
        <f>IF(G$3="","",IF(COUNTIFS(Base!$A$3:$A$5001,G$3,Base!$B$3:$B$5001,$A$23,Base!$M$3:$M$5001,"&lt;&gt;")=0,"",SUMIFS(Base!$M$3:$M$5001,Base!$A$3:$A$5001,G$3,Base!$B$3:$B$5001,$A$23)))</f>
        <v>633</v>
      </c>
      <c r="H33" s="32">
        <f>IF(H$3="","",IF(COUNTIFS(Base!$A$3:$A$5001,H$3,Base!$B$3:$B$5001,$A$23,Base!$M$3:$M$5001,"&lt;&gt;")=0,"",SUMIFS(Base!$M$3:$M$5001,Base!$A$3:$A$5001,H$3,Base!$B$3:$B$5001,$A$23)))</f>
        <v>598</v>
      </c>
      <c r="I33" s="32">
        <f>IF(I$3="","",IF(COUNTIFS(Base!$A$3:$A$5001,I$3,Base!$B$3:$B$5001,$A$23,Base!$M$3:$M$5001,"&lt;&gt;")=0,"",SUMIFS(Base!$M$3:$M$5001,Base!$A$3:$A$5001,I$3,Base!$B$3:$B$5001,$A$23)))</f>
        <v>617</v>
      </c>
      <c r="J33" s="32" t="str">
        <f>IF(J$3="","",IF(COUNTIFS(Base!$A$3:$A$5001,J$3,Base!$B$3:$B$5001,$A$23,Base!$M$3:$M$5001,"&lt;&gt;")=0,"",SUMIFS(Base!$M$3:$M$5001,Base!$A$3:$A$5001,J$3,Base!$B$3:$B$5001,$A$23)))</f>
        <v/>
      </c>
      <c r="K33" s="32" t="str">
        <f>IF(K$3="","",IF(COUNTIFS(Base!$A$3:$A$5001,K$3,Base!$B$3:$B$5001,$A$23,Base!$M$3:$M$5001,"&lt;&gt;")=0,"",SUMIFS(Base!$M$3:$M$5001,Base!$A$3:$A$5001,K$3,Base!$B$3:$B$5001,$A$23)))</f>
        <v/>
      </c>
      <c r="L33" s="32">
        <f>IF(L$3="","",IF(COUNTIFS(Base!$A$3:$A$5001,L$3,Base!$B$3:$B$5001,$A$23,Base!$M$3:$M$5001,"&lt;&gt;")=0,"",SUMIFS(Base!$M$3:$M$5001,Base!$A$3:$A$5001,L$3,Base!$B$3:$B$5001,$A$23)))</f>
        <v>666</v>
      </c>
      <c r="M33" s="32">
        <f>IF(M$3="","",IF(COUNTIFS(Base!$A$3:$A$5001,M$3,Base!$B$3:$B$5001,$A$23,Base!$M$3:$M$5001,"&lt;&gt;")=0,"",SUMIFS(Base!$M$3:$M$5001,Base!$A$3:$A$5001,M$3,Base!$B$3:$B$5001,$A$23)))</f>
        <v>503</v>
      </c>
      <c r="N33" s="32">
        <f>IF(N$3="","",IF(COUNTIFS(Base!$A$3:$A$5001,N$3,Base!$B$3:$B$5001,$A$23,Base!$M$3:$M$5001,"&lt;&gt;")=0,"",SUMIFS(Base!$M$3:$M$5001,Base!$A$3:$A$5001,N$3,Base!$B$3:$B$5001,$A$23)))</f>
        <v>669</v>
      </c>
      <c r="O33" s="32">
        <f>IF(O$3="","",IF(COUNTIFS(Base!$A$3:$A$5001,O$3,Base!$B$3:$B$5001,$A$23,Base!$M$3:$M$5001,"&lt;&gt;")=0,"",SUMIFS(Base!$M$3:$M$5001,Base!$A$3:$A$5001,O$3,Base!$B$3:$B$5001,$A$23)))</f>
        <v>527</v>
      </c>
      <c r="P33" s="32">
        <f>IF(P$3="","",IF(COUNTIFS(Base!$A$3:$A$5001,P$3,Base!$B$3:$B$5001,$A$23,Base!$M$3:$M$5001,"&lt;&gt;")=0,"",SUMIFS(Base!$M$3:$M$5001,Base!$A$3:$A$5001,P$3,Base!$B$3:$B$5001,$A$23)))</f>
        <v>526</v>
      </c>
      <c r="Q33" s="32" t="str">
        <f>IF(Q$3="","",IF(COUNTIFS(Base!$A$3:$A$5001,Q$3,Base!$B$3:$B$5001,$A$23,Base!$M$3:$M$5001,"&lt;&gt;")=0,"",SUMIFS(Base!$M$3:$M$5001,Base!$A$3:$A$5001,Q$3,Base!$B$3:$B$5001,$A$23)))</f>
        <v/>
      </c>
      <c r="R33" s="32" t="str">
        <f>IF(R$3="","",IF(COUNTIFS(Base!$A$3:$A$5001,R$3,Base!$B$3:$B$5001,$A$23,Base!$M$3:$M$5001,"&lt;&gt;")=0,"",SUMIFS(Base!$M$3:$M$5001,Base!$A$3:$A$5001,R$3,Base!$B$3:$B$5001,$A$23)))</f>
        <v/>
      </c>
      <c r="S33" s="32">
        <f>IF(S$3="","",IF(COUNTIFS(Base!$A$3:$A$5001,S$3,Base!$B$3:$B$5001,$A$23,Base!$M$3:$M$5001,"&lt;&gt;")=0,"",SUMIFS(Base!$M$3:$M$5001,Base!$A$3:$A$5001,S$3,Base!$B$3:$B$5001,$A$23)))</f>
        <v>683</v>
      </c>
      <c r="T33" s="32">
        <f>IF(T$3="","",IF(COUNTIFS(Base!$A$3:$A$5001,T$3,Base!$B$3:$B$5001,$A$23,Base!$M$3:$M$5001,"&lt;&gt;")=0,"",SUMIFS(Base!$M$3:$M$5001,Base!$A$3:$A$5001,T$3,Base!$B$3:$B$5001,$A$23)))</f>
        <v>759</v>
      </c>
      <c r="U33" s="32">
        <f>IF(U$3="","",IF(COUNTIFS(Base!$A$3:$A$5001,U$3,Base!$B$3:$B$5001,$A$23,Base!$M$3:$M$5001,"&lt;&gt;")=0,"",SUMIFS(Base!$M$3:$M$5001,Base!$A$3:$A$5001,U$3,Base!$B$3:$B$5001,$A$23)))</f>
        <v>697</v>
      </c>
      <c r="V33" s="32">
        <f>IF(V$3="","",IF(COUNTIFS(Base!$A$3:$A$5001,V$3,Base!$B$3:$B$5001,$A$23,Base!$M$3:$M$5001,"&lt;&gt;")=0,"",SUMIFS(Base!$M$3:$M$5001,Base!$A$3:$A$5001,V$3,Base!$B$3:$B$5001,$A$23)))</f>
        <v>650</v>
      </c>
      <c r="W33" s="32">
        <f>IF(W$3="","",IF(COUNTIFS(Base!$A$3:$A$5001,W$3,Base!$B$3:$B$5001,$A$23,Base!$M$3:$M$5001,"&lt;&gt;")=0,"",SUMIFS(Base!$M$3:$M$5001,Base!$A$3:$A$5001,W$3,Base!$B$3:$B$5001,$A$23)))</f>
        <v>518</v>
      </c>
      <c r="X33" s="32" t="str">
        <f>IF(X$3="","",IF(COUNTIFS(Base!$A$3:$A$5001,X$3,Base!$B$3:$B$5001,$A$23,Base!$M$3:$M$5001,"&lt;&gt;")=0,"",SUMIFS(Base!$M$3:$M$5001,Base!$A$3:$A$5001,X$3,Base!$B$3:$B$5001,$A$23)))</f>
        <v/>
      </c>
      <c r="Y33" s="32" t="str">
        <f>IF(Y$3="","",IF(COUNTIFS(Base!$A$3:$A$5001,Y$3,Base!$B$3:$B$5001,$A$23,Base!$M$3:$M$5001,"&lt;&gt;")=0,"",SUMIFS(Base!$M$3:$M$5001,Base!$A$3:$A$5001,Y$3,Base!$B$3:$B$5001,$A$23)))</f>
        <v/>
      </c>
      <c r="Z33" s="32">
        <f>IF(Z$3="","",IF(COUNTIFS(Base!$A$3:$A$5001,Z$3,Base!$B$3:$B$5001,$A$23,Base!$M$3:$M$5001,"&lt;&gt;")=0,"",SUMIFS(Base!$M$3:$M$5001,Base!$A$3:$A$5001,Z$3,Base!$B$3:$B$5001,$A$23)))</f>
        <v>723</v>
      </c>
      <c r="AA33" s="32">
        <f>IF(AA$3="","",IF(COUNTIFS(Base!$A$3:$A$5001,AA$3,Base!$B$3:$B$5001,$A$23,Base!$M$3:$M$5001,"&lt;&gt;")=0,"",SUMIFS(Base!$M$3:$M$5001,Base!$A$3:$A$5001,AA$3,Base!$B$3:$B$5001,$A$23)))</f>
        <v>575</v>
      </c>
      <c r="AB33" s="32">
        <f>IF(AB$3="","",IF(COUNTIFS(Base!$A$3:$A$5001,AB$3,Base!$B$3:$B$5001,$A$23,Base!$M$3:$M$5001,"&lt;&gt;")=0,"",SUMIFS(Base!$M$3:$M$5001,Base!$A$3:$A$5001,AB$3,Base!$B$3:$B$5001,$A$23)))</f>
        <v>725</v>
      </c>
      <c r="AC33" s="32">
        <f>IF(AC$3="","",IF(COUNTIFS(Base!$A$3:$A$5001,AC$3,Base!$B$3:$B$5001,$A$23,Base!$M$3:$M$5001,"&lt;&gt;")=0,"",SUMIFS(Base!$M$3:$M$5001,Base!$A$3:$A$5001,AC$3,Base!$B$3:$B$5001,$A$23)))</f>
        <v>727</v>
      </c>
      <c r="AD33" s="32">
        <f>IF(AD$3="","",IF(COUNTIFS(Base!$A$3:$A$5001,AD$3,Base!$B$3:$B$5001,$A$23,Base!$M$3:$M$5001,"&lt;&gt;")=0,"",SUMIFS(Base!$M$3:$M$5001,Base!$A$3:$A$5001,AD$3,Base!$B$3:$B$5001,$A$23)))</f>
        <v>675</v>
      </c>
      <c r="AE33" s="32" t="str">
        <f>IF(AE$3="","",IF(COUNTIFS(Base!$A$3:$A$5001,AE$3,Base!$B$3:$B$5001,$A$23,Base!$M$3:$M$5001,"&lt;&gt;")=0,"",SUMIFS(Base!$M$3:$M$5001,Base!$A$3:$A$5001,AE$3,Base!$B$3:$B$5001,$A$23)))</f>
        <v/>
      </c>
      <c r="AF33" s="32" t="str">
        <f>IF(AF$3="","",IF(COUNTIFS(Base!$A$3:$A$5001,AF$3,Base!$B$3:$B$5001,$A$23,Base!$M$3:$M$5001,"&lt;&gt;")=0,"",SUMIFS(Base!$M$3:$M$5001,Base!$A$3:$A$5001,AF$3,Base!$B$3:$B$5001,$A$23)))</f>
        <v/>
      </c>
      <c r="AG33" s="32">
        <f>IF(AG$3="","",IF(COUNTIFS(Base!$A$3:$A$5001,AG$3,Base!$B$3:$B$5001,$A$23,Base!$M$3:$M$5001,"&lt;&gt;")=0,"",SUMIFS(Base!$M$3:$M$5001,Base!$A$3:$A$5001,AG$3,Base!$B$3:$B$5001,$A$23)))</f>
        <v>588</v>
      </c>
      <c r="AH33" s="32">
        <f>IF(AH$3="","",IF(COUNTIFS(Base!$A$3:$A$5001,AH$3,Base!$B$3:$B$5001,$A$23,Base!$M$3:$M$5001,"&lt;&gt;")=0,"",SUMIFS(Base!$M$3:$M$5001,Base!$A$3:$A$5001,AH$3,Base!$B$3:$B$5001,$A$23)))</f>
        <v>565</v>
      </c>
      <c r="AI33" s="32" t="str">
        <f>IF(AI$3="","",IF(COUNTIFS(Base!$A$3:$A$5001,AI$3,Base!$B$3:$B$5001,$A$23,Base!$M$3:$M$5001,"&lt;&gt;")=0,"",SUMIFS(Base!$M$3:$M$5001,Base!$A$3:$A$5001,AI$3,Base!$B$3:$B$5001,$A$23)))</f>
        <v/>
      </c>
      <c r="AJ33" s="33" t="str">
        <f>IF(AJ$3="","",IF(COUNTIFS(Base!$A$3:$A$5001,AJ$3,Base!$B$3:$B$5001,$A$23,Base!$M$3:$M$5001,"&lt;&gt;")=0,"",SUMIFS(Base!$M$3:$M$5001,Base!$A$3:$A$5001,AJ$3,Base!$B$3:$B$5001,$A$23)))</f>
        <v/>
      </c>
      <c r="AK33" s="34">
        <f>IFERROR(LOOKUP(9.99E+307,F33:AJ33),"")</f>
        <v>565</v>
      </c>
    </row>
    <row r="34" ht="15.75" customHeight="1">
      <c r="A34" s="118"/>
      <c r="B34" s="107"/>
      <c r="C34" s="35" t="inlineStr">
        <is>
          <t xml:space="preserve">Taxa de Ocupação</t>
        </is>
      </c>
      <c r="D34" s="81"/>
      <c r="E34" s="37"/>
      <c r="F34" s="82">
        <f>IF(AND(ISNUMBER(F32),ISNUMBER(F33)),IF(F32&gt;0,F33/F32,""),"")</f>
        <v>0.64625</v>
      </c>
      <c r="G34" s="83">
        <f>IF(AND(ISNUMBER(G32),ISNUMBER(G33)),IF(G32&gt;0,G33/G32,""),"")</f>
        <v>0.79125</v>
      </c>
      <c r="H34" s="83">
        <f>IF(AND(ISNUMBER(H32),ISNUMBER(H33)),IF(H32&gt;0,H33/H32,""),"")</f>
        <v>0.7475</v>
      </c>
      <c r="I34" s="83">
        <f>IF(AND(ISNUMBER(I32),ISNUMBER(I33)),IF(I32&gt;0,I33/I32,""),"")</f>
        <v>0.77125</v>
      </c>
      <c r="J34" s="83" t="str">
        <f>IF(AND(ISNUMBER(J32),ISNUMBER(J33)),IF(J32&gt;0,J33/J32,""),"")</f>
        <v/>
      </c>
      <c r="K34" s="83" t="str">
        <f>IF(AND(ISNUMBER(K32),ISNUMBER(K33)),IF(K32&gt;0,K33/K32,""),"")</f>
        <v/>
      </c>
      <c r="L34" s="83">
        <f>IF(AND(ISNUMBER(L32),ISNUMBER(L33)),IF(L32&gt;0,L33/L32,""),"")</f>
        <v>0.8325</v>
      </c>
      <c r="M34" s="83">
        <f>IF(AND(ISNUMBER(M32),ISNUMBER(M33)),IF(M32&gt;0,M33/M32,""),"")</f>
        <v>0.62875</v>
      </c>
      <c r="N34" s="83">
        <f>IF(AND(ISNUMBER(N32),ISNUMBER(N33)),IF(N32&gt;0,N33/N32,""),"")</f>
        <v>0.83625</v>
      </c>
      <c r="O34" s="83">
        <f>IF(AND(ISNUMBER(O32),ISNUMBER(O33)),IF(O32&gt;0,O33/O32,""),"")</f>
        <v>0.65875</v>
      </c>
      <c r="P34" s="83">
        <f>IF(AND(ISNUMBER(P32),ISNUMBER(P33)),IF(P32&gt;0,P33/P32,""),"")</f>
        <v>0.6575</v>
      </c>
      <c r="Q34" s="83" t="str">
        <f>IF(AND(ISNUMBER(Q32),ISNUMBER(Q33)),IF(Q32&gt;0,Q33/Q32,""),"")</f>
        <v/>
      </c>
      <c r="R34" s="83" t="str">
        <f>IF(AND(ISNUMBER(R32),ISNUMBER(R33)),IF(R32&gt;0,R33/R32,""),"")</f>
        <v/>
      </c>
      <c r="S34" s="83">
        <f>IF(AND(ISNUMBER(S32),ISNUMBER(S33)),IF(S32&gt;0,S33/S32,""),"")</f>
        <v>0.85375</v>
      </c>
      <c r="T34" s="83">
        <f>IF(AND(ISNUMBER(T32),ISNUMBER(T33)),IF(T32&gt;0,T33/T32,""),"")</f>
        <v>0.94875</v>
      </c>
      <c r="U34" s="83">
        <f>IF(AND(ISNUMBER(U32),ISNUMBER(U33)),IF(U32&gt;0,U33/U32,""),"")</f>
        <v>0.87125</v>
      </c>
      <c r="V34" s="83">
        <f>IF(AND(ISNUMBER(V32),ISNUMBER(V33)),IF(V32&gt;0,V33/V32,""),"")</f>
        <v>0.8125</v>
      </c>
      <c r="W34" s="83">
        <f>IF(AND(ISNUMBER(W32),ISNUMBER(W33)),IF(W32&gt;0,W33/W32,""),"")</f>
        <v>0.6475</v>
      </c>
      <c r="X34" s="83" t="str">
        <f>IF(AND(ISNUMBER(X32),ISNUMBER(X33)),IF(X32&gt;0,X33/X32,""),"")</f>
        <v/>
      </c>
      <c r="Y34" s="83" t="str">
        <f>IF(AND(ISNUMBER(Y32),ISNUMBER(Y33)),IF(Y32&gt;0,Y33/Y32,""),"")</f>
        <v/>
      </c>
      <c r="Z34" s="83">
        <f>IF(AND(ISNUMBER(Z32),ISNUMBER(Z33)),IF(Z32&gt;0,Z33/Z32,""),"")</f>
        <v>0.90375</v>
      </c>
      <c r="AA34" s="83">
        <f>IF(AND(ISNUMBER(AA32),ISNUMBER(AA33)),IF(AA32&gt;0,AA33/AA32,""),"")</f>
        <v>0.71875</v>
      </c>
      <c r="AB34" s="83">
        <f>IF(AND(ISNUMBER(AB32),ISNUMBER(AB33)),IF(AB32&gt;0,AB33/AB32,""),"")</f>
        <v>0.90625</v>
      </c>
      <c r="AC34" s="83">
        <f>IF(AND(ISNUMBER(AC32),ISNUMBER(AC33)),IF(AC32&gt;0,AC33/AC32,""),"")</f>
        <v>0.90875</v>
      </c>
      <c r="AD34" s="83">
        <f>IF(AND(ISNUMBER(AD32),ISNUMBER(AD33)),IF(AD32&gt;0,AD33/AD32,""),"")</f>
        <v>0.84375</v>
      </c>
      <c r="AE34" s="83" t="str">
        <f>IF(AND(ISNUMBER(AE32),ISNUMBER(AE33)),IF(AE32&gt;0,AE33/AE32,""),"")</f>
        <v/>
      </c>
      <c r="AF34" s="83" t="str">
        <f>IF(AND(ISNUMBER(AF32),ISNUMBER(AF33)),IF(AF32&gt;0,AF33/AF32,""),"")</f>
        <v/>
      </c>
      <c r="AG34" s="83">
        <f>IF(AND(ISNUMBER(AG32),ISNUMBER(AG33)),IF(AG32&gt;0,AG33/AG32,""),"")</f>
        <v>0.735</v>
      </c>
      <c r="AH34" s="83">
        <f>IF(AND(ISNUMBER(AH32),ISNUMBER(AH33)),IF(AH32&gt;0,AH33/AH32,""),"")</f>
        <v>0.70625</v>
      </c>
      <c r="AI34" s="83" t="str">
        <f>IF(AND(ISNUMBER(AI32),ISNUMBER(AI33)),IF(AI32&gt;0,AI33/AI32,""),"")</f>
        <v/>
      </c>
      <c r="AJ34" s="84" t="str">
        <f>IF(AND(ISNUMBER(AJ32),ISNUMBER(AJ33)),IF(AJ32&gt;0,AJ33/AJ32,""),"")</f>
        <v/>
      </c>
      <c r="AK34" s="81">
        <f>IF(AND(ISNUMBER(AK32),ISNUMBER(AK33)),IF(AK32&gt;0,AK33/AK32,""),"")</f>
        <v>0.70625</v>
      </c>
    </row>
    <row r="35" ht="15.75" customHeight="1">
      <c r="A35" s="118"/>
      <c r="B35" s="114" t="inlineStr">
        <is>
          <t xml:space="preserve">GENTE</t>
        </is>
      </c>
      <c r="C35" s="85" t="inlineStr">
        <is>
          <t xml:space="preserve">Efetivo Op.</t>
        </is>
      </c>
      <c r="D35" s="86"/>
      <c r="E35" s="87"/>
      <c r="F35" s="88">
        <f>IF(F$3="","",IF(COUNTIFS(Base!$A$3:$A$5001,F$3,Base!$B$3:$B$5001,$A$23,Base!$N$3:$N$5001,"&lt;&gt;")=0,"",SUMIFS(Base!$N$3:$N$5001,Base!$A$3:$A$5001,F$3,Base!$B$3:$B$5001,$A$23)))</f>
        <v>9</v>
      </c>
      <c r="G35" s="89">
        <f>IF(G$3="","",IF(COUNTIFS(Base!$A$3:$A$5001,G$3,Base!$B$3:$B$5001,$A$23,Base!$N$3:$N$5001,"&lt;&gt;")=0,"",SUMIFS(Base!$N$3:$N$5001,Base!$A$3:$A$5001,G$3,Base!$B$3:$B$5001,$A$23)))</f>
        <v>6</v>
      </c>
      <c r="H35" s="89">
        <f>IF(H$3="","",IF(COUNTIFS(Base!$A$3:$A$5001,H$3,Base!$B$3:$B$5001,$A$23,Base!$N$3:$N$5001,"&lt;&gt;")=0,"",SUMIFS(Base!$N$3:$N$5001,Base!$A$3:$A$5001,H$3,Base!$B$3:$B$5001,$A$23)))</f>
        <v>7</v>
      </c>
      <c r="I35" s="89">
        <f>IF(I$3="","",IF(COUNTIFS(Base!$A$3:$A$5001,I$3,Base!$B$3:$B$5001,$A$23,Base!$N$3:$N$5001,"&lt;&gt;")=0,"",SUMIFS(Base!$N$3:$N$5001,Base!$A$3:$A$5001,I$3,Base!$B$3:$B$5001,$A$23)))</f>
        <v>3</v>
      </c>
      <c r="J35" s="89" t="str">
        <f>IF(J$3="","",IF(COUNTIFS(Base!$A$3:$A$5001,J$3,Base!$B$3:$B$5001,$A$23,Base!$N$3:$N$5001,"&lt;&gt;")=0,"",SUMIFS(Base!$N$3:$N$5001,Base!$A$3:$A$5001,J$3,Base!$B$3:$B$5001,$A$23)))</f>
        <v/>
      </c>
      <c r="K35" s="89" t="str">
        <f>IF(K$3="","",IF(COUNTIFS(Base!$A$3:$A$5001,K$3,Base!$B$3:$B$5001,$A$23,Base!$N$3:$N$5001,"&lt;&gt;")=0,"",SUMIFS(Base!$N$3:$N$5001,Base!$A$3:$A$5001,K$3,Base!$B$3:$B$5001,$A$23)))</f>
        <v/>
      </c>
      <c r="L35" s="89">
        <f>IF(L$3="","",IF(COUNTIFS(Base!$A$3:$A$5001,L$3,Base!$B$3:$B$5001,$A$23,Base!$N$3:$N$5001,"&lt;&gt;")=0,"",SUMIFS(Base!$N$3:$N$5001,Base!$A$3:$A$5001,L$3,Base!$B$3:$B$5001,$A$23)))</f>
        <v>8</v>
      </c>
      <c r="M35" s="89">
        <f>IF(M$3="","",IF(COUNTIFS(Base!$A$3:$A$5001,M$3,Base!$B$3:$B$5001,$A$23,Base!$N$3:$N$5001,"&lt;&gt;")=0,"",SUMIFS(Base!$N$3:$N$5001,Base!$A$3:$A$5001,M$3,Base!$B$3:$B$5001,$A$23)))</f>
        <v>6</v>
      </c>
      <c r="N35" s="89">
        <f>IF(N$3="","",IF(COUNTIFS(Base!$A$3:$A$5001,N$3,Base!$B$3:$B$5001,$A$23,Base!$N$3:$N$5001,"&lt;&gt;")=0,"",SUMIFS(Base!$N$3:$N$5001,Base!$A$3:$A$5001,N$3,Base!$B$3:$B$5001,$A$23)))</f>
        <v>6</v>
      </c>
      <c r="O35" s="89">
        <f>IF(O$3="","",IF(COUNTIFS(Base!$A$3:$A$5001,O$3,Base!$B$3:$B$5001,$A$23,Base!$N$3:$N$5001,"&lt;&gt;")=0,"",SUMIFS(Base!$N$3:$N$5001,Base!$A$3:$A$5001,O$3,Base!$B$3:$B$5001,$A$23)))</f>
        <v>6</v>
      </c>
      <c r="P35" s="89">
        <f>IF(P$3="","",IF(COUNTIFS(Base!$A$3:$A$5001,P$3,Base!$B$3:$B$5001,$A$23,Base!$N$3:$N$5001,"&lt;&gt;")=0,"",SUMIFS(Base!$N$3:$N$5001,Base!$A$3:$A$5001,P$3,Base!$B$3:$B$5001,$A$23)))</f>
        <v>5</v>
      </c>
      <c r="Q35" s="89" t="str">
        <f>IF(Q$3="","",IF(COUNTIFS(Base!$A$3:$A$5001,Q$3,Base!$B$3:$B$5001,$A$23,Base!$N$3:$N$5001,"&lt;&gt;")=0,"",SUMIFS(Base!$N$3:$N$5001,Base!$A$3:$A$5001,Q$3,Base!$B$3:$B$5001,$A$23)))</f>
        <v/>
      </c>
      <c r="R35" s="89" t="str">
        <f>IF(R$3="","",IF(COUNTIFS(Base!$A$3:$A$5001,R$3,Base!$B$3:$B$5001,$A$23,Base!$N$3:$N$5001,"&lt;&gt;")=0,"",SUMIFS(Base!$N$3:$N$5001,Base!$A$3:$A$5001,R$3,Base!$B$3:$B$5001,$A$23)))</f>
        <v/>
      </c>
      <c r="S35" s="89">
        <f>IF(S$3="","",IF(COUNTIFS(Base!$A$3:$A$5001,S$3,Base!$B$3:$B$5001,$A$23,Base!$N$3:$N$5001,"&lt;&gt;")=0,"",SUMIFS(Base!$N$3:$N$5001,Base!$A$3:$A$5001,S$3,Base!$B$3:$B$5001,$A$23)))</f>
        <v>4</v>
      </c>
      <c r="T35" s="89">
        <f>IF(T$3="","",IF(COUNTIFS(Base!$A$3:$A$5001,T$3,Base!$B$3:$B$5001,$A$23,Base!$N$3:$N$5001,"&lt;&gt;")=0,"",SUMIFS(Base!$N$3:$N$5001,Base!$A$3:$A$5001,T$3,Base!$B$3:$B$5001,$A$23)))</f>
        <v>8</v>
      </c>
      <c r="U35" s="89">
        <f>IF(U$3="","",IF(COUNTIFS(Base!$A$3:$A$5001,U$3,Base!$B$3:$B$5001,$A$23,Base!$N$3:$N$5001,"&lt;&gt;")=0,"",SUMIFS(Base!$N$3:$N$5001,Base!$A$3:$A$5001,U$3,Base!$B$3:$B$5001,$A$23)))</f>
        <v>3</v>
      </c>
      <c r="V35" s="89">
        <f>IF(V$3="","",IF(COUNTIFS(Base!$A$3:$A$5001,V$3,Base!$B$3:$B$5001,$A$23,Base!$N$3:$N$5001,"&lt;&gt;")=0,"",SUMIFS(Base!$N$3:$N$5001,Base!$A$3:$A$5001,V$3,Base!$B$3:$B$5001,$A$23)))</f>
        <v>4</v>
      </c>
      <c r="W35" s="89">
        <f>IF(W$3="","",IF(COUNTIFS(Base!$A$3:$A$5001,W$3,Base!$B$3:$B$5001,$A$23,Base!$N$3:$N$5001,"&lt;&gt;")=0,"",SUMIFS(Base!$N$3:$N$5001,Base!$A$3:$A$5001,W$3,Base!$B$3:$B$5001,$A$23)))</f>
        <v>4</v>
      </c>
      <c r="X35" s="89" t="str">
        <f>IF(X$3="","",IF(COUNTIFS(Base!$A$3:$A$5001,X$3,Base!$B$3:$B$5001,$A$23,Base!$N$3:$N$5001,"&lt;&gt;")=0,"",SUMIFS(Base!$N$3:$N$5001,Base!$A$3:$A$5001,X$3,Base!$B$3:$B$5001,$A$23)))</f>
        <v/>
      </c>
      <c r="Y35" s="89" t="str">
        <f>IF(Y$3="","",IF(COUNTIFS(Base!$A$3:$A$5001,Y$3,Base!$B$3:$B$5001,$A$23,Base!$N$3:$N$5001,"&lt;&gt;")=0,"",SUMIFS(Base!$N$3:$N$5001,Base!$A$3:$A$5001,Y$3,Base!$B$3:$B$5001,$A$23)))</f>
        <v/>
      </c>
      <c r="Z35" s="89">
        <f>IF(Z$3="","",IF(COUNTIFS(Base!$A$3:$A$5001,Z$3,Base!$B$3:$B$5001,$A$23,Base!$N$3:$N$5001,"&lt;&gt;")=0,"",SUMIFS(Base!$N$3:$N$5001,Base!$A$3:$A$5001,Z$3,Base!$B$3:$B$5001,$A$23)))</f>
        <v>3</v>
      </c>
      <c r="AA35" s="89">
        <f>IF(AA$3="","",IF(COUNTIFS(Base!$A$3:$A$5001,AA$3,Base!$B$3:$B$5001,$A$23,Base!$N$3:$N$5001,"&lt;&gt;")=0,"",SUMIFS(Base!$N$3:$N$5001,Base!$A$3:$A$5001,AA$3,Base!$B$3:$B$5001,$A$23)))</f>
        <v>8</v>
      </c>
      <c r="AB35" s="89">
        <f>IF(AB$3="","",IF(COUNTIFS(Base!$A$3:$A$5001,AB$3,Base!$B$3:$B$5001,$A$23,Base!$N$3:$N$5001,"&lt;&gt;")=0,"",SUMIFS(Base!$N$3:$N$5001,Base!$A$3:$A$5001,AB$3,Base!$B$3:$B$5001,$A$23)))</f>
        <v>7</v>
      </c>
      <c r="AC35" s="89">
        <f>IF(AC$3="","",IF(COUNTIFS(Base!$A$3:$A$5001,AC$3,Base!$B$3:$B$5001,$A$23,Base!$N$3:$N$5001,"&lt;&gt;")=0,"",SUMIFS(Base!$N$3:$N$5001,Base!$A$3:$A$5001,AC$3,Base!$B$3:$B$5001,$A$23)))</f>
        <v>7</v>
      </c>
      <c r="AD35" s="89">
        <f>IF(AD$3="","",IF(COUNTIFS(Base!$A$3:$A$5001,AD$3,Base!$B$3:$B$5001,$A$23,Base!$N$3:$N$5001,"&lt;&gt;")=0,"",SUMIFS(Base!$N$3:$N$5001,Base!$A$3:$A$5001,AD$3,Base!$B$3:$B$5001,$A$23)))</f>
        <v>7</v>
      </c>
      <c r="AE35" s="89" t="str">
        <f>IF(AE$3="","",IF(COUNTIFS(Base!$A$3:$A$5001,AE$3,Base!$B$3:$B$5001,$A$23,Base!$N$3:$N$5001,"&lt;&gt;")=0,"",SUMIFS(Base!$N$3:$N$5001,Base!$A$3:$A$5001,AE$3,Base!$B$3:$B$5001,$A$23)))</f>
        <v/>
      </c>
      <c r="AF35" s="89" t="str">
        <f>IF(AF$3="","",IF(COUNTIFS(Base!$A$3:$A$5001,AF$3,Base!$B$3:$B$5001,$A$23,Base!$N$3:$N$5001,"&lt;&gt;")=0,"",SUMIFS(Base!$N$3:$N$5001,Base!$A$3:$A$5001,AF$3,Base!$B$3:$B$5001,$A$23)))</f>
        <v/>
      </c>
      <c r="AG35" s="89">
        <f>IF(AG$3="","",IF(COUNTIFS(Base!$A$3:$A$5001,AG$3,Base!$B$3:$B$5001,$A$23,Base!$N$3:$N$5001,"&lt;&gt;")=0,"",SUMIFS(Base!$N$3:$N$5001,Base!$A$3:$A$5001,AG$3,Base!$B$3:$B$5001,$A$23)))</f>
        <v>6</v>
      </c>
      <c r="AH35" s="89">
        <f>IF(AH$3="","",IF(COUNTIFS(Base!$A$3:$A$5001,AH$3,Base!$B$3:$B$5001,$A$23,Base!$N$3:$N$5001,"&lt;&gt;")=0,"",SUMIFS(Base!$N$3:$N$5001,Base!$A$3:$A$5001,AH$3,Base!$B$3:$B$5001,$A$23)))</f>
        <v>5</v>
      </c>
      <c r="AI35" s="89" t="str">
        <f>IF(AI$3="","",IF(COUNTIFS(Base!$A$3:$A$5001,AI$3,Base!$B$3:$B$5001,$A$23,Base!$N$3:$N$5001,"&lt;&gt;")=0,"",SUMIFS(Base!$N$3:$N$5001,Base!$A$3:$A$5001,AI$3,Base!$B$3:$B$5001,$A$23)))</f>
        <v/>
      </c>
      <c r="AJ35" s="90" t="str">
        <f>IF(AJ$3="","",IF(COUNTIFS(Base!$A$3:$A$5001,AJ$3,Base!$B$3:$B$5001,$A$23,Base!$N$3:$N$5001,"&lt;&gt;")=0,"",SUMIFS(Base!$N$3:$N$5001,Base!$A$3:$A$5001,AJ$3,Base!$B$3:$B$5001,$A$23)))</f>
        <v/>
      </c>
      <c r="AK35" s="91">
        <f>IFERROR(LOOKUP(9.99E+307,F35:AJ35),"")</f>
        <v>5</v>
      </c>
    </row>
    <row r="36" ht="15.75" customHeight="1">
      <c r="A36" s="118"/>
      <c r="B36" s="115"/>
      <c r="C36" s="92" t="inlineStr">
        <is>
          <t xml:space="preserve">Falta</t>
        </is>
      </c>
      <c r="D36" s="93"/>
      <c r="E36" s="94"/>
      <c r="F36" s="95" t="str">
        <f>IF(F$3="","",IF(COUNTIFS(Base!$A$3:$A$5001,F$3,Base!$B$3:$B$5001,$A$23,Base!$O$3:$O$5001,"&lt;&gt;")=0,"",SUMIFS(Base!$O$3:$O$5001,Base!$A$3:$A$5001,F$3,Base!$B$3:$B$5001,$A$23)))</f>
        <v/>
      </c>
      <c r="G36" s="96" t="str">
        <f>IF(G$3="","",IF(COUNTIFS(Base!$A$3:$A$5001,G$3,Base!$B$3:$B$5001,$A$23,Base!$O$3:$O$5001,"&lt;&gt;")=0,"",SUMIFS(Base!$O$3:$O$5001,Base!$A$3:$A$5001,G$3,Base!$B$3:$B$5001,$A$23)))</f>
        <v/>
      </c>
      <c r="H36" s="96" t="str">
        <f>IF(H$3="","",IF(COUNTIFS(Base!$A$3:$A$5001,H$3,Base!$B$3:$B$5001,$A$23,Base!$O$3:$O$5001,"&lt;&gt;")=0,"",SUMIFS(Base!$O$3:$O$5001,Base!$A$3:$A$5001,H$3,Base!$B$3:$B$5001,$A$23)))</f>
        <v/>
      </c>
      <c r="I36" s="96" t="str">
        <f>IF(I$3="","",IF(COUNTIFS(Base!$A$3:$A$5001,I$3,Base!$B$3:$B$5001,$A$23,Base!$O$3:$O$5001,"&lt;&gt;")=0,"",SUMIFS(Base!$O$3:$O$5001,Base!$A$3:$A$5001,I$3,Base!$B$3:$B$5001,$A$23)))</f>
        <v/>
      </c>
      <c r="J36" s="96" t="str">
        <f>IF(J$3="","",IF(COUNTIFS(Base!$A$3:$A$5001,J$3,Base!$B$3:$B$5001,$A$23,Base!$O$3:$O$5001,"&lt;&gt;")=0,"",SUMIFS(Base!$O$3:$O$5001,Base!$A$3:$A$5001,J$3,Base!$B$3:$B$5001,$A$23)))</f>
        <v/>
      </c>
      <c r="K36" s="96" t="str">
        <f>IF(K$3="","",IF(COUNTIFS(Base!$A$3:$A$5001,K$3,Base!$B$3:$B$5001,$A$23,Base!$O$3:$O$5001,"&lt;&gt;")=0,"",SUMIFS(Base!$O$3:$O$5001,Base!$A$3:$A$5001,K$3,Base!$B$3:$B$5001,$A$23)))</f>
        <v/>
      </c>
      <c r="L36" s="96" t="str">
        <f>IF(L$3="","",IF(COUNTIFS(Base!$A$3:$A$5001,L$3,Base!$B$3:$B$5001,$A$23,Base!$O$3:$O$5001,"&lt;&gt;")=0,"",SUMIFS(Base!$O$3:$O$5001,Base!$A$3:$A$5001,L$3,Base!$B$3:$B$5001,$A$23)))</f>
        <v/>
      </c>
      <c r="M36" s="96" t="str">
        <f>IF(M$3="","",IF(COUNTIFS(Base!$A$3:$A$5001,M$3,Base!$B$3:$B$5001,$A$23,Base!$O$3:$O$5001,"&lt;&gt;")=0,"",SUMIFS(Base!$O$3:$O$5001,Base!$A$3:$A$5001,M$3,Base!$B$3:$B$5001,$A$23)))</f>
        <v/>
      </c>
      <c r="N36" s="96" t="str">
        <f>IF(N$3="","",IF(COUNTIFS(Base!$A$3:$A$5001,N$3,Base!$B$3:$B$5001,$A$23,Base!$O$3:$O$5001,"&lt;&gt;")=0,"",SUMIFS(Base!$O$3:$O$5001,Base!$A$3:$A$5001,N$3,Base!$B$3:$B$5001,$A$23)))</f>
        <v/>
      </c>
      <c r="O36" s="96" t="str">
        <f>IF(O$3="","",IF(COUNTIFS(Base!$A$3:$A$5001,O$3,Base!$B$3:$B$5001,$A$23,Base!$O$3:$O$5001,"&lt;&gt;")=0,"",SUMIFS(Base!$O$3:$O$5001,Base!$A$3:$A$5001,O$3,Base!$B$3:$B$5001,$A$23)))</f>
        <v/>
      </c>
      <c r="P36" s="96" t="str">
        <f>IF(P$3="","",IF(COUNTIFS(Base!$A$3:$A$5001,P$3,Base!$B$3:$B$5001,$A$23,Base!$O$3:$O$5001,"&lt;&gt;")=0,"",SUMIFS(Base!$O$3:$O$5001,Base!$A$3:$A$5001,P$3,Base!$B$3:$B$5001,$A$23)))</f>
        <v/>
      </c>
      <c r="Q36" s="96" t="str">
        <f>IF(Q$3="","",IF(COUNTIFS(Base!$A$3:$A$5001,Q$3,Base!$B$3:$B$5001,$A$23,Base!$O$3:$O$5001,"&lt;&gt;")=0,"",SUMIFS(Base!$O$3:$O$5001,Base!$A$3:$A$5001,Q$3,Base!$B$3:$B$5001,$A$23)))</f>
        <v/>
      </c>
      <c r="R36" s="96" t="str">
        <f>IF(R$3="","",IF(COUNTIFS(Base!$A$3:$A$5001,R$3,Base!$B$3:$B$5001,$A$23,Base!$O$3:$O$5001,"&lt;&gt;")=0,"",SUMIFS(Base!$O$3:$O$5001,Base!$A$3:$A$5001,R$3,Base!$B$3:$B$5001,$A$23)))</f>
        <v/>
      </c>
      <c r="S36" s="96" t="str">
        <f>IF(S$3="","",IF(COUNTIFS(Base!$A$3:$A$5001,S$3,Base!$B$3:$B$5001,$A$23,Base!$O$3:$O$5001,"&lt;&gt;")=0,"",SUMIFS(Base!$O$3:$O$5001,Base!$A$3:$A$5001,S$3,Base!$B$3:$B$5001,$A$23)))</f>
        <v/>
      </c>
      <c r="T36" s="96" t="str">
        <f>IF(T$3="","",IF(COUNTIFS(Base!$A$3:$A$5001,T$3,Base!$B$3:$B$5001,$A$23,Base!$O$3:$O$5001,"&lt;&gt;")=0,"",SUMIFS(Base!$O$3:$O$5001,Base!$A$3:$A$5001,T$3,Base!$B$3:$B$5001,$A$23)))</f>
        <v/>
      </c>
      <c r="U36" s="96" t="str">
        <f>IF(U$3="","",IF(COUNTIFS(Base!$A$3:$A$5001,U$3,Base!$B$3:$B$5001,$A$23,Base!$O$3:$O$5001,"&lt;&gt;")=0,"",SUMIFS(Base!$O$3:$O$5001,Base!$A$3:$A$5001,U$3,Base!$B$3:$B$5001,$A$23)))</f>
        <v/>
      </c>
      <c r="V36" s="96" t="str">
        <f>IF(V$3="","",IF(COUNTIFS(Base!$A$3:$A$5001,V$3,Base!$B$3:$B$5001,$A$23,Base!$O$3:$O$5001,"&lt;&gt;")=0,"",SUMIFS(Base!$O$3:$O$5001,Base!$A$3:$A$5001,V$3,Base!$B$3:$B$5001,$A$23)))</f>
        <v/>
      </c>
      <c r="W36" s="96" t="str">
        <f>IF(W$3="","",IF(COUNTIFS(Base!$A$3:$A$5001,W$3,Base!$B$3:$B$5001,$A$23,Base!$O$3:$O$5001,"&lt;&gt;")=0,"",SUMIFS(Base!$O$3:$O$5001,Base!$A$3:$A$5001,W$3,Base!$B$3:$B$5001,$A$23)))</f>
        <v/>
      </c>
      <c r="X36" s="96" t="str">
        <f>IF(X$3="","",IF(COUNTIFS(Base!$A$3:$A$5001,X$3,Base!$B$3:$B$5001,$A$23,Base!$O$3:$O$5001,"&lt;&gt;")=0,"",SUMIFS(Base!$O$3:$O$5001,Base!$A$3:$A$5001,X$3,Base!$B$3:$B$5001,$A$23)))</f>
        <v/>
      </c>
      <c r="Y36" s="96" t="str">
        <f>IF(Y$3="","",IF(COUNTIFS(Base!$A$3:$A$5001,Y$3,Base!$B$3:$B$5001,$A$23,Base!$O$3:$O$5001,"&lt;&gt;")=0,"",SUMIFS(Base!$O$3:$O$5001,Base!$A$3:$A$5001,Y$3,Base!$B$3:$B$5001,$A$23)))</f>
        <v/>
      </c>
      <c r="Z36" s="96" t="str">
        <f>IF(Z$3="","",IF(COUNTIFS(Base!$A$3:$A$5001,Z$3,Base!$B$3:$B$5001,$A$23,Base!$O$3:$O$5001,"&lt;&gt;")=0,"",SUMIFS(Base!$O$3:$O$5001,Base!$A$3:$A$5001,Z$3,Base!$B$3:$B$5001,$A$23)))</f>
        <v/>
      </c>
      <c r="AA36" s="96" t="str">
        <f>IF(AA$3="","",IF(COUNTIFS(Base!$A$3:$A$5001,AA$3,Base!$B$3:$B$5001,$A$23,Base!$O$3:$O$5001,"&lt;&gt;")=0,"",SUMIFS(Base!$O$3:$O$5001,Base!$A$3:$A$5001,AA$3,Base!$B$3:$B$5001,$A$23)))</f>
        <v/>
      </c>
      <c r="AB36" s="96" t="str">
        <f>IF(AB$3="","",IF(COUNTIFS(Base!$A$3:$A$5001,AB$3,Base!$B$3:$B$5001,$A$23,Base!$O$3:$O$5001,"&lt;&gt;")=0,"",SUMIFS(Base!$O$3:$O$5001,Base!$A$3:$A$5001,AB$3,Base!$B$3:$B$5001,$A$23)))</f>
        <v/>
      </c>
      <c r="AC36" s="96" t="str">
        <f>IF(AC$3="","",IF(COUNTIFS(Base!$A$3:$A$5001,AC$3,Base!$B$3:$B$5001,$A$23,Base!$O$3:$O$5001,"&lt;&gt;")=0,"",SUMIFS(Base!$O$3:$O$5001,Base!$A$3:$A$5001,AC$3,Base!$B$3:$B$5001,$A$23)))</f>
        <v/>
      </c>
      <c r="AD36" s="96" t="str">
        <f>IF(AD$3="","",IF(COUNTIFS(Base!$A$3:$A$5001,AD$3,Base!$B$3:$B$5001,$A$23,Base!$O$3:$O$5001,"&lt;&gt;")=0,"",SUMIFS(Base!$O$3:$O$5001,Base!$A$3:$A$5001,AD$3,Base!$B$3:$B$5001,$A$23)))</f>
        <v/>
      </c>
      <c r="AE36" s="96" t="str">
        <f>IF(AE$3="","",IF(COUNTIFS(Base!$A$3:$A$5001,AE$3,Base!$B$3:$B$5001,$A$23,Base!$O$3:$O$5001,"&lt;&gt;")=0,"",SUMIFS(Base!$O$3:$O$5001,Base!$A$3:$A$5001,AE$3,Base!$B$3:$B$5001,$A$23)))</f>
        <v/>
      </c>
      <c r="AF36" s="96" t="str">
        <f>IF(AF$3="","",IF(COUNTIFS(Base!$A$3:$A$5001,AF$3,Base!$B$3:$B$5001,$A$23,Base!$O$3:$O$5001,"&lt;&gt;")=0,"",SUMIFS(Base!$O$3:$O$5001,Base!$A$3:$A$5001,AF$3,Base!$B$3:$B$5001,$A$23)))</f>
        <v/>
      </c>
      <c r="AG36" s="96" t="str">
        <f>IF(AG$3="","",IF(COUNTIFS(Base!$A$3:$A$5001,AG$3,Base!$B$3:$B$5001,$A$23,Base!$O$3:$O$5001,"&lt;&gt;")=0,"",SUMIFS(Base!$O$3:$O$5001,Base!$A$3:$A$5001,AG$3,Base!$B$3:$B$5001,$A$23)))</f>
        <v/>
      </c>
      <c r="AH36" s="96" t="str">
        <f>IF(AH$3="","",IF(COUNTIFS(Base!$A$3:$A$5001,AH$3,Base!$B$3:$B$5001,$A$23,Base!$O$3:$O$5001,"&lt;&gt;")=0,"",SUMIFS(Base!$O$3:$O$5001,Base!$A$3:$A$5001,AH$3,Base!$B$3:$B$5001,$A$23)))</f>
        <v/>
      </c>
      <c r="AI36" s="96" t="str">
        <f>IF(AI$3="","",IF(COUNTIFS(Base!$A$3:$A$5001,AI$3,Base!$B$3:$B$5001,$A$23,Base!$O$3:$O$5001,"&lt;&gt;")=0,"",SUMIFS(Base!$O$3:$O$5001,Base!$A$3:$A$5001,AI$3,Base!$B$3:$B$5001,$A$23)))</f>
        <v/>
      </c>
      <c r="AJ36" s="97" t="str">
        <f>IF(AJ$3="","",IF(COUNTIFS(Base!$A$3:$A$5001,AJ$3,Base!$B$3:$B$5001,$A$23,Base!$O$3:$O$5001,"&lt;&gt;")=0,"",SUMIFS(Base!$O$3:$O$5001,Base!$A$3:$A$5001,AJ$3,Base!$B$3:$B$5001,$A$23)))</f>
        <v/>
      </c>
      <c r="AK36" s="98" t="str">
        <f>IF(COUNT(F36:AJ36)=0,"",SUM(F36:AJ36))</f>
        <v/>
      </c>
    </row>
    <row r="37" ht="15.75" customHeight="1">
      <c r="A37" s="118"/>
      <c r="B37" s="115"/>
      <c r="C37" s="92" t="inlineStr">
        <is>
          <t xml:space="preserve">Folga</t>
        </is>
      </c>
      <c r="D37" s="93"/>
      <c r="E37" s="94"/>
      <c r="F37" s="95" t="str">
        <f>IF(F$3="","",IF(COUNTIFS(Base!$A$3:$A$5001,F$3,Base!$B$3:$B$5001,$A$23,Base!$P$3:$P$5001,"&lt;&gt;")=0,"",SUMIFS(Base!$P$3:$P$5001,Base!$A$3:$A$5001,F$3,Base!$B$3:$B$5001,$A$23)))</f>
        <v/>
      </c>
      <c r="G37" s="96" t="str">
        <f>IF(G$3="","",IF(COUNTIFS(Base!$A$3:$A$5001,G$3,Base!$B$3:$B$5001,$A$23,Base!$P$3:$P$5001,"&lt;&gt;")=0,"",SUMIFS(Base!$P$3:$P$5001,Base!$A$3:$A$5001,G$3,Base!$B$3:$B$5001,$A$23)))</f>
        <v/>
      </c>
      <c r="H37" s="96" t="str">
        <f>IF(H$3="","",IF(COUNTIFS(Base!$A$3:$A$5001,H$3,Base!$B$3:$B$5001,$A$23,Base!$P$3:$P$5001,"&lt;&gt;")=0,"",SUMIFS(Base!$P$3:$P$5001,Base!$A$3:$A$5001,H$3,Base!$B$3:$B$5001,$A$23)))</f>
        <v/>
      </c>
      <c r="I37" s="96" t="str">
        <f>IF(I$3="","",IF(COUNTIFS(Base!$A$3:$A$5001,I$3,Base!$B$3:$B$5001,$A$23,Base!$P$3:$P$5001,"&lt;&gt;")=0,"",SUMIFS(Base!$P$3:$P$5001,Base!$A$3:$A$5001,I$3,Base!$B$3:$B$5001,$A$23)))</f>
        <v/>
      </c>
      <c r="J37" s="96" t="str">
        <f>IF(J$3="","",IF(COUNTIFS(Base!$A$3:$A$5001,J$3,Base!$B$3:$B$5001,$A$23,Base!$P$3:$P$5001,"&lt;&gt;")=0,"",SUMIFS(Base!$P$3:$P$5001,Base!$A$3:$A$5001,J$3,Base!$B$3:$B$5001,$A$23)))</f>
        <v/>
      </c>
      <c r="K37" s="96" t="str">
        <f>IF(K$3="","",IF(COUNTIFS(Base!$A$3:$A$5001,K$3,Base!$B$3:$B$5001,$A$23,Base!$P$3:$P$5001,"&lt;&gt;")=0,"",SUMIFS(Base!$P$3:$P$5001,Base!$A$3:$A$5001,K$3,Base!$B$3:$B$5001,$A$23)))</f>
        <v/>
      </c>
      <c r="L37" s="96" t="str">
        <f>IF(L$3="","",IF(COUNTIFS(Base!$A$3:$A$5001,L$3,Base!$B$3:$B$5001,$A$23,Base!$P$3:$P$5001,"&lt;&gt;")=0,"",SUMIFS(Base!$P$3:$P$5001,Base!$A$3:$A$5001,L$3,Base!$B$3:$B$5001,$A$23)))</f>
        <v/>
      </c>
      <c r="M37" s="96" t="str">
        <f>IF(M$3="","",IF(COUNTIFS(Base!$A$3:$A$5001,M$3,Base!$B$3:$B$5001,$A$23,Base!$P$3:$P$5001,"&lt;&gt;")=0,"",SUMIFS(Base!$P$3:$P$5001,Base!$A$3:$A$5001,M$3,Base!$B$3:$B$5001,$A$23)))</f>
        <v/>
      </c>
      <c r="N37" s="96" t="str">
        <f>IF(N$3="","",IF(COUNTIFS(Base!$A$3:$A$5001,N$3,Base!$B$3:$B$5001,$A$23,Base!$P$3:$P$5001,"&lt;&gt;")=0,"",SUMIFS(Base!$P$3:$P$5001,Base!$A$3:$A$5001,N$3,Base!$B$3:$B$5001,$A$23)))</f>
        <v/>
      </c>
      <c r="O37" s="96" t="str">
        <f>IF(O$3="","",IF(COUNTIFS(Base!$A$3:$A$5001,O$3,Base!$B$3:$B$5001,$A$23,Base!$P$3:$P$5001,"&lt;&gt;")=0,"",SUMIFS(Base!$P$3:$P$5001,Base!$A$3:$A$5001,O$3,Base!$B$3:$B$5001,$A$23)))</f>
        <v/>
      </c>
      <c r="P37" s="96" t="str">
        <f>IF(P$3="","",IF(COUNTIFS(Base!$A$3:$A$5001,P$3,Base!$B$3:$B$5001,$A$23,Base!$P$3:$P$5001,"&lt;&gt;")=0,"",SUMIFS(Base!$P$3:$P$5001,Base!$A$3:$A$5001,P$3,Base!$B$3:$B$5001,$A$23)))</f>
        <v/>
      </c>
      <c r="Q37" s="96" t="str">
        <f>IF(Q$3="","",IF(COUNTIFS(Base!$A$3:$A$5001,Q$3,Base!$B$3:$B$5001,$A$23,Base!$P$3:$P$5001,"&lt;&gt;")=0,"",SUMIFS(Base!$P$3:$P$5001,Base!$A$3:$A$5001,Q$3,Base!$B$3:$B$5001,$A$23)))</f>
        <v/>
      </c>
      <c r="R37" s="96" t="str">
        <f>IF(R$3="","",IF(COUNTIFS(Base!$A$3:$A$5001,R$3,Base!$B$3:$B$5001,$A$23,Base!$P$3:$P$5001,"&lt;&gt;")=0,"",SUMIFS(Base!$P$3:$P$5001,Base!$A$3:$A$5001,R$3,Base!$B$3:$B$5001,$A$23)))</f>
        <v/>
      </c>
      <c r="S37" s="96" t="str">
        <f>IF(S$3="","",IF(COUNTIFS(Base!$A$3:$A$5001,S$3,Base!$B$3:$B$5001,$A$23,Base!$P$3:$P$5001,"&lt;&gt;")=0,"",SUMIFS(Base!$P$3:$P$5001,Base!$A$3:$A$5001,S$3,Base!$B$3:$B$5001,$A$23)))</f>
        <v/>
      </c>
      <c r="T37" s="96" t="str">
        <f>IF(T$3="","",IF(COUNTIFS(Base!$A$3:$A$5001,T$3,Base!$B$3:$B$5001,$A$23,Base!$P$3:$P$5001,"&lt;&gt;")=0,"",SUMIFS(Base!$P$3:$P$5001,Base!$A$3:$A$5001,T$3,Base!$B$3:$B$5001,$A$23)))</f>
        <v/>
      </c>
      <c r="U37" s="96" t="str">
        <f>IF(U$3="","",IF(COUNTIFS(Base!$A$3:$A$5001,U$3,Base!$B$3:$B$5001,$A$23,Base!$P$3:$P$5001,"&lt;&gt;")=0,"",SUMIFS(Base!$P$3:$P$5001,Base!$A$3:$A$5001,U$3,Base!$B$3:$B$5001,$A$23)))</f>
        <v/>
      </c>
      <c r="V37" s="96" t="str">
        <f>IF(V$3="","",IF(COUNTIFS(Base!$A$3:$A$5001,V$3,Base!$B$3:$B$5001,$A$23,Base!$P$3:$P$5001,"&lt;&gt;")=0,"",SUMIFS(Base!$P$3:$P$5001,Base!$A$3:$A$5001,V$3,Base!$B$3:$B$5001,$A$23)))</f>
        <v/>
      </c>
      <c r="W37" s="96" t="str">
        <f>IF(W$3="","",IF(COUNTIFS(Base!$A$3:$A$5001,W$3,Base!$B$3:$B$5001,$A$23,Base!$P$3:$P$5001,"&lt;&gt;")=0,"",SUMIFS(Base!$P$3:$P$5001,Base!$A$3:$A$5001,W$3,Base!$B$3:$B$5001,$A$23)))</f>
        <v/>
      </c>
      <c r="X37" s="96" t="str">
        <f>IF(X$3="","",IF(COUNTIFS(Base!$A$3:$A$5001,X$3,Base!$B$3:$B$5001,$A$23,Base!$P$3:$P$5001,"&lt;&gt;")=0,"",SUMIFS(Base!$P$3:$P$5001,Base!$A$3:$A$5001,X$3,Base!$B$3:$B$5001,$A$23)))</f>
        <v/>
      </c>
      <c r="Y37" s="96" t="str">
        <f>IF(Y$3="","",IF(COUNTIFS(Base!$A$3:$A$5001,Y$3,Base!$B$3:$B$5001,$A$23,Base!$P$3:$P$5001,"&lt;&gt;")=0,"",SUMIFS(Base!$P$3:$P$5001,Base!$A$3:$A$5001,Y$3,Base!$B$3:$B$5001,$A$23)))</f>
        <v/>
      </c>
      <c r="Z37" s="96" t="str">
        <f>IF(Z$3="","",IF(COUNTIFS(Base!$A$3:$A$5001,Z$3,Base!$B$3:$B$5001,$A$23,Base!$P$3:$P$5001,"&lt;&gt;")=0,"",SUMIFS(Base!$P$3:$P$5001,Base!$A$3:$A$5001,Z$3,Base!$B$3:$B$5001,$A$23)))</f>
        <v/>
      </c>
      <c r="AA37" s="96" t="str">
        <f>IF(AA$3="","",IF(COUNTIFS(Base!$A$3:$A$5001,AA$3,Base!$B$3:$B$5001,$A$23,Base!$P$3:$P$5001,"&lt;&gt;")=0,"",SUMIFS(Base!$P$3:$P$5001,Base!$A$3:$A$5001,AA$3,Base!$B$3:$B$5001,$A$23)))</f>
        <v/>
      </c>
      <c r="AB37" s="96" t="str">
        <f>IF(AB$3="","",IF(COUNTIFS(Base!$A$3:$A$5001,AB$3,Base!$B$3:$B$5001,$A$23,Base!$P$3:$P$5001,"&lt;&gt;")=0,"",SUMIFS(Base!$P$3:$P$5001,Base!$A$3:$A$5001,AB$3,Base!$B$3:$B$5001,$A$23)))</f>
        <v/>
      </c>
      <c r="AC37" s="96" t="str">
        <f>IF(AC$3="","",IF(COUNTIFS(Base!$A$3:$A$5001,AC$3,Base!$B$3:$B$5001,$A$23,Base!$P$3:$P$5001,"&lt;&gt;")=0,"",SUMIFS(Base!$P$3:$P$5001,Base!$A$3:$A$5001,AC$3,Base!$B$3:$B$5001,$A$23)))</f>
        <v/>
      </c>
      <c r="AD37" s="96" t="str">
        <f>IF(AD$3="","",IF(COUNTIFS(Base!$A$3:$A$5001,AD$3,Base!$B$3:$B$5001,$A$23,Base!$P$3:$P$5001,"&lt;&gt;")=0,"",SUMIFS(Base!$P$3:$P$5001,Base!$A$3:$A$5001,AD$3,Base!$B$3:$B$5001,$A$23)))</f>
        <v/>
      </c>
      <c r="AE37" s="96" t="str">
        <f>IF(AE$3="","",IF(COUNTIFS(Base!$A$3:$A$5001,AE$3,Base!$B$3:$B$5001,$A$23,Base!$P$3:$P$5001,"&lt;&gt;")=0,"",SUMIFS(Base!$P$3:$P$5001,Base!$A$3:$A$5001,AE$3,Base!$B$3:$B$5001,$A$23)))</f>
        <v/>
      </c>
      <c r="AF37" s="96" t="str">
        <f>IF(AF$3="","",IF(COUNTIFS(Base!$A$3:$A$5001,AF$3,Base!$B$3:$B$5001,$A$23,Base!$P$3:$P$5001,"&lt;&gt;")=0,"",SUMIFS(Base!$P$3:$P$5001,Base!$A$3:$A$5001,AF$3,Base!$B$3:$B$5001,$A$23)))</f>
        <v/>
      </c>
      <c r="AG37" s="96" t="str">
        <f>IF(AG$3="","",IF(COUNTIFS(Base!$A$3:$A$5001,AG$3,Base!$B$3:$B$5001,$A$23,Base!$P$3:$P$5001,"&lt;&gt;")=0,"",SUMIFS(Base!$P$3:$P$5001,Base!$A$3:$A$5001,AG$3,Base!$B$3:$B$5001,$A$23)))</f>
        <v/>
      </c>
      <c r="AH37" s="96" t="str">
        <f>IF(AH$3="","",IF(COUNTIFS(Base!$A$3:$A$5001,AH$3,Base!$B$3:$B$5001,$A$23,Base!$P$3:$P$5001,"&lt;&gt;")=0,"",SUMIFS(Base!$P$3:$P$5001,Base!$A$3:$A$5001,AH$3,Base!$B$3:$B$5001,$A$23)))</f>
        <v/>
      </c>
      <c r="AI37" s="96" t="str">
        <f>IF(AI$3="","",IF(COUNTIFS(Base!$A$3:$A$5001,AI$3,Base!$B$3:$B$5001,$A$23,Base!$P$3:$P$5001,"&lt;&gt;")=0,"",SUMIFS(Base!$P$3:$P$5001,Base!$A$3:$A$5001,AI$3,Base!$B$3:$B$5001,$A$23)))</f>
        <v/>
      </c>
      <c r="AJ37" s="97" t="str">
        <f>IF(AJ$3="","",IF(COUNTIFS(Base!$A$3:$A$5001,AJ$3,Base!$B$3:$B$5001,$A$23,Base!$P$3:$P$5001,"&lt;&gt;")=0,"",SUMIFS(Base!$P$3:$P$5001,Base!$A$3:$A$5001,AJ$3,Base!$B$3:$B$5001,$A$23)))</f>
        <v/>
      </c>
      <c r="AK37" s="98" t="str">
        <f>IF(COUNT(F37:AJ37)=0,"",SUM(F37:AJ37))</f>
        <v/>
      </c>
    </row>
    <row r="38" ht="15.75" customHeight="1">
      <c r="A38" s="118"/>
      <c r="B38" s="115"/>
      <c r="C38" s="92" t="inlineStr">
        <is>
          <t xml:space="preserve">Férias</t>
        </is>
      </c>
      <c r="D38" s="93"/>
      <c r="E38" s="94"/>
      <c r="F38" s="95" t="str">
        <f>IF(F$3="","",IF(COUNTIFS(Base!$A$3:$A$5001,F$3,Base!$B$3:$B$5001,$A$23,Base!$Q$3:$Q$5001,"&lt;&gt;")=0,"",SUMIFS(Base!$Q$3:$Q$5001,Base!$A$3:$A$5001,F$3,Base!$B$3:$B$5001,$A$23)))</f>
        <v/>
      </c>
      <c r="G38" s="96" t="str">
        <f>IF(G$3="","",IF(COUNTIFS(Base!$A$3:$A$5001,G$3,Base!$B$3:$B$5001,$A$23,Base!$Q$3:$Q$5001,"&lt;&gt;")=0,"",SUMIFS(Base!$Q$3:$Q$5001,Base!$A$3:$A$5001,G$3,Base!$B$3:$B$5001,$A$23)))</f>
        <v/>
      </c>
      <c r="H38" s="96" t="str">
        <f>IF(H$3="","",IF(COUNTIFS(Base!$A$3:$A$5001,H$3,Base!$B$3:$B$5001,$A$23,Base!$Q$3:$Q$5001,"&lt;&gt;")=0,"",SUMIFS(Base!$Q$3:$Q$5001,Base!$A$3:$A$5001,H$3,Base!$B$3:$B$5001,$A$23)))</f>
        <v/>
      </c>
      <c r="I38" s="96" t="str">
        <f>IF(I$3="","",IF(COUNTIFS(Base!$A$3:$A$5001,I$3,Base!$B$3:$B$5001,$A$23,Base!$Q$3:$Q$5001,"&lt;&gt;")=0,"",SUMIFS(Base!$Q$3:$Q$5001,Base!$A$3:$A$5001,I$3,Base!$B$3:$B$5001,$A$23)))</f>
        <v/>
      </c>
      <c r="J38" s="96" t="str">
        <f>IF(J$3="","",IF(COUNTIFS(Base!$A$3:$A$5001,J$3,Base!$B$3:$B$5001,$A$23,Base!$Q$3:$Q$5001,"&lt;&gt;")=0,"",SUMIFS(Base!$Q$3:$Q$5001,Base!$A$3:$A$5001,J$3,Base!$B$3:$B$5001,$A$23)))</f>
        <v/>
      </c>
      <c r="K38" s="96" t="str">
        <f>IF(K$3="","",IF(COUNTIFS(Base!$A$3:$A$5001,K$3,Base!$B$3:$B$5001,$A$23,Base!$Q$3:$Q$5001,"&lt;&gt;")=0,"",SUMIFS(Base!$Q$3:$Q$5001,Base!$A$3:$A$5001,K$3,Base!$B$3:$B$5001,$A$23)))</f>
        <v/>
      </c>
      <c r="L38" s="96" t="str">
        <f>IF(L$3="","",IF(COUNTIFS(Base!$A$3:$A$5001,L$3,Base!$B$3:$B$5001,$A$23,Base!$Q$3:$Q$5001,"&lt;&gt;")=0,"",SUMIFS(Base!$Q$3:$Q$5001,Base!$A$3:$A$5001,L$3,Base!$B$3:$B$5001,$A$23)))</f>
        <v/>
      </c>
      <c r="M38" s="96" t="str">
        <f>IF(M$3="","",IF(COUNTIFS(Base!$A$3:$A$5001,M$3,Base!$B$3:$B$5001,$A$23,Base!$Q$3:$Q$5001,"&lt;&gt;")=0,"",SUMIFS(Base!$Q$3:$Q$5001,Base!$A$3:$A$5001,M$3,Base!$B$3:$B$5001,$A$23)))</f>
        <v/>
      </c>
      <c r="N38" s="96" t="str">
        <f>IF(N$3="","",IF(COUNTIFS(Base!$A$3:$A$5001,N$3,Base!$B$3:$B$5001,$A$23,Base!$Q$3:$Q$5001,"&lt;&gt;")=0,"",SUMIFS(Base!$Q$3:$Q$5001,Base!$A$3:$A$5001,N$3,Base!$B$3:$B$5001,$A$23)))</f>
        <v/>
      </c>
      <c r="O38" s="96" t="str">
        <f>IF(O$3="","",IF(COUNTIFS(Base!$A$3:$A$5001,O$3,Base!$B$3:$B$5001,$A$23,Base!$Q$3:$Q$5001,"&lt;&gt;")=0,"",SUMIFS(Base!$Q$3:$Q$5001,Base!$A$3:$A$5001,O$3,Base!$B$3:$B$5001,$A$23)))</f>
        <v/>
      </c>
      <c r="P38" s="96" t="str">
        <f>IF(P$3="","",IF(COUNTIFS(Base!$A$3:$A$5001,P$3,Base!$B$3:$B$5001,$A$23,Base!$Q$3:$Q$5001,"&lt;&gt;")=0,"",SUMIFS(Base!$Q$3:$Q$5001,Base!$A$3:$A$5001,P$3,Base!$B$3:$B$5001,$A$23)))</f>
        <v/>
      </c>
      <c r="Q38" s="96" t="str">
        <f>IF(Q$3="","",IF(COUNTIFS(Base!$A$3:$A$5001,Q$3,Base!$B$3:$B$5001,$A$23,Base!$Q$3:$Q$5001,"&lt;&gt;")=0,"",SUMIFS(Base!$Q$3:$Q$5001,Base!$A$3:$A$5001,Q$3,Base!$B$3:$B$5001,$A$23)))</f>
        <v/>
      </c>
      <c r="R38" s="96" t="str">
        <f>IF(R$3="","",IF(COUNTIFS(Base!$A$3:$A$5001,R$3,Base!$B$3:$B$5001,$A$23,Base!$Q$3:$Q$5001,"&lt;&gt;")=0,"",SUMIFS(Base!$Q$3:$Q$5001,Base!$A$3:$A$5001,R$3,Base!$B$3:$B$5001,$A$23)))</f>
        <v/>
      </c>
      <c r="S38" s="96" t="str">
        <f>IF(S$3="","",IF(COUNTIFS(Base!$A$3:$A$5001,S$3,Base!$B$3:$B$5001,$A$23,Base!$Q$3:$Q$5001,"&lt;&gt;")=0,"",SUMIFS(Base!$Q$3:$Q$5001,Base!$A$3:$A$5001,S$3,Base!$B$3:$B$5001,$A$23)))</f>
        <v/>
      </c>
      <c r="T38" s="96" t="str">
        <f>IF(T$3="","",IF(COUNTIFS(Base!$A$3:$A$5001,T$3,Base!$B$3:$B$5001,$A$23,Base!$Q$3:$Q$5001,"&lt;&gt;")=0,"",SUMIFS(Base!$Q$3:$Q$5001,Base!$A$3:$A$5001,T$3,Base!$B$3:$B$5001,$A$23)))</f>
        <v/>
      </c>
      <c r="U38" s="96" t="str">
        <f>IF(U$3="","",IF(COUNTIFS(Base!$A$3:$A$5001,U$3,Base!$B$3:$B$5001,$A$23,Base!$Q$3:$Q$5001,"&lt;&gt;")=0,"",SUMIFS(Base!$Q$3:$Q$5001,Base!$A$3:$A$5001,U$3,Base!$B$3:$B$5001,$A$23)))</f>
        <v/>
      </c>
      <c r="V38" s="96" t="str">
        <f>IF(V$3="","",IF(COUNTIFS(Base!$A$3:$A$5001,V$3,Base!$B$3:$B$5001,$A$23,Base!$Q$3:$Q$5001,"&lt;&gt;")=0,"",SUMIFS(Base!$Q$3:$Q$5001,Base!$A$3:$A$5001,V$3,Base!$B$3:$B$5001,$A$23)))</f>
        <v/>
      </c>
      <c r="W38" s="96" t="str">
        <f>IF(W$3="","",IF(COUNTIFS(Base!$A$3:$A$5001,W$3,Base!$B$3:$B$5001,$A$23,Base!$Q$3:$Q$5001,"&lt;&gt;")=0,"",SUMIFS(Base!$Q$3:$Q$5001,Base!$A$3:$A$5001,W$3,Base!$B$3:$B$5001,$A$23)))</f>
        <v/>
      </c>
      <c r="X38" s="96" t="str">
        <f>IF(X$3="","",IF(COUNTIFS(Base!$A$3:$A$5001,X$3,Base!$B$3:$B$5001,$A$23,Base!$Q$3:$Q$5001,"&lt;&gt;")=0,"",SUMIFS(Base!$Q$3:$Q$5001,Base!$A$3:$A$5001,X$3,Base!$B$3:$B$5001,$A$23)))</f>
        <v/>
      </c>
      <c r="Y38" s="96" t="str">
        <f>IF(Y$3="","",IF(COUNTIFS(Base!$A$3:$A$5001,Y$3,Base!$B$3:$B$5001,$A$23,Base!$Q$3:$Q$5001,"&lt;&gt;")=0,"",SUMIFS(Base!$Q$3:$Q$5001,Base!$A$3:$A$5001,Y$3,Base!$B$3:$B$5001,$A$23)))</f>
        <v/>
      </c>
      <c r="Z38" s="96" t="str">
        <f>IF(Z$3="","",IF(COUNTIFS(Base!$A$3:$A$5001,Z$3,Base!$B$3:$B$5001,$A$23,Base!$Q$3:$Q$5001,"&lt;&gt;")=0,"",SUMIFS(Base!$Q$3:$Q$5001,Base!$A$3:$A$5001,Z$3,Base!$B$3:$B$5001,$A$23)))</f>
        <v/>
      </c>
      <c r="AA38" s="96" t="str">
        <f>IF(AA$3="","",IF(COUNTIFS(Base!$A$3:$A$5001,AA$3,Base!$B$3:$B$5001,$A$23,Base!$Q$3:$Q$5001,"&lt;&gt;")=0,"",SUMIFS(Base!$Q$3:$Q$5001,Base!$A$3:$A$5001,AA$3,Base!$B$3:$B$5001,$A$23)))</f>
        <v/>
      </c>
      <c r="AB38" s="96" t="str">
        <f>IF(AB$3="","",IF(COUNTIFS(Base!$A$3:$A$5001,AB$3,Base!$B$3:$B$5001,$A$23,Base!$Q$3:$Q$5001,"&lt;&gt;")=0,"",SUMIFS(Base!$Q$3:$Q$5001,Base!$A$3:$A$5001,AB$3,Base!$B$3:$B$5001,$A$23)))</f>
        <v/>
      </c>
      <c r="AC38" s="96" t="str">
        <f>IF(AC$3="","",IF(COUNTIFS(Base!$A$3:$A$5001,AC$3,Base!$B$3:$B$5001,$A$23,Base!$Q$3:$Q$5001,"&lt;&gt;")=0,"",SUMIFS(Base!$Q$3:$Q$5001,Base!$A$3:$A$5001,AC$3,Base!$B$3:$B$5001,$A$23)))</f>
        <v/>
      </c>
      <c r="AD38" s="96" t="str">
        <f>IF(AD$3="","",IF(COUNTIFS(Base!$A$3:$A$5001,AD$3,Base!$B$3:$B$5001,$A$23,Base!$Q$3:$Q$5001,"&lt;&gt;")=0,"",SUMIFS(Base!$Q$3:$Q$5001,Base!$A$3:$A$5001,AD$3,Base!$B$3:$B$5001,$A$23)))</f>
        <v/>
      </c>
      <c r="AE38" s="96" t="str">
        <f>IF(AE$3="","",IF(COUNTIFS(Base!$A$3:$A$5001,AE$3,Base!$B$3:$B$5001,$A$23,Base!$Q$3:$Q$5001,"&lt;&gt;")=0,"",SUMIFS(Base!$Q$3:$Q$5001,Base!$A$3:$A$5001,AE$3,Base!$B$3:$B$5001,$A$23)))</f>
        <v/>
      </c>
      <c r="AF38" s="96" t="str">
        <f>IF(AF$3="","",IF(COUNTIFS(Base!$A$3:$A$5001,AF$3,Base!$B$3:$B$5001,$A$23,Base!$Q$3:$Q$5001,"&lt;&gt;")=0,"",SUMIFS(Base!$Q$3:$Q$5001,Base!$A$3:$A$5001,AF$3,Base!$B$3:$B$5001,$A$23)))</f>
        <v/>
      </c>
      <c r="AG38" s="96" t="str">
        <f>IF(AG$3="","",IF(COUNTIFS(Base!$A$3:$A$5001,AG$3,Base!$B$3:$B$5001,$A$23,Base!$Q$3:$Q$5001,"&lt;&gt;")=0,"",SUMIFS(Base!$Q$3:$Q$5001,Base!$A$3:$A$5001,AG$3,Base!$B$3:$B$5001,$A$23)))</f>
        <v/>
      </c>
      <c r="AH38" s="96" t="str">
        <f>IF(AH$3="","",IF(COUNTIFS(Base!$A$3:$A$5001,AH$3,Base!$B$3:$B$5001,$A$23,Base!$Q$3:$Q$5001,"&lt;&gt;")=0,"",SUMIFS(Base!$Q$3:$Q$5001,Base!$A$3:$A$5001,AH$3,Base!$B$3:$B$5001,$A$23)))</f>
        <v/>
      </c>
      <c r="AI38" s="96" t="str">
        <f>IF(AI$3="","",IF(COUNTIFS(Base!$A$3:$A$5001,AI$3,Base!$B$3:$B$5001,$A$23,Base!$Q$3:$Q$5001,"&lt;&gt;")=0,"",SUMIFS(Base!$Q$3:$Q$5001,Base!$A$3:$A$5001,AI$3,Base!$B$3:$B$5001,$A$23)))</f>
        <v/>
      </c>
      <c r="AJ38" s="97" t="str">
        <f>IF(AJ$3="","",IF(COUNTIFS(Base!$A$3:$A$5001,AJ$3,Base!$B$3:$B$5001,$A$23,Base!$Q$3:$Q$5001,"&lt;&gt;")=0,"",SUMIFS(Base!$Q$3:$Q$5001,Base!$A$3:$A$5001,AJ$3,Base!$B$3:$B$5001,$A$23)))</f>
        <v/>
      </c>
      <c r="AK38" s="98" t="str">
        <f>IF(COUNT(F38:AJ38)=0,"",SUM(F38:AJ38))</f>
        <v/>
      </c>
    </row>
    <row r="39" ht="15.75" customHeight="1">
      <c r="A39" s="119"/>
      <c r="B39" s="116"/>
      <c r="C39" s="99" t="inlineStr">
        <is>
          <t xml:space="preserve">Desligamento</t>
        </is>
      </c>
      <c r="D39" s="100"/>
      <c r="E39" s="101"/>
      <c r="F39" s="102" t="str">
        <f>IF(F$3="","",IF(COUNTIFS(Base!$A$3:$A$5001,F$3,Base!$B$3:$B$5001,$A$23,Base!$R$3:$R$5001,"&lt;&gt;")=0,"",SUMIFS(Base!$R$3:$R$5001,Base!$A$3:$A$5001,F$3,Base!$B$3:$B$5001,$A$23)))</f>
        <v/>
      </c>
      <c r="G39" s="103" t="str">
        <f>IF(G$3="","",IF(COUNTIFS(Base!$A$3:$A$5001,G$3,Base!$B$3:$B$5001,$A$23,Base!$R$3:$R$5001,"&lt;&gt;")=0,"",SUMIFS(Base!$R$3:$R$5001,Base!$A$3:$A$5001,G$3,Base!$B$3:$B$5001,$A$23)))</f>
        <v/>
      </c>
      <c r="H39" s="103" t="str">
        <f>IF(H$3="","",IF(COUNTIFS(Base!$A$3:$A$5001,H$3,Base!$B$3:$B$5001,$A$23,Base!$R$3:$R$5001,"&lt;&gt;")=0,"",SUMIFS(Base!$R$3:$R$5001,Base!$A$3:$A$5001,H$3,Base!$B$3:$B$5001,$A$23)))</f>
        <v/>
      </c>
      <c r="I39" s="103" t="str">
        <f>IF(I$3="","",IF(COUNTIFS(Base!$A$3:$A$5001,I$3,Base!$B$3:$B$5001,$A$23,Base!$R$3:$R$5001,"&lt;&gt;")=0,"",SUMIFS(Base!$R$3:$R$5001,Base!$A$3:$A$5001,I$3,Base!$B$3:$B$5001,$A$23)))</f>
        <v/>
      </c>
      <c r="J39" s="103" t="str">
        <f>IF(J$3="","",IF(COUNTIFS(Base!$A$3:$A$5001,J$3,Base!$B$3:$B$5001,$A$23,Base!$R$3:$R$5001,"&lt;&gt;")=0,"",SUMIFS(Base!$R$3:$R$5001,Base!$A$3:$A$5001,J$3,Base!$B$3:$B$5001,$A$23)))</f>
        <v/>
      </c>
      <c r="K39" s="103" t="str">
        <f>IF(K$3="","",IF(COUNTIFS(Base!$A$3:$A$5001,K$3,Base!$B$3:$B$5001,$A$23,Base!$R$3:$R$5001,"&lt;&gt;")=0,"",SUMIFS(Base!$R$3:$R$5001,Base!$A$3:$A$5001,K$3,Base!$B$3:$B$5001,$A$23)))</f>
        <v/>
      </c>
      <c r="L39" s="103" t="str">
        <f>IF(L$3="","",IF(COUNTIFS(Base!$A$3:$A$5001,L$3,Base!$B$3:$B$5001,$A$23,Base!$R$3:$R$5001,"&lt;&gt;")=0,"",SUMIFS(Base!$R$3:$R$5001,Base!$A$3:$A$5001,L$3,Base!$B$3:$B$5001,$A$23)))</f>
        <v/>
      </c>
      <c r="M39" s="103" t="str">
        <f>IF(M$3="","",IF(COUNTIFS(Base!$A$3:$A$5001,M$3,Base!$B$3:$B$5001,$A$23,Base!$R$3:$R$5001,"&lt;&gt;")=0,"",SUMIFS(Base!$R$3:$R$5001,Base!$A$3:$A$5001,M$3,Base!$B$3:$B$5001,$A$23)))</f>
        <v/>
      </c>
      <c r="N39" s="103" t="str">
        <f>IF(N$3="","",IF(COUNTIFS(Base!$A$3:$A$5001,N$3,Base!$B$3:$B$5001,$A$23,Base!$R$3:$R$5001,"&lt;&gt;")=0,"",SUMIFS(Base!$R$3:$R$5001,Base!$A$3:$A$5001,N$3,Base!$B$3:$B$5001,$A$23)))</f>
        <v/>
      </c>
      <c r="O39" s="103" t="str">
        <f>IF(O$3="","",IF(COUNTIFS(Base!$A$3:$A$5001,O$3,Base!$B$3:$B$5001,$A$23,Base!$R$3:$R$5001,"&lt;&gt;")=0,"",SUMIFS(Base!$R$3:$R$5001,Base!$A$3:$A$5001,O$3,Base!$B$3:$B$5001,$A$23)))</f>
        <v/>
      </c>
      <c r="P39" s="103" t="str">
        <f>IF(P$3="","",IF(COUNTIFS(Base!$A$3:$A$5001,P$3,Base!$B$3:$B$5001,$A$23,Base!$R$3:$R$5001,"&lt;&gt;")=0,"",SUMIFS(Base!$R$3:$R$5001,Base!$A$3:$A$5001,P$3,Base!$B$3:$B$5001,$A$23)))</f>
        <v/>
      </c>
      <c r="Q39" s="103" t="str">
        <f>IF(Q$3="","",IF(COUNTIFS(Base!$A$3:$A$5001,Q$3,Base!$B$3:$B$5001,$A$23,Base!$R$3:$R$5001,"&lt;&gt;")=0,"",SUMIFS(Base!$R$3:$R$5001,Base!$A$3:$A$5001,Q$3,Base!$B$3:$B$5001,$A$23)))</f>
        <v/>
      </c>
      <c r="R39" s="103" t="str">
        <f>IF(R$3="","",IF(COUNTIFS(Base!$A$3:$A$5001,R$3,Base!$B$3:$B$5001,$A$23,Base!$R$3:$R$5001,"&lt;&gt;")=0,"",SUMIFS(Base!$R$3:$R$5001,Base!$A$3:$A$5001,R$3,Base!$B$3:$B$5001,$A$23)))</f>
        <v/>
      </c>
      <c r="S39" s="103" t="str">
        <f>IF(S$3="","",IF(COUNTIFS(Base!$A$3:$A$5001,S$3,Base!$B$3:$B$5001,$A$23,Base!$R$3:$R$5001,"&lt;&gt;")=0,"",SUMIFS(Base!$R$3:$R$5001,Base!$A$3:$A$5001,S$3,Base!$B$3:$B$5001,$A$23)))</f>
        <v/>
      </c>
      <c r="T39" s="103" t="str">
        <f>IF(T$3="","",IF(COUNTIFS(Base!$A$3:$A$5001,T$3,Base!$B$3:$B$5001,$A$23,Base!$R$3:$R$5001,"&lt;&gt;")=0,"",SUMIFS(Base!$R$3:$R$5001,Base!$A$3:$A$5001,T$3,Base!$B$3:$B$5001,$A$23)))</f>
        <v/>
      </c>
      <c r="U39" s="103" t="str">
        <f>IF(U$3="","",IF(COUNTIFS(Base!$A$3:$A$5001,U$3,Base!$B$3:$B$5001,$A$23,Base!$R$3:$R$5001,"&lt;&gt;")=0,"",SUMIFS(Base!$R$3:$R$5001,Base!$A$3:$A$5001,U$3,Base!$B$3:$B$5001,$A$23)))</f>
        <v/>
      </c>
      <c r="V39" s="103" t="str">
        <f>IF(V$3="","",IF(COUNTIFS(Base!$A$3:$A$5001,V$3,Base!$B$3:$B$5001,$A$23,Base!$R$3:$R$5001,"&lt;&gt;")=0,"",SUMIFS(Base!$R$3:$R$5001,Base!$A$3:$A$5001,V$3,Base!$B$3:$B$5001,$A$23)))</f>
        <v/>
      </c>
      <c r="W39" s="103" t="str">
        <f>IF(W$3="","",IF(COUNTIFS(Base!$A$3:$A$5001,W$3,Base!$B$3:$B$5001,$A$23,Base!$R$3:$R$5001,"&lt;&gt;")=0,"",SUMIFS(Base!$R$3:$R$5001,Base!$A$3:$A$5001,W$3,Base!$B$3:$B$5001,$A$23)))</f>
        <v/>
      </c>
      <c r="X39" s="103" t="str">
        <f>IF(X$3="","",IF(COUNTIFS(Base!$A$3:$A$5001,X$3,Base!$B$3:$B$5001,$A$23,Base!$R$3:$R$5001,"&lt;&gt;")=0,"",SUMIFS(Base!$R$3:$R$5001,Base!$A$3:$A$5001,X$3,Base!$B$3:$B$5001,$A$23)))</f>
        <v/>
      </c>
      <c r="Y39" s="103" t="str">
        <f>IF(Y$3="","",IF(COUNTIFS(Base!$A$3:$A$5001,Y$3,Base!$B$3:$B$5001,$A$23,Base!$R$3:$R$5001,"&lt;&gt;")=0,"",SUMIFS(Base!$R$3:$R$5001,Base!$A$3:$A$5001,Y$3,Base!$B$3:$B$5001,$A$23)))</f>
        <v/>
      </c>
      <c r="Z39" s="103" t="str">
        <f>IF(Z$3="","",IF(COUNTIFS(Base!$A$3:$A$5001,Z$3,Base!$B$3:$B$5001,$A$23,Base!$R$3:$R$5001,"&lt;&gt;")=0,"",SUMIFS(Base!$R$3:$R$5001,Base!$A$3:$A$5001,Z$3,Base!$B$3:$B$5001,$A$23)))</f>
        <v/>
      </c>
      <c r="AA39" s="103" t="str">
        <f>IF(AA$3="","",IF(COUNTIFS(Base!$A$3:$A$5001,AA$3,Base!$B$3:$B$5001,$A$23,Base!$R$3:$R$5001,"&lt;&gt;")=0,"",SUMIFS(Base!$R$3:$R$5001,Base!$A$3:$A$5001,AA$3,Base!$B$3:$B$5001,$A$23)))</f>
        <v/>
      </c>
      <c r="AB39" s="103" t="str">
        <f>IF(AB$3="","",IF(COUNTIFS(Base!$A$3:$A$5001,AB$3,Base!$B$3:$B$5001,$A$23,Base!$R$3:$R$5001,"&lt;&gt;")=0,"",SUMIFS(Base!$R$3:$R$5001,Base!$A$3:$A$5001,AB$3,Base!$B$3:$B$5001,$A$23)))</f>
        <v/>
      </c>
      <c r="AC39" s="103" t="str">
        <f>IF(AC$3="","",IF(COUNTIFS(Base!$A$3:$A$5001,AC$3,Base!$B$3:$B$5001,$A$23,Base!$R$3:$R$5001,"&lt;&gt;")=0,"",SUMIFS(Base!$R$3:$R$5001,Base!$A$3:$A$5001,AC$3,Base!$B$3:$B$5001,$A$23)))</f>
        <v/>
      </c>
      <c r="AD39" s="103" t="str">
        <f>IF(AD$3="","",IF(COUNTIFS(Base!$A$3:$A$5001,AD$3,Base!$B$3:$B$5001,$A$23,Base!$R$3:$R$5001,"&lt;&gt;")=0,"",SUMIFS(Base!$R$3:$R$5001,Base!$A$3:$A$5001,AD$3,Base!$B$3:$B$5001,$A$23)))</f>
        <v/>
      </c>
      <c r="AE39" s="103" t="str">
        <f>IF(AE$3="","",IF(COUNTIFS(Base!$A$3:$A$5001,AE$3,Base!$B$3:$B$5001,$A$23,Base!$R$3:$R$5001,"&lt;&gt;")=0,"",SUMIFS(Base!$R$3:$R$5001,Base!$A$3:$A$5001,AE$3,Base!$B$3:$B$5001,$A$23)))</f>
        <v/>
      </c>
      <c r="AF39" s="103" t="str">
        <f>IF(AF$3="","",IF(COUNTIFS(Base!$A$3:$A$5001,AF$3,Base!$B$3:$B$5001,$A$23,Base!$R$3:$R$5001,"&lt;&gt;")=0,"",SUMIFS(Base!$R$3:$R$5001,Base!$A$3:$A$5001,AF$3,Base!$B$3:$B$5001,$A$23)))</f>
        <v/>
      </c>
      <c r="AG39" s="103" t="str">
        <f>IF(AG$3="","",IF(COUNTIFS(Base!$A$3:$A$5001,AG$3,Base!$B$3:$B$5001,$A$23,Base!$R$3:$R$5001,"&lt;&gt;")=0,"",SUMIFS(Base!$R$3:$R$5001,Base!$A$3:$A$5001,AG$3,Base!$B$3:$B$5001,$A$23)))</f>
        <v/>
      </c>
      <c r="AH39" s="103" t="str">
        <f>IF(AH$3="","",IF(COUNTIFS(Base!$A$3:$A$5001,AH$3,Base!$B$3:$B$5001,$A$23,Base!$R$3:$R$5001,"&lt;&gt;")=0,"",SUMIFS(Base!$R$3:$R$5001,Base!$A$3:$A$5001,AH$3,Base!$B$3:$B$5001,$A$23)))</f>
        <v/>
      </c>
      <c r="AI39" s="103" t="str">
        <f>IF(AI$3="","",IF(COUNTIFS(Base!$A$3:$A$5001,AI$3,Base!$B$3:$B$5001,$A$23,Base!$R$3:$R$5001,"&lt;&gt;")=0,"",SUMIFS(Base!$R$3:$R$5001,Base!$A$3:$A$5001,AI$3,Base!$B$3:$B$5001,$A$23)))</f>
        <v/>
      </c>
      <c r="AJ39" s="104" t="str">
        <f>IF(AJ$3="","",IF(COUNTIFS(Base!$A$3:$A$5001,AJ$3,Base!$B$3:$B$5001,$A$23,Base!$R$3:$R$5001,"&lt;&gt;")=0,"",SUMIFS(Base!$R$3:$R$5001,Base!$A$3:$A$5001,AJ$3,Base!$B$3:$B$5001,$A$23)))</f>
        <v/>
      </c>
      <c r="AK39" s="100" t="str">
        <f>IF(COUNT(F39:AJ39)=0,"",SUM(F39:AJ39))</f>
        <v/>
      </c>
    </row>
    <row r="41" ht="15.75" customHeight="1">
      <c r="A41" s="117" t="inlineStr">
        <is>
          <t xml:space="preserve">Mondelez</t>
        </is>
      </c>
      <c r="B41" s="105" t="inlineStr">
        <is>
          <t xml:space="preserve">IN</t>
        </is>
      </c>
      <c r="C41" s="21" t="inlineStr">
        <is>
          <t xml:space="preserve">Veículos Recebidos</t>
        </is>
      </c>
      <c r="D41" s="22"/>
      <c r="E41" s="23"/>
      <c r="F41" s="24">
        <f>IF(F$3="","",IF(COUNTIFS(Base!$A$3:$A$5001,F$3,Base!$B$3:$B$5001,$A$41,Base!$C$3:$C$5001,"&lt;&gt;")=0,"",SUMIFS(Base!$C$3:$C$5001,Base!$A$3:$A$5001,F$3,Base!$B$3:$B$5001,$A$41)))</f>
        <v>4</v>
      </c>
      <c r="G41" s="25">
        <f>IF(G$3="","",IF(COUNTIFS(Base!$A$3:$A$5001,G$3,Base!$B$3:$B$5001,$A$41,Base!$C$3:$C$5001,"&lt;&gt;")=0,"",SUMIFS(Base!$C$3:$C$5001,Base!$A$3:$A$5001,G$3,Base!$B$3:$B$5001,$A$41)))</f>
        <v>5</v>
      </c>
      <c r="H41" s="25">
        <f>IF(H$3="","",IF(COUNTIFS(Base!$A$3:$A$5001,H$3,Base!$B$3:$B$5001,$A$41,Base!$C$3:$C$5001,"&lt;&gt;")=0,"",SUMIFS(Base!$C$3:$C$5001,Base!$A$3:$A$5001,H$3,Base!$B$3:$B$5001,$A$41)))</f>
        <v>1</v>
      </c>
      <c r="I41" s="25">
        <f>IF(I$3="","",IF(COUNTIFS(Base!$A$3:$A$5001,I$3,Base!$B$3:$B$5001,$A$41,Base!$C$3:$C$5001,"&lt;&gt;")=0,"",SUMIFS(Base!$C$3:$C$5001,Base!$A$3:$A$5001,I$3,Base!$B$3:$B$5001,$A$41)))</f>
        <v>3</v>
      </c>
      <c r="J41" s="25">
        <f>IF(J$3="","",IF(COUNTIFS(Base!$A$3:$A$5001,J$3,Base!$B$3:$B$5001,$A$41,Base!$C$3:$C$5001,"&lt;&gt;")=0,"",SUMIFS(Base!$C$3:$C$5001,Base!$A$3:$A$5001,J$3,Base!$B$3:$B$5001,$A$41)))</f>
        <v>2</v>
      </c>
      <c r="K41" s="25">
        <f>IF(K$3="","",IF(COUNTIFS(Base!$A$3:$A$5001,K$3,Base!$B$3:$B$5001,$A$41,Base!$C$3:$C$5001,"&lt;&gt;")=0,"",SUMIFS(Base!$C$3:$C$5001,Base!$A$3:$A$5001,K$3,Base!$B$3:$B$5001,$A$41)))</f>
        <v>4</v>
      </c>
      <c r="L41" s="25">
        <f>IF(L$3="","",IF(COUNTIFS(Base!$A$3:$A$5001,L$3,Base!$B$3:$B$5001,$A$41,Base!$C$3:$C$5001,"&lt;&gt;")=0,"",SUMIFS(Base!$C$3:$C$5001,Base!$A$3:$A$5001,L$3,Base!$B$3:$B$5001,$A$41)))</f>
        <v>2</v>
      </c>
      <c r="M41" s="25">
        <f>IF(M$3="","",IF(COUNTIFS(Base!$A$3:$A$5001,M$3,Base!$B$3:$B$5001,$A$41,Base!$C$3:$C$5001,"&lt;&gt;")=0,"",SUMIFS(Base!$C$3:$C$5001,Base!$A$3:$A$5001,M$3,Base!$B$3:$B$5001,$A$41)))</f>
        <v>3</v>
      </c>
      <c r="N41" s="25">
        <f>IF(N$3="","",IF(COUNTIFS(Base!$A$3:$A$5001,N$3,Base!$B$3:$B$5001,$A$41,Base!$C$3:$C$5001,"&lt;&gt;")=0,"",SUMIFS(Base!$C$3:$C$5001,Base!$A$3:$A$5001,N$3,Base!$B$3:$B$5001,$A$41)))</f>
        <v>5</v>
      </c>
      <c r="O41" s="25">
        <f>IF(O$3="","",IF(COUNTIFS(Base!$A$3:$A$5001,O$3,Base!$B$3:$B$5001,$A$41,Base!$C$3:$C$5001,"&lt;&gt;")=0,"",SUMIFS(Base!$C$3:$C$5001,Base!$A$3:$A$5001,O$3,Base!$B$3:$B$5001,$A$41)))</f>
        <v>9</v>
      </c>
      <c r="P41" s="25">
        <f>IF(P$3="","",IF(COUNTIFS(Base!$A$3:$A$5001,P$3,Base!$B$3:$B$5001,$A$41,Base!$C$3:$C$5001,"&lt;&gt;")=0,"",SUMIFS(Base!$C$3:$C$5001,Base!$A$3:$A$5001,P$3,Base!$B$3:$B$5001,$A$41)))</f>
        <v>8</v>
      </c>
      <c r="Q41" s="25" t="str">
        <f>IF(Q$3="","",IF(COUNTIFS(Base!$A$3:$A$5001,Q$3,Base!$B$3:$B$5001,$A$41,Base!$C$3:$C$5001,"&lt;&gt;")=0,"",SUMIFS(Base!$C$3:$C$5001,Base!$A$3:$A$5001,Q$3,Base!$B$3:$B$5001,$A$41)))</f>
        <v/>
      </c>
      <c r="R41" s="25">
        <f>IF(R$3="","",IF(COUNTIFS(Base!$A$3:$A$5001,R$3,Base!$B$3:$B$5001,$A$41,Base!$C$3:$C$5001,"&lt;&gt;")=0,"",SUMIFS(Base!$C$3:$C$5001,Base!$A$3:$A$5001,R$3,Base!$B$3:$B$5001,$A$41)))</f>
        <v>3</v>
      </c>
      <c r="S41" s="25">
        <f>IF(S$3="","",IF(COUNTIFS(Base!$A$3:$A$5001,S$3,Base!$B$3:$B$5001,$A$41,Base!$C$3:$C$5001,"&lt;&gt;")=0,"",SUMIFS(Base!$C$3:$C$5001,Base!$A$3:$A$5001,S$3,Base!$B$3:$B$5001,$A$41)))</f>
        <v>7</v>
      </c>
      <c r="T41" s="25">
        <f>IF(T$3="","",IF(COUNTIFS(Base!$A$3:$A$5001,T$3,Base!$B$3:$B$5001,$A$41,Base!$C$3:$C$5001,"&lt;&gt;")=0,"",SUMIFS(Base!$C$3:$C$5001,Base!$A$3:$A$5001,T$3,Base!$B$3:$B$5001,$A$41)))</f>
        <v>0</v>
      </c>
      <c r="U41" s="25">
        <f>IF(U$3="","",IF(COUNTIFS(Base!$A$3:$A$5001,U$3,Base!$B$3:$B$5001,$A$41,Base!$C$3:$C$5001,"&lt;&gt;")=0,"",SUMIFS(Base!$C$3:$C$5001,Base!$A$3:$A$5001,U$3,Base!$B$3:$B$5001,$A$41)))</f>
        <v>0</v>
      </c>
      <c r="V41" s="25">
        <f>IF(V$3="","",IF(COUNTIFS(Base!$A$3:$A$5001,V$3,Base!$B$3:$B$5001,$A$41,Base!$C$3:$C$5001,"&lt;&gt;")=0,"",SUMIFS(Base!$C$3:$C$5001,Base!$A$3:$A$5001,V$3,Base!$B$3:$B$5001,$A$41)))</f>
        <v>4</v>
      </c>
      <c r="W41" s="25">
        <f>IF(W$3="","",IF(COUNTIFS(Base!$A$3:$A$5001,W$3,Base!$B$3:$B$5001,$A$41,Base!$C$3:$C$5001,"&lt;&gt;")=0,"",SUMIFS(Base!$C$3:$C$5001,Base!$A$3:$A$5001,W$3,Base!$B$3:$B$5001,$A$41)))</f>
        <v>2</v>
      </c>
      <c r="X41" s="25" t="str">
        <f>IF(X$3="","",IF(COUNTIFS(Base!$A$3:$A$5001,X$3,Base!$B$3:$B$5001,$A$41,Base!$C$3:$C$5001,"&lt;&gt;")=0,"",SUMIFS(Base!$C$3:$C$5001,Base!$A$3:$A$5001,X$3,Base!$B$3:$B$5001,$A$41)))</f>
        <v/>
      </c>
      <c r="Y41" s="25" t="str">
        <f>IF(Y$3="","",IF(COUNTIFS(Base!$A$3:$A$5001,Y$3,Base!$B$3:$B$5001,$A$41,Base!$C$3:$C$5001,"&lt;&gt;")=0,"",SUMIFS(Base!$C$3:$C$5001,Base!$A$3:$A$5001,Y$3,Base!$B$3:$B$5001,$A$41)))</f>
        <v/>
      </c>
      <c r="Z41" s="25">
        <f>IF(Z$3="","",IF(COUNTIFS(Base!$A$3:$A$5001,Z$3,Base!$B$3:$B$5001,$A$41,Base!$C$3:$C$5001,"&lt;&gt;")=0,"",SUMIFS(Base!$C$3:$C$5001,Base!$A$3:$A$5001,Z$3,Base!$B$3:$B$5001,$A$41)))</f>
        <v>7</v>
      </c>
      <c r="AA41" s="25">
        <f>IF(AA$3="","",IF(COUNTIFS(Base!$A$3:$A$5001,AA$3,Base!$B$3:$B$5001,$A$41,Base!$C$3:$C$5001,"&lt;&gt;")=0,"",SUMIFS(Base!$C$3:$C$5001,Base!$A$3:$A$5001,AA$3,Base!$B$3:$B$5001,$A$41)))</f>
        <v>6</v>
      </c>
      <c r="AB41" s="25">
        <f>IF(AB$3="","",IF(COUNTIFS(Base!$A$3:$A$5001,AB$3,Base!$B$3:$B$5001,$A$41,Base!$C$3:$C$5001,"&lt;&gt;")=0,"",SUMIFS(Base!$C$3:$C$5001,Base!$A$3:$A$5001,AB$3,Base!$B$3:$B$5001,$A$41)))</f>
        <v>7</v>
      </c>
      <c r="AC41" s="25">
        <f>IF(AC$3="","",IF(COUNTIFS(Base!$A$3:$A$5001,AC$3,Base!$B$3:$B$5001,$A$41,Base!$C$3:$C$5001,"&lt;&gt;")=0,"",SUMIFS(Base!$C$3:$C$5001,Base!$A$3:$A$5001,AC$3,Base!$B$3:$B$5001,$A$41)))</f>
        <v>4</v>
      </c>
      <c r="AD41" s="25">
        <f>IF(AD$3="","",IF(COUNTIFS(Base!$A$3:$A$5001,AD$3,Base!$B$3:$B$5001,$A$41,Base!$C$3:$C$5001,"&lt;&gt;")=0,"",SUMIFS(Base!$C$3:$C$5001,Base!$A$3:$A$5001,AD$3,Base!$B$3:$B$5001,$A$41)))</f>
        <v>0</v>
      </c>
      <c r="AE41" s="25" t="str">
        <f>IF(AE$3="","",IF(COUNTIFS(Base!$A$3:$A$5001,AE$3,Base!$B$3:$B$5001,$A$41,Base!$C$3:$C$5001,"&lt;&gt;")=0,"",SUMIFS(Base!$C$3:$C$5001,Base!$A$3:$A$5001,AE$3,Base!$B$3:$B$5001,$A$41)))</f>
        <v/>
      </c>
      <c r="AF41" s="25" t="str">
        <f>IF(AF$3="","",IF(COUNTIFS(Base!$A$3:$A$5001,AF$3,Base!$B$3:$B$5001,$A$41,Base!$C$3:$C$5001,"&lt;&gt;")=0,"",SUMIFS(Base!$C$3:$C$5001,Base!$A$3:$A$5001,AF$3,Base!$B$3:$B$5001,$A$41)))</f>
        <v/>
      </c>
      <c r="AG41" s="25">
        <f>IF(AG$3="","",IF(COUNTIFS(Base!$A$3:$A$5001,AG$3,Base!$B$3:$B$5001,$A$41,Base!$C$3:$C$5001,"&lt;&gt;")=0,"",SUMIFS(Base!$C$3:$C$5001,Base!$A$3:$A$5001,AG$3,Base!$B$3:$B$5001,$A$41)))</f>
        <v>2</v>
      </c>
      <c r="AH41" s="25">
        <f>IF(AH$3="","",IF(COUNTIFS(Base!$A$3:$A$5001,AH$3,Base!$B$3:$B$5001,$A$41,Base!$C$3:$C$5001,"&lt;&gt;")=0,"",SUMIFS(Base!$C$3:$C$5001,Base!$A$3:$A$5001,AH$3,Base!$B$3:$B$5001,$A$41)))</f>
        <v>0</v>
      </c>
      <c r="AI41" s="25" t="str">
        <f>IF(AI$3="","",IF(COUNTIFS(Base!$A$3:$A$5001,AI$3,Base!$B$3:$B$5001,$A$41,Base!$C$3:$C$5001,"&lt;&gt;")=0,"",SUMIFS(Base!$C$3:$C$5001,Base!$A$3:$A$5001,AI$3,Base!$B$3:$B$5001,$A$41)))</f>
        <v/>
      </c>
      <c r="AJ41" s="26" t="str">
        <f>IF(AJ$3="","",IF(COUNTIFS(Base!$A$3:$A$5001,AJ$3,Base!$B$3:$B$5001,$A$41,Base!$C$3:$C$5001,"&lt;&gt;")=0,"",SUMIFS(Base!$C$3:$C$5001,Base!$A$3:$A$5001,AJ$3,Base!$B$3:$B$5001,$A$41)))</f>
        <v/>
      </c>
      <c r="AK41" s="27">
        <f>IF(COUNT(F41:AJ41)=0,"",SUM(F41:AJ41))</f>
        <v>88</v>
      </c>
    </row>
    <row r="42" ht="15.75" customHeight="1">
      <c r="A42" s="118"/>
      <c r="B42" s="106"/>
      <c r="C42" s="28" t="inlineStr">
        <is>
          <t xml:space="preserve">Pallets Movimentados</t>
        </is>
      </c>
      <c r="D42" s="29"/>
      <c r="E42" s="30"/>
      <c r="F42" s="31">
        <f>IF(F$3="","",IF(COUNTIFS(Base!$A$3:$A$5001,F$3,Base!$B$3:$B$5001,$A$41,Base!$D$3:$D$5001,"&lt;&gt;")=0,"",SUMIFS(Base!$D$3:$D$5001,Base!$A$3:$A$5001,F$3,Base!$B$3:$B$5001,$A$41)))</f>
        <v>84</v>
      </c>
      <c r="G42" s="32">
        <f>IF(G$3="","",IF(COUNTIFS(Base!$A$3:$A$5001,G$3,Base!$B$3:$B$5001,$A$41,Base!$D$3:$D$5001,"&lt;&gt;")=0,"",SUMIFS(Base!$D$3:$D$5001,Base!$A$3:$A$5001,G$3,Base!$B$3:$B$5001,$A$41)))</f>
        <v>120</v>
      </c>
      <c r="H42" s="32">
        <f>IF(H$3="","",IF(COUNTIFS(Base!$A$3:$A$5001,H$3,Base!$B$3:$B$5001,$A$41,Base!$D$3:$D$5001,"&lt;&gt;")=0,"",SUMIFS(Base!$D$3:$D$5001,Base!$A$3:$A$5001,H$3,Base!$B$3:$B$5001,$A$41)))</f>
        <v>20</v>
      </c>
      <c r="I42" s="32">
        <f>IF(I$3="","",IF(COUNTIFS(Base!$A$3:$A$5001,I$3,Base!$B$3:$B$5001,$A$41,Base!$D$3:$D$5001,"&lt;&gt;")=0,"",SUMIFS(Base!$D$3:$D$5001,Base!$A$3:$A$5001,I$3,Base!$B$3:$B$5001,$A$41)))</f>
        <v>66</v>
      </c>
      <c r="J42" s="32">
        <f>IF(J$3="","",IF(COUNTIFS(Base!$A$3:$A$5001,J$3,Base!$B$3:$B$5001,$A$41,Base!$D$3:$D$5001,"&lt;&gt;")=0,"",SUMIFS(Base!$D$3:$D$5001,Base!$A$3:$A$5001,J$3,Base!$B$3:$B$5001,$A$41)))</f>
        <v>54</v>
      </c>
      <c r="K42" s="32">
        <f>IF(K$3="","",IF(COUNTIFS(Base!$A$3:$A$5001,K$3,Base!$B$3:$B$5001,$A$41,Base!$D$3:$D$5001,"&lt;&gt;")=0,"",SUMIFS(Base!$D$3:$D$5001,Base!$A$3:$A$5001,K$3,Base!$B$3:$B$5001,$A$41)))</f>
        <v>100</v>
      </c>
      <c r="L42" s="32">
        <f>IF(L$3="","",IF(COUNTIFS(Base!$A$3:$A$5001,L$3,Base!$B$3:$B$5001,$A$41,Base!$D$3:$D$5001,"&lt;&gt;")=0,"",SUMIFS(Base!$D$3:$D$5001,Base!$A$3:$A$5001,L$3,Base!$B$3:$B$5001,$A$41)))</f>
        <v>52</v>
      </c>
      <c r="M42" s="32">
        <f>IF(M$3="","",IF(COUNTIFS(Base!$A$3:$A$5001,M$3,Base!$B$3:$B$5001,$A$41,Base!$D$3:$D$5001,"&lt;&gt;")=0,"",SUMIFS(Base!$D$3:$D$5001,Base!$A$3:$A$5001,M$3,Base!$B$3:$B$5001,$A$41)))</f>
        <v>66</v>
      </c>
      <c r="N42" s="32">
        <f>IF(N$3="","",IF(COUNTIFS(Base!$A$3:$A$5001,N$3,Base!$B$3:$B$5001,$A$41,Base!$D$3:$D$5001,"&lt;&gt;")=0,"",SUMIFS(Base!$D$3:$D$5001,Base!$A$3:$A$5001,N$3,Base!$B$3:$B$5001,$A$41)))</f>
        <v>135</v>
      </c>
      <c r="O42" s="32">
        <f>IF(O$3="","",IF(COUNTIFS(Base!$A$3:$A$5001,O$3,Base!$B$3:$B$5001,$A$41,Base!$D$3:$D$5001,"&lt;&gt;")=0,"",SUMIFS(Base!$D$3:$D$5001,Base!$A$3:$A$5001,O$3,Base!$B$3:$B$5001,$A$41)))</f>
        <v>252</v>
      </c>
      <c r="P42" s="32">
        <f>IF(P$3="","",IF(COUNTIFS(Base!$A$3:$A$5001,P$3,Base!$B$3:$B$5001,$A$41,Base!$D$3:$D$5001,"&lt;&gt;")=0,"",SUMIFS(Base!$D$3:$D$5001,Base!$A$3:$A$5001,P$3,Base!$B$3:$B$5001,$A$41)))</f>
        <v>216</v>
      </c>
      <c r="Q42" s="32" t="str">
        <f>IF(Q$3="","",IF(COUNTIFS(Base!$A$3:$A$5001,Q$3,Base!$B$3:$B$5001,$A$41,Base!$D$3:$D$5001,"&lt;&gt;")=0,"",SUMIFS(Base!$D$3:$D$5001,Base!$A$3:$A$5001,Q$3,Base!$B$3:$B$5001,$A$41)))</f>
        <v/>
      </c>
      <c r="R42" s="32">
        <f>IF(R$3="","",IF(COUNTIFS(Base!$A$3:$A$5001,R$3,Base!$B$3:$B$5001,$A$41,Base!$D$3:$D$5001,"&lt;&gt;")=0,"",SUMIFS(Base!$D$3:$D$5001,Base!$A$3:$A$5001,R$3,Base!$B$3:$B$5001,$A$41)))</f>
        <v>75</v>
      </c>
      <c r="S42" s="32">
        <f>IF(S$3="","",IF(COUNTIFS(Base!$A$3:$A$5001,S$3,Base!$B$3:$B$5001,$A$41,Base!$D$3:$D$5001,"&lt;&gt;")=0,"",SUMIFS(Base!$D$3:$D$5001,Base!$A$3:$A$5001,S$3,Base!$B$3:$B$5001,$A$41)))</f>
        <v>161</v>
      </c>
      <c r="T42" s="32">
        <f>IF(T$3="","",IF(COUNTIFS(Base!$A$3:$A$5001,T$3,Base!$B$3:$B$5001,$A$41,Base!$D$3:$D$5001,"&lt;&gt;")=0,"",SUMIFS(Base!$D$3:$D$5001,Base!$A$3:$A$5001,T$3,Base!$B$3:$B$5001,$A$41)))</f>
        <v>0</v>
      </c>
      <c r="U42" s="32">
        <f>IF(U$3="","",IF(COUNTIFS(Base!$A$3:$A$5001,U$3,Base!$B$3:$B$5001,$A$41,Base!$D$3:$D$5001,"&lt;&gt;")=0,"",SUMIFS(Base!$D$3:$D$5001,Base!$A$3:$A$5001,U$3,Base!$B$3:$B$5001,$A$41)))</f>
        <v>0</v>
      </c>
      <c r="V42" s="32">
        <f>IF(V$3="","",IF(COUNTIFS(Base!$A$3:$A$5001,V$3,Base!$B$3:$B$5001,$A$41,Base!$D$3:$D$5001,"&lt;&gt;")=0,"",SUMIFS(Base!$D$3:$D$5001,Base!$A$3:$A$5001,V$3,Base!$B$3:$B$5001,$A$41)))</f>
        <v>88</v>
      </c>
      <c r="W42" s="32">
        <f>IF(W$3="","",IF(COUNTIFS(Base!$A$3:$A$5001,W$3,Base!$B$3:$B$5001,$A$41,Base!$D$3:$D$5001,"&lt;&gt;")=0,"",SUMIFS(Base!$D$3:$D$5001,Base!$A$3:$A$5001,W$3,Base!$B$3:$B$5001,$A$41)))</f>
        <v>44</v>
      </c>
      <c r="X42" s="32" t="str">
        <f>IF(X$3="","",IF(COUNTIFS(Base!$A$3:$A$5001,X$3,Base!$B$3:$B$5001,$A$41,Base!$D$3:$D$5001,"&lt;&gt;")=0,"",SUMIFS(Base!$D$3:$D$5001,Base!$A$3:$A$5001,X$3,Base!$B$3:$B$5001,$A$41)))</f>
        <v/>
      </c>
      <c r="Y42" s="32" t="str">
        <f>IF(Y$3="","",IF(COUNTIFS(Base!$A$3:$A$5001,Y$3,Base!$B$3:$B$5001,$A$41,Base!$D$3:$D$5001,"&lt;&gt;")=0,"",SUMIFS(Base!$D$3:$D$5001,Base!$A$3:$A$5001,Y$3,Base!$B$3:$B$5001,$A$41)))</f>
        <v/>
      </c>
      <c r="Z42" s="32">
        <f>IF(Z$3="","",IF(COUNTIFS(Base!$A$3:$A$5001,Z$3,Base!$B$3:$B$5001,$A$41,Base!$D$3:$D$5001,"&lt;&gt;")=0,"",SUMIFS(Base!$D$3:$D$5001,Base!$A$3:$A$5001,Z$3,Base!$B$3:$B$5001,$A$41)))</f>
        <v>147</v>
      </c>
      <c r="AA42" s="32">
        <f>IF(AA$3="","",IF(COUNTIFS(Base!$A$3:$A$5001,AA$3,Base!$B$3:$B$5001,$A$41,Base!$D$3:$D$5001,"&lt;&gt;")=0,"",SUMIFS(Base!$D$3:$D$5001,Base!$A$3:$A$5001,AA$3,Base!$B$3:$B$5001,$A$41)))</f>
        <v>120</v>
      </c>
      <c r="AB42" s="32">
        <f>IF(AB$3="","",IF(COUNTIFS(Base!$A$3:$A$5001,AB$3,Base!$B$3:$B$5001,$A$41,Base!$D$3:$D$5001,"&lt;&gt;")=0,"",SUMIFS(Base!$D$3:$D$5001,Base!$A$3:$A$5001,AB$3,Base!$B$3:$B$5001,$A$41)))</f>
        <v>189</v>
      </c>
      <c r="AC42" s="32">
        <f>IF(AC$3="","",IF(COUNTIFS(Base!$A$3:$A$5001,AC$3,Base!$B$3:$B$5001,$A$41,Base!$D$3:$D$5001,"&lt;&gt;")=0,"",SUMIFS(Base!$D$3:$D$5001,Base!$A$3:$A$5001,AC$3,Base!$B$3:$B$5001,$A$41)))</f>
        <v>88</v>
      </c>
      <c r="AD42" s="32">
        <f>IF(AD$3="","",IF(COUNTIFS(Base!$A$3:$A$5001,AD$3,Base!$B$3:$B$5001,$A$41,Base!$D$3:$D$5001,"&lt;&gt;")=0,"",SUMIFS(Base!$D$3:$D$5001,Base!$A$3:$A$5001,AD$3,Base!$B$3:$B$5001,$A$41)))</f>
        <v>0</v>
      </c>
      <c r="AE42" s="32" t="str">
        <f>IF(AE$3="","",IF(COUNTIFS(Base!$A$3:$A$5001,AE$3,Base!$B$3:$B$5001,$A$41,Base!$D$3:$D$5001,"&lt;&gt;")=0,"",SUMIFS(Base!$D$3:$D$5001,Base!$A$3:$A$5001,AE$3,Base!$B$3:$B$5001,$A$41)))</f>
        <v/>
      </c>
      <c r="AF42" s="32" t="str">
        <f>IF(AF$3="","",IF(COUNTIFS(Base!$A$3:$A$5001,AF$3,Base!$B$3:$B$5001,$A$41,Base!$D$3:$D$5001,"&lt;&gt;")=0,"",SUMIFS(Base!$D$3:$D$5001,Base!$A$3:$A$5001,AF$3,Base!$B$3:$B$5001,$A$41)))</f>
        <v/>
      </c>
      <c r="AG42" s="32">
        <f>IF(AG$3="","",IF(COUNTIFS(Base!$A$3:$A$5001,AG$3,Base!$B$3:$B$5001,$A$41,Base!$D$3:$D$5001,"&lt;&gt;")=0,"",SUMIFS(Base!$D$3:$D$5001,Base!$A$3:$A$5001,AG$3,Base!$B$3:$B$5001,$A$41)))</f>
        <v>54</v>
      </c>
      <c r="AH42" s="32">
        <f>IF(AH$3="","",IF(COUNTIFS(Base!$A$3:$A$5001,AH$3,Base!$B$3:$B$5001,$A$41,Base!$D$3:$D$5001,"&lt;&gt;")=0,"",SUMIFS(Base!$D$3:$D$5001,Base!$A$3:$A$5001,AH$3,Base!$B$3:$B$5001,$A$41)))</f>
        <v>0</v>
      </c>
      <c r="AI42" s="32" t="str">
        <f>IF(AI$3="","",IF(COUNTIFS(Base!$A$3:$A$5001,AI$3,Base!$B$3:$B$5001,$A$41,Base!$D$3:$D$5001,"&lt;&gt;")=0,"",SUMIFS(Base!$D$3:$D$5001,Base!$A$3:$A$5001,AI$3,Base!$B$3:$B$5001,$A$41)))</f>
        <v/>
      </c>
      <c r="AJ42" s="33" t="str">
        <f>IF(AJ$3="","",IF(COUNTIFS(Base!$A$3:$A$5001,AJ$3,Base!$B$3:$B$5001,$A$41,Base!$D$3:$D$5001,"&lt;&gt;")=0,"",SUMIFS(Base!$D$3:$D$5001,Base!$A$3:$A$5001,AJ$3,Base!$B$3:$B$5001,$A$41)))</f>
        <v/>
      </c>
      <c r="AK42" s="34">
        <f>IF(COUNT(F42:AJ42)=0,"",SUM(F42:AJ42))</f>
        <v>2131</v>
      </c>
    </row>
    <row r="43" ht="15.75" customHeight="1">
      <c r="A43" s="118"/>
      <c r="B43" s="107"/>
      <c r="C43" s="35" t="inlineStr">
        <is>
          <t xml:space="preserve">Toneladas Movimentadas</t>
        </is>
      </c>
      <c r="D43" s="36"/>
      <c r="E43" s="37"/>
      <c r="F43" s="38">
        <f>IF(F$3="","",IF(COUNTIFS(Base!$A$3:$A$5001,F$3,Base!$B$3:$B$5001,$A$41,Base!$E$3:$E$5001,"&lt;&gt;")=0,"",SUMIFS(Base!$E$3:$E$5001,Base!$A$3:$A$5001,F$3,Base!$B$3:$B$5001,$A$41)))</f>
        <v>59.49</v>
      </c>
      <c r="G43" s="39">
        <f>IF(G$3="","",IF(COUNTIFS(Base!$A$3:$A$5001,G$3,Base!$B$3:$B$5001,$A$41,Base!$E$3:$E$5001,"&lt;&gt;")=0,"",SUMIFS(Base!$E$3:$E$5001,Base!$A$3:$A$5001,G$3,Base!$B$3:$B$5001,$A$41)))</f>
        <v>82.78</v>
      </c>
      <c r="H43" s="39">
        <f>IF(H$3="","",IF(COUNTIFS(Base!$A$3:$A$5001,H$3,Base!$B$3:$B$5001,$A$41,Base!$E$3:$E$5001,"&lt;&gt;")=0,"",SUMIFS(Base!$E$3:$E$5001,Base!$A$3:$A$5001,H$3,Base!$B$3:$B$5001,$A$41)))</f>
        <v>22.33</v>
      </c>
      <c r="I43" s="39">
        <f>IF(I$3="","",IF(COUNTIFS(Base!$A$3:$A$5001,I$3,Base!$B$3:$B$5001,$A$41,Base!$E$3:$E$5001,"&lt;&gt;")=0,"",SUMIFS(Base!$E$3:$E$5001,Base!$A$3:$A$5001,I$3,Base!$B$3:$B$5001,$A$41)))</f>
        <v>33.79</v>
      </c>
      <c r="J43" s="39">
        <f>IF(J$3="","",IF(COUNTIFS(Base!$A$3:$A$5001,J$3,Base!$B$3:$B$5001,$A$41,Base!$E$3:$E$5001,"&lt;&gt;")=0,"",SUMIFS(Base!$E$3:$E$5001,Base!$A$3:$A$5001,J$3,Base!$B$3:$B$5001,$A$41)))</f>
        <v>29.66</v>
      </c>
      <c r="K43" s="39">
        <f>IF(K$3="","",IF(COUNTIFS(Base!$A$3:$A$5001,K$3,Base!$B$3:$B$5001,$A$41,Base!$E$3:$E$5001,"&lt;&gt;")=0,"",SUMIFS(Base!$E$3:$E$5001,Base!$A$3:$A$5001,K$3,Base!$B$3:$B$5001,$A$41)))</f>
        <v>74.36</v>
      </c>
      <c r="L43" s="39">
        <f>IF(L$3="","",IF(COUNTIFS(Base!$A$3:$A$5001,L$3,Base!$B$3:$B$5001,$A$41,Base!$E$3:$E$5001,"&lt;&gt;")=0,"",SUMIFS(Base!$E$3:$E$5001,Base!$A$3:$A$5001,L$3,Base!$B$3:$B$5001,$A$41)))</f>
        <v>37.98</v>
      </c>
      <c r="M43" s="39">
        <f>IF(M$3="","",IF(COUNTIFS(Base!$A$3:$A$5001,M$3,Base!$B$3:$B$5001,$A$41,Base!$E$3:$E$5001,"&lt;&gt;")=0,"",SUMIFS(Base!$E$3:$E$5001,Base!$A$3:$A$5001,M$3,Base!$B$3:$B$5001,$A$41)))</f>
        <v>62.63</v>
      </c>
      <c r="N43" s="39">
        <f>IF(N$3="","",IF(COUNTIFS(Base!$A$3:$A$5001,N$3,Base!$B$3:$B$5001,$A$41,Base!$E$3:$E$5001,"&lt;&gt;")=0,"",SUMIFS(Base!$E$3:$E$5001,Base!$A$3:$A$5001,N$3,Base!$B$3:$B$5001,$A$41)))</f>
        <v>83.3</v>
      </c>
      <c r="O43" s="39">
        <f>IF(O$3="","",IF(COUNTIFS(Base!$A$3:$A$5001,O$3,Base!$B$3:$B$5001,$A$41,Base!$E$3:$E$5001,"&lt;&gt;")=0,"",SUMIFS(Base!$E$3:$E$5001,Base!$A$3:$A$5001,O$3,Base!$B$3:$B$5001,$A$41)))</f>
        <v>187.52</v>
      </c>
      <c r="P43" s="39">
        <f>IF(P$3="","",IF(COUNTIFS(Base!$A$3:$A$5001,P$3,Base!$B$3:$B$5001,$A$41,Base!$E$3:$E$5001,"&lt;&gt;")=0,"",SUMIFS(Base!$E$3:$E$5001,Base!$A$3:$A$5001,P$3,Base!$B$3:$B$5001,$A$41)))</f>
        <v>81.95</v>
      </c>
      <c r="Q43" s="39" t="str">
        <f>IF(Q$3="","",IF(COUNTIFS(Base!$A$3:$A$5001,Q$3,Base!$B$3:$B$5001,$A$41,Base!$E$3:$E$5001,"&lt;&gt;")=0,"",SUMIFS(Base!$E$3:$E$5001,Base!$A$3:$A$5001,Q$3,Base!$B$3:$B$5001,$A$41)))</f>
        <v/>
      </c>
      <c r="R43" s="39">
        <f>IF(R$3="","",IF(COUNTIFS(Base!$A$3:$A$5001,R$3,Base!$B$3:$B$5001,$A$41,Base!$E$3:$E$5001,"&lt;&gt;")=0,"",SUMIFS(Base!$E$3:$E$5001,Base!$A$3:$A$5001,R$3,Base!$B$3:$B$5001,$A$41)))</f>
        <v>62.31</v>
      </c>
      <c r="S43" s="39">
        <f>IF(S$3="","",IF(COUNTIFS(Base!$A$3:$A$5001,S$3,Base!$B$3:$B$5001,$A$41,Base!$E$3:$E$5001,"&lt;&gt;")=0,"",SUMIFS(Base!$E$3:$E$5001,Base!$A$3:$A$5001,S$3,Base!$B$3:$B$5001,$A$41)))</f>
        <v>84.05</v>
      </c>
      <c r="T43" s="39">
        <f>IF(T$3="","",IF(COUNTIFS(Base!$A$3:$A$5001,T$3,Base!$B$3:$B$5001,$A$41,Base!$E$3:$E$5001,"&lt;&gt;")=0,"",SUMIFS(Base!$E$3:$E$5001,Base!$A$3:$A$5001,T$3,Base!$B$3:$B$5001,$A$41)))</f>
        <v>0</v>
      </c>
      <c r="U43" s="39">
        <f>IF(U$3="","",IF(COUNTIFS(Base!$A$3:$A$5001,U$3,Base!$B$3:$B$5001,$A$41,Base!$E$3:$E$5001,"&lt;&gt;")=0,"",SUMIFS(Base!$E$3:$E$5001,Base!$A$3:$A$5001,U$3,Base!$B$3:$B$5001,$A$41)))</f>
        <v>0</v>
      </c>
      <c r="V43" s="39">
        <f>IF(V$3="","",IF(COUNTIFS(Base!$A$3:$A$5001,V$3,Base!$B$3:$B$5001,$A$41,Base!$E$3:$E$5001,"&lt;&gt;")=0,"",SUMIFS(Base!$E$3:$E$5001,Base!$A$3:$A$5001,V$3,Base!$B$3:$B$5001,$A$41)))</f>
        <v>60.71</v>
      </c>
      <c r="W43" s="39">
        <f>IF(W$3="","",IF(COUNTIFS(Base!$A$3:$A$5001,W$3,Base!$B$3:$B$5001,$A$41,Base!$E$3:$E$5001,"&lt;&gt;")=0,"",SUMIFS(Base!$E$3:$E$5001,Base!$A$3:$A$5001,W$3,Base!$B$3:$B$5001,$A$41)))</f>
        <v>41.11</v>
      </c>
      <c r="X43" s="39" t="str">
        <f>IF(X$3="","",IF(COUNTIFS(Base!$A$3:$A$5001,X$3,Base!$B$3:$B$5001,$A$41,Base!$E$3:$E$5001,"&lt;&gt;")=0,"",SUMIFS(Base!$E$3:$E$5001,Base!$A$3:$A$5001,X$3,Base!$B$3:$B$5001,$A$41)))</f>
        <v/>
      </c>
      <c r="Y43" s="39" t="str">
        <f>IF(Y$3="","",IF(COUNTIFS(Base!$A$3:$A$5001,Y$3,Base!$B$3:$B$5001,$A$41,Base!$E$3:$E$5001,"&lt;&gt;")=0,"",SUMIFS(Base!$E$3:$E$5001,Base!$A$3:$A$5001,Y$3,Base!$B$3:$B$5001,$A$41)))</f>
        <v/>
      </c>
      <c r="Z43" s="39">
        <f>IF(Z$3="","",IF(COUNTIFS(Base!$A$3:$A$5001,Z$3,Base!$B$3:$B$5001,$A$41,Base!$E$3:$E$5001,"&lt;&gt;")=0,"",SUMIFS(Base!$E$3:$E$5001,Base!$A$3:$A$5001,Z$3,Base!$B$3:$B$5001,$A$41)))</f>
        <v>99.82</v>
      </c>
      <c r="AA43" s="39">
        <f>IF(AA$3="","",IF(COUNTIFS(Base!$A$3:$A$5001,AA$3,Base!$B$3:$B$5001,$A$41,Base!$E$3:$E$5001,"&lt;&gt;")=0,"",SUMIFS(Base!$E$3:$E$5001,Base!$A$3:$A$5001,AA$3,Base!$B$3:$B$5001,$A$41)))</f>
        <v>99.43</v>
      </c>
      <c r="AB43" s="39">
        <f>IF(AB$3="","",IF(COUNTIFS(Base!$A$3:$A$5001,AB$3,Base!$B$3:$B$5001,$A$41,Base!$E$3:$E$5001,"&lt;&gt;")=0,"",SUMIFS(Base!$E$3:$E$5001,Base!$A$3:$A$5001,AB$3,Base!$B$3:$B$5001,$A$41)))</f>
        <v>94.89</v>
      </c>
      <c r="AC43" s="39">
        <f>IF(AC$3="","",IF(COUNTIFS(Base!$A$3:$A$5001,AC$3,Base!$B$3:$B$5001,$A$41,Base!$E$3:$E$5001,"&lt;&gt;")=0,"",SUMIFS(Base!$E$3:$E$5001,Base!$A$3:$A$5001,AC$3,Base!$B$3:$B$5001,$A$41)))</f>
        <v>78.51</v>
      </c>
      <c r="AD43" s="39">
        <f>IF(AD$3="","",IF(COUNTIFS(Base!$A$3:$A$5001,AD$3,Base!$B$3:$B$5001,$A$41,Base!$E$3:$E$5001,"&lt;&gt;")=0,"",SUMIFS(Base!$E$3:$E$5001,Base!$A$3:$A$5001,AD$3,Base!$B$3:$B$5001,$A$41)))</f>
        <v>0</v>
      </c>
      <c r="AE43" s="39" t="str">
        <f>IF(AE$3="","",IF(COUNTIFS(Base!$A$3:$A$5001,AE$3,Base!$B$3:$B$5001,$A$41,Base!$E$3:$E$5001,"&lt;&gt;")=0,"",SUMIFS(Base!$E$3:$E$5001,Base!$A$3:$A$5001,AE$3,Base!$B$3:$B$5001,$A$41)))</f>
        <v/>
      </c>
      <c r="AF43" s="39" t="str">
        <f>IF(AF$3="","",IF(COUNTIFS(Base!$A$3:$A$5001,AF$3,Base!$B$3:$B$5001,$A$41,Base!$E$3:$E$5001,"&lt;&gt;")=0,"",SUMIFS(Base!$E$3:$E$5001,Base!$A$3:$A$5001,AF$3,Base!$B$3:$B$5001,$A$41)))</f>
        <v/>
      </c>
      <c r="AG43" s="39">
        <f>IF(AG$3="","",IF(COUNTIFS(Base!$A$3:$A$5001,AG$3,Base!$B$3:$B$5001,$A$41,Base!$E$3:$E$5001,"&lt;&gt;")=0,"",SUMIFS(Base!$E$3:$E$5001,Base!$A$3:$A$5001,AG$3,Base!$B$3:$B$5001,$A$41)))</f>
        <v>32.71</v>
      </c>
      <c r="AH43" s="39">
        <f>IF(AH$3="","",IF(COUNTIFS(Base!$A$3:$A$5001,AH$3,Base!$B$3:$B$5001,$A$41,Base!$E$3:$E$5001,"&lt;&gt;")=0,"",SUMIFS(Base!$E$3:$E$5001,Base!$A$3:$A$5001,AH$3,Base!$B$3:$B$5001,$A$41)))</f>
        <v>0</v>
      </c>
      <c r="AI43" s="39" t="str">
        <f>IF(AI$3="","",IF(COUNTIFS(Base!$A$3:$A$5001,AI$3,Base!$B$3:$B$5001,$A$41,Base!$E$3:$E$5001,"&lt;&gt;")=0,"",SUMIFS(Base!$E$3:$E$5001,Base!$A$3:$A$5001,AI$3,Base!$B$3:$B$5001,$A$41)))</f>
        <v/>
      </c>
      <c r="AJ43" s="40" t="str">
        <f>IF(AJ$3="","",IF(COUNTIFS(Base!$A$3:$A$5001,AJ$3,Base!$B$3:$B$5001,$A$41,Base!$E$3:$E$5001,"&lt;&gt;")=0,"",SUMIFS(Base!$E$3:$E$5001,Base!$A$3:$A$5001,AJ$3,Base!$B$3:$B$5001,$A$41)))</f>
        <v/>
      </c>
      <c r="AK43" s="36">
        <f>IF(COUNT(F43:AJ43)=0,"",SUM(F43:AJ43))</f>
        <v>1409.33</v>
      </c>
    </row>
    <row r="44" ht="15.75" customHeight="1">
      <c r="A44" s="118"/>
      <c r="B44" s="108" t="inlineStr">
        <is>
          <t xml:space="preserve">OUT</t>
        </is>
      </c>
      <c r="C44" s="41" t="inlineStr">
        <is>
          <t xml:space="preserve">Veículos Expedidos</t>
        </is>
      </c>
      <c r="D44" s="42"/>
      <c r="E44" s="43"/>
      <c r="F44" s="44">
        <f>IF(F$3="","",IF(COUNTIFS(Base!$A$3:$A$5001,F$3,Base!$B$3:$B$5001,$A$41,Base!$F$3:$F$5001,"&lt;&gt;")=0,"",SUMIFS(Base!$F$3:$F$5001,Base!$A$3:$A$5001,F$3,Base!$B$3:$B$5001,$A$41)))</f>
        <v>2</v>
      </c>
      <c r="G44" s="45">
        <f>IF(G$3="","",IF(COUNTIFS(Base!$A$3:$A$5001,G$3,Base!$B$3:$B$5001,$A$41,Base!$F$3:$F$5001,"&lt;&gt;")=0,"",SUMIFS(Base!$F$3:$F$5001,Base!$A$3:$A$5001,G$3,Base!$B$3:$B$5001,$A$41)))</f>
        <v>12</v>
      </c>
      <c r="H44" s="45">
        <f>IF(H$3="","",IF(COUNTIFS(Base!$A$3:$A$5001,H$3,Base!$B$3:$B$5001,$A$41,Base!$F$3:$F$5001,"&lt;&gt;")=0,"",SUMIFS(Base!$F$3:$F$5001,Base!$A$3:$A$5001,H$3,Base!$B$3:$B$5001,$A$41)))</f>
        <v>4</v>
      </c>
      <c r="I44" s="45">
        <f>IF(I$3="","",IF(COUNTIFS(Base!$A$3:$A$5001,I$3,Base!$B$3:$B$5001,$A$41,Base!$F$3:$F$5001,"&lt;&gt;")=0,"",SUMIFS(Base!$F$3:$F$5001,Base!$A$3:$A$5001,I$3,Base!$B$3:$B$5001,$A$41)))</f>
        <v>4</v>
      </c>
      <c r="J44" s="45">
        <f>IF(J$3="","",IF(COUNTIFS(Base!$A$3:$A$5001,J$3,Base!$B$3:$B$5001,$A$41,Base!$F$3:$F$5001,"&lt;&gt;")=0,"",SUMIFS(Base!$F$3:$F$5001,Base!$A$3:$A$5001,J$3,Base!$B$3:$B$5001,$A$41)))</f>
        <v>8</v>
      </c>
      <c r="K44" s="45">
        <f>IF(K$3="","",IF(COUNTIFS(Base!$A$3:$A$5001,K$3,Base!$B$3:$B$5001,$A$41,Base!$F$3:$F$5001,"&lt;&gt;")=0,"",SUMIFS(Base!$F$3:$F$5001,Base!$A$3:$A$5001,K$3,Base!$B$3:$B$5001,$A$41)))</f>
        <v>11</v>
      </c>
      <c r="L44" s="45">
        <f>IF(L$3="","",IF(COUNTIFS(Base!$A$3:$A$5001,L$3,Base!$B$3:$B$5001,$A$41,Base!$F$3:$F$5001,"&lt;&gt;")=0,"",SUMIFS(Base!$F$3:$F$5001,Base!$A$3:$A$5001,L$3,Base!$B$3:$B$5001,$A$41)))</f>
        <v>12</v>
      </c>
      <c r="M44" s="45">
        <f>IF(M$3="","",IF(COUNTIFS(Base!$A$3:$A$5001,M$3,Base!$B$3:$B$5001,$A$41,Base!$F$3:$F$5001,"&lt;&gt;")=0,"",SUMIFS(Base!$F$3:$F$5001,Base!$A$3:$A$5001,M$3,Base!$B$3:$B$5001,$A$41)))</f>
        <v>9</v>
      </c>
      <c r="N44" s="45">
        <f>IF(N$3="","",IF(COUNTIFS(Base!$A$3:$A$5001,N$3,Base!$B$3:$B$5001,$A$41,Base!$F$3:$F$5001,"&lt;&gt;")=0,"",SUMIFS(Base!$F$3:$F$5001,Base!$A$3:$A$5001,N$3,Base!$B$3:$B$5001,$A$41)))</f>
        <v>0</v>
      </c>
      <c r="O44" s="45">
        <f>IF(O$3="","",IF(COUNTIFS(Base!$A$3:$A$5001,O$3,Base!$B$3:$B$5001,$A$41,Base!$F$3:$F$5001,"&lt;&gt;")=0,"",SUMIFS(Base!$F$3:$F$5001,Base!$A$3:$A$5001,O$3,Base!$B$3:$B$5001,$A$41)))</f>
        <v>2</v>
      </c>
      <c r="P44" s="45">
        <f>IF(P$3="","",IF(COUNTIFS(Base!$A$3:$A$5001,P$3,Base!$B$3:$B$5001,$A$41,Base!$F$3:$F$5001,"&lt;&gt;")=0,"",SUMIFS(Base!$F$3:$F$5001,Base!$A$3:$A$5001,P$3,Base!$B$3:$B$5001,$A$41)))</f>
        <v>10</v>
      </c>
      <c r="Q44" s="45" t="str">
        <f>IF(Q$3="","",IF(COUNTIFS(Base!$A$3:$A$5001,Q$3,Base!$B$3:$B$5001,$A$41,Base!$F$3:$F$5001,"&lt;&gt;")=0,"",SUMIFS(Base!$F$3:$F$5001,Base!$A$3:$A$5001,Q$3,Base!$B$3:$B$5001,$A$41)))</f>
        <v/>
      </c>
      <c r="R44" s="45">
        <f>IF(R$3="","",IF(COUNTIFS(Base!$A$3:$A$5001,R$3,Base!$B$3:$B$5001,$A$41,Base!$F$3:$F$5001,"&lt;&gt;")=0,"",SUMIFS(Base!$F$3:$F$5001,Base!$A$3:$A$5001,R$3,Base!$B$3:$B$5001,$A$41)))</f>
        <v>9</v>
      </c>
      <c r="S44" s="45">
        <f>IF(S$3="","",IF(COUNTIFS(Base!$A$3:$A$5001,S$3,Base!$B$3:$B$5001,$A$41,Base!$F$3:$F$5001,"&lt;&gt;")=0,"",SUMIFS(Base!$F$3:$F$5001,Base!$A$3:$A$5001,S$3,Base!$B$3:$B$5001,$A$41)))</f>
        <v>10</v>
      </c>
      <c r="T44" s="45">
        <f>IF(T$3="","",IF(COUNTIFS(Base!$A$3:$A$5001,T$3,Base!$B$3:$B$5001,$A$41,Base!$F$3:$F$5001,"&lt;&gt;")=0,"",SUMIFS(Base!$F$3:$F$5001,Base!$A$3:$A$5001,T$3,Base!$B$3:$B$5001,$A$41)))</f>
        <v>4</v>
      </c>
      <c r="U44" s="45">
        <f>IF(U$3="","",IF(COUNTIFS(Base!$A$3:$A$5001,U$3,Base!$B$3:$B$5001,$A$41,Base!$F$3:$F$5001,"&lt;&gt;")=0,"",SUMIFS(Base!$F$3:$F$5001,Base!$A$3:$A$5001,U$3,Base!$B$3:$B$5001,$A$41)))</f>
        <v>4</v>
      </c>
      <c r="V44" s="45">
        <f>IF(V$3="","",IF(COUNTIFS(Base!$A$3:$A$5001,V$3,Base!$B$3:$B$5001,$A$41,Base!$F$3:$F$5001,"&lt;&gt;")=0,"",SUMIFS(Base!$F$3:$F$5001,Base!$A$3:$A$5001,V$3,Base!$B$3:$B$5001,$A$41)))</f>
        <v>4</v>
      </c>
      <c r="W44" s="45">
        <f>IF(W$3="","",IF(COUNTIFS(Base!$A$3:$A$5001,W$3,Base!$B$3:$B$5001,$A$41,Base!$F$3:$F$5001,"&lt;&gt;")=0,"",SUMIFS(Base!$F$3:$F$5001,Base!$A$3:$A$5001,W$3,Base!$B$3:$B$5001,$A$41)))</f>
        <v>1</v>
      </c>
      <c r="X44" s="45" t="str">
        <f>IF(X$3="","",IF(COUNTIFS(Base!$A$3:$A$5001,X$3,Base!$B$3:$B$5001,$A$41,Base!$F$3:$F$5001,"&lt;&gt;")=0,"",SUMIFS(Base!$F$3:$F$5001,Base!$A$3:$A$5001,X$3,Base!$B$3:$B$5001,$A$41)))</f>
        <v/>
      </c>
      <c r="Y44" s="45" t="str">
        <f>IF(Y$3="","",IF(COUNTIFS(Base!$A$3:$A$5001,Y$3,Base!$B$3:$B$5001,$A$41,Base!$F$3:$F$5001,"&lt;&gt;")=0,"",SUMIFS(Base!$F$3:$F$5001,Base!$A$3:$A$5001,Y$3,Base!$B$3:$B$5001,$A$41)))</f>
        <v/>
      </c>
      <c r="Z44" s="45">
        <f>IF(Z$3="","",IF(COUNTIFS(Base!$A$3:$A$5001,Z$3,Base!$B$3:$B$5001,$A$41,Base!$F$3:$F$5001,"&lt;&gt;")=0,"",SUMIFS(Base!$F$3:$F$5001,Base!$A$3:$A$5001,Z$3,Base!$B$3:$B$5001,$A$41)))</f>
        <v>4</v>
      </c>
      <c r="AA44" s="45">
        <f>IF(AA$3="","",IF(COUNTIFS(Base!$A$3:$A$5001,AA$3,Base!$B$3:$B$5001,$A$41,Base!$F$3:$F$5001,"&lt;&gt;")=0,"",SUMIFS(Base!$F$3:$F$5001,Base!$A$3:$A$5001,AA$3,Base!$B$3:$B$5001,$A$41)))</f>
        <v>6</v>
      </c>
      <c r="AB44" s="45">
        <f>IF(AB$3="","",IF(COUNTIFS(Base!$A$3:$A$5001,AB$3,Base!$B$3:$B$5001,$A$41,Base!$F$3:$F$5001,"&lt;&gt;")=0,"",SUMIFS(Base!$F$3:$F$5001,Base!$A$3:$A$5001,AB$3,Base!$B$3:$B$5001,$A$41)))</f>
        <v>0</v>
      </c>
      <c r="AC44" s="45">
        <f>IF(AC$3="","",IF(COUNTIFS(Base!$A$3:$A$5001,AC$3,Base!$B$3:$B$5001,$A$41,Base!$F$3:$F$5001,"&lt;&gt;")=0,"",SUMIFS(Base!$F$3:$F$5001,Base!$A$3:$A$5001,AC$3,Base!$B$3:$B$5001,$A$41)))</f>
        <v>0</v>
      </c>
      <c r="AD44" s="45">
        <f>IF(AD$3="","",IF(COUNTIFS(Base!$A$3:$A$5001,AD$3,Base!$B$3:$B$5001,$A$41,Base!$F$3:$F$5001,"&lt;&gt;")=0,"",SUMIFS(Base!$F$3:$F$5001,Base!$A$3:$A$5001,AD$3,Base!$B$3:$B$5001,$A$41)))</f>
        <v>12</v>
      </c>
      <c r="AE44" s="45" t="str">
        <f>IF(AE$3="","",IF(COUNTIFS(Base!$A$3:$A$5001,AE$3,Base!$B$3:$B$5001,$A$41,Base!$F$3:$F$5001,"&lt;&gt;")=0,"",SUMIFS(Base!$F$3:$F$5001,Base!$A$3:$A$5001,AE$3,Base!$B$3:$B$5001,$A$41)))</f>
        <v/>
      </c>
      <c r="AF44" s="45" t="str">
        <f>IF(AF$3="","",IF(COUNTIFS(Base!$A$3:$A$5001,AF$3,Base!$B$3:$B$5001,$A$41,Base!$F$3:$F$5001,"&lt;&gt;")=0,"",SUMIFS(Base!$F$3:$F$5001,Base!$A$3:$A$5001,AF$3,Base!$B$3:$B$5001,$A$41)))</f>
        <v/>
      </c>
      <c r="AG44" s="45">
        <f>IF(AG$3="","",IF(COUNTIFS(Base!$A$3:$A$5001,AG$3,Base!$B$3:$B$5001,$A$41,Base!$F$3:$F$5001,"&lt;&gt;")=0,"",SUMIFS(Base!$F$3:$F$5001,Base!$A$3:$A$5001,AG$3,Base!$B$3:$B$5001,$A$41)))</f>
        <v>12</v>
      </c>
      <c r="AH44" s="45">
        <f>IF(AH$3="","",IF(COUNTIFS(Base!$A$3:$A$5001,AH$3,Base!$B$3:$B$5001,$A$41,Base!$F$3:$F$5001,"&lt;&gt;")=0,"",SUMIFS(Base!$F$3:$F$5001,Base!$A$3:$A$5001,AH$3,Base!$B$3:$B$5001,$A$41)))</f>
        <v>0</v>
      </c>
      <c r="AI44" s="45" t="str">
        <f>IF(AI$3="","",IF(COUNTIFS(Base!$A$3:$A$5001,AI$3,Base!$B$3:$B$5001,$A$41,Base!$F$3:$F$5001,"&lt;&gt;")=0,"",SUMIFS(Base!$F$3:$F$5001,Base!$A$3:$A$5001,AI$3,Base!$B$3:$B$5001,$A$41)))</f>
        <v/>
      </c>
      <c r="AJ44" s="46" t="str">
        <f>IF(AJ$3="","",IF(COUNTIFS(Base!$A$3:$A$5001,AJ$3,Base!$B$3:$B$5001,$A$41,Base!$F$3:$F$5001,"&lt;&gt;")=0,"",SUMIFS(Base!$F$3:$F$5001,Base!$A$3:$A$5001,AJ$3,Base!$B$3:$B$5001,$A$41)))</f>
        <v/>
      </c>
      <c r="AK44" s="47">
        <f>IF(COUNT(F44:AJ44)=0,"",SUM(F44:AJ44))</f>
        <v>140</v>
      </c>
    </row>
    <row r="45" ht="15.75" customHeight="1">
      <c r="A45" s="118"/>
      <c r="B45" s="109"/>
      <c r="C45" s="48" t="inlineStr">
        <is>
          <t xml:space="preserve">Pallets Movimentados</t>
        </is>
      </c>
      <c r="D45" s="49"/>
      <c r="E45" s="50"/>
      <c r="F45" s="51">
        <f>IF(F$3="","",IF(COUNTIFS(Base!$A$3:$A$5001,F$3,Base!$B$3:$B$5001,$A$41,Base!$G$3:$G$5001,"&lt;&gt;")=0,"",SUMIFS(Base!$G$3:$G$5001,Base!$A$3:$A$5001,F$3,Base!$B$3:$B$5001,$A$41)))</f>
        <v>36</v>
      </c>
      <c r="G45" s="52">
        <f>IF(G$3="","",IF(COUNTIFS(Base!$A$3:$A$5001,G$3,Base!$B$3:$B$5001,$A$41,Base!$G$3:$G$5001,"&lt;&gt;")=0,"",SUMIFS(Base!$G$3:$G$5001,Base!$A$3:$A$5001,G$3,Base!$B$3:$B$5001,$A$41)))</f>
        <v>216</v>
      </c>
      <c r="H45" s="52">
        <f>IF(H$3="","",IF(COUNTIFS(Base!$A$3:$A$5001,H$3,Base!$B$3:$B$5001,$A$41,Base!$G$3:$G$5001,"&lt;&gt;")=0,"",SUMIFS(Base!$G$3:$G$5001,Base!$A$3:$A$5001,H$3,Base!$B$3:$B$5001,$A$41)))</f>
        <v>72</v>
      </c>
      <c r="I45" s="52">
        <f>IF(I$3="","",IF(COUNTIFS(Base!$A$3:$A$5001,I$3,Base!$B$3:$B$5001,$A$41,Base!$G$3:$G$5001,"&lt;&gt;")=0,"",SUMIFS(Base!$G$3:$G$5001,Base!$A$3:$A$5001,I$3,Base!$B$3:$B$5001,$A$41)))</f>
        <v>72</v>
      </c>
      <c r="J45" s="52">
        <f>IF(J$3="","",IF(COUNTIFS(Base!$A$3:$A$5001,J$3,Base!$B$3:$B$5001,$A$41,Base!$G$3:$G$5001,"&lt;&gt;")=0,"",SUMIFS(Base!$G$3:$G$5001,Base!$A$3:$A$5001,J$3,Base!$B$3:$B$5001,$A$41)))</f>
        <v>144</v>
      </c>
      <c r="K45" s="52">
        <f>IF(K$3="","",IF(COUNTIFS(Base!$A$3:$A$5001,K$3,Base!$B$3:$B$5001,$A$41,Base!$G$3:$G$5001,"&lt;&gt;")=0,"",SUMIFS(Base!$G$3:$G$5001,Base!$A$3:$A$5001,K$3,Base!$B$3:$B$5001,$A$41)))</f>
        <v>198</v>
      </c>
      <c r="L45" s="52">
        <f>IF(L$3="","",IF(COUNTIFS(Base!$A$3:$A$5001,L$3,Base!$B$3:$B$5001,$A$41,Base!$G$3:$G$5001,"&lt;&gt;")=0,"",SUMIFS(Base!$G$3:$G$5001,Base!$A$3:$A$5001,L$3,Base!$B$3:$B$5001,$A$41)))</f>
        <v>216</v>
      </c>
      <c r="M45" s="52">
        <f>IF(M$3="","",IF(COUNTIFS(Base!$A$3:$A$5001,M$3,Base!$B$3:$B$5001,$A$41,Base!$G$3:$G$5001,"&lt;&gt;")=0,"",SUMIFS(Base!$G$3:$G$5001,Base!$A$3:$A$5001,M$3,Base!$B$3:$B$5001,$A$41)))</f>
        <v>162</v>
      </c>
      <c r="N45" s="52">
        <f>IF(N$3="","",IF(COUNTIFS(Base!$A$3:$A$5001,N$3,Base!$B$3:$B$5001,$A$41,Base!$G$3:$G$5001,"&lt;&gt;")=0,"",SUMIFS(Base!$G$3:$G$5001,Base!$A$3:$A$5001,N$3,Base!$B$3:$B$5001,$A$41)))</f>
        <v>0</v>
      </c>
      <c r="O45" s="52">
        <f>IF(O$3="","",IF(COUNTIFS(Base!$A$3:$A$5001,O$3,Base!$B$3:$B$5001,$A$41,Base!$G$3:$G$5001,"&lt;&gt;")=0,"",SUMIFS(Base!$G$3:$G$5001,Base!$A$3:$A$5001,O$3,Base!$B$3:$B$5001,$A$41)))</f>
        <v>36</v>
      </c>
      <c r="P45" s="52">
        <f>IF(P$3="","",IF(COUNTIFS(Base!$A$3:$A$5001,P$3,Base!$B$3:$B$5001,$A$41,Base!$G$3:$G$5001,"&lt;&gt;")=0,"",SUMIFS(Base!$G$3:$G$5001,Base!$A$3:$A$5001,P$3,Base!$B$3:$B$5001,$A$41)))</f>
        <v>180</v>
      </c>
      <c r="Q45" s="52" t="str">
        <f>IF(Q$3="","",IF(COUNTIFS(Base!$A$3:$A$5001,Q$3,Base!$B$3:$B$5001,$A$41,Base!$G$3:$G$5001,"&lt;&gt;")=0,"",SUMIFS(Base!$G$3:$G$5001,Base!$A$3:$A$5001,Q$3,Base!$B$3:$B$5001,$A$41)))</f>
        <v/>
      </c>
      <c r="R45" s="52">
        <f>IF(R$3="","",IF(COUNTIFS(Base!$A$3:$A$5001,R$3,Base!$B$3:$B$5001,$A$41,Base!$G$3:$G$5001,"&lt;&gt;")=0,"",SUMIFS(Base!$G$3:$G$5001,Base!$A$3:$A$5001,R$3,Base!$B$3:$B$5001,$A$41)))</f>
        <v>162</v>
      </c>
      <c r="S45" s="52">
        <f>IF(S$3="","",IF(COUNTIFS(Base!$A$3:$A$5001,S$3,Base!$B$3:$B$5001,$A$41,Base!$G$3:$G$5001,"&lt;&gt;")=0,"",SUMIFS(Base!$G$3:$G$5001,Base!$A$3:$A$5001,S$3,Base!$B$3:$B$5001,$A$41)))</f>
        <v>180</v>
      </c>
      <c r="T45" s="52">
        <f>IF(T$3="","",IF(COUNTIFS(Base!$A$3:$A$5001,T$3,Base!$B$3:$B$5001,$A$41,Base!$G$3:$G$5001,"&lt;&gt;")=0,"",SUMIFS(Base!$G$3:$G$5001,Base!$A$3:$A$5001,T$3,Base!$B$3:$B$5001,$A$41)))</f>
        <v>72</v>
      </c>
      <c r="U45" s="52">
        <f>IF(U$3="","",IF(COUNTIFS(Base!$A$3:$A$5001,U$3,Base!$B$3:$B$5001,$A$41,Base!$G$3:$G$5001,"&lt;&gt;")=0,"",SUMIFS(Base!$G$3:$G$5001,Base!$A$3:$A$5001,U$3,Base!$B$3:$B$5001,$A$41)))</f>
        <v>72</v>
      </c>
      <c r="V45" s="52">
        <f>IF(V$3="","",IF(COUNTIFS(Base!$A$3:$A$5001,V$3,Base!$B$3:$B$5001,$A$41,Base!$G$3:$G$5001,"&lt;&gt;")=0,"",SUMIFS(Base!$G$3:$G$5001,Base!$A$3:$A$5001,V$3,Base!$B$3:$B$5001,$A$41)))</f>
        <v>72</v>
      </c>
      <c r="W45" s="52">
        <f>IF(W$3="","",IF(COUNTIFS(Base!$A$3:$A$5001,W$3,Base!$B$3:$B$5001,$A$41,Base!$G$3:$G$5001,"&lt;&gt;")=0,"",SUMIFS(Base!$G$3:$G$5001,Base!$A$3:$A$5001,W$3,Base!$B$3:$B$5001,$A$41)))</f>
        <v>18</v>
      </c>
      <c r="X45" s="52" t="str">
        <f>IF(X$3="","",IF(COUNTIFS(Base!$A$3:$A$5001,X$3,Base!$B$3:$B$5001,$A$41,Base!$G$3:$G$5001,"&lt;&gt;")=0,"",SUMIFS(Base!$G$3:$G$5001,Base!$A$3:$A$5001,X$3,Base!$B$3:$B$5001,$A$41)))</f>
        <v/>
      </c>
      <c r="Y45" s="52" t="str">
        <f>IF(Y$3="","",IF(COUNTIFS(Base!$A$3:$A$5001,Y$3,Base!$B$3:$B$5001,$A$41,Base!$G$3:$G$5001,"&lt;&gt;")=0,"",SUMIFS(Base!$G$3:$G$5001,Base!$A$3:$A$5001,Y$3,Base!$B$3:$B$5001,$A$41)))</f>
        <v/>
      </c>
      <c r="Z45" s="52">
        <f>IF(Z$3="","",IF(COUNTIFS(Base!$A$3:$A$5001,Z$3,Base!$B$3:$B$5001,$A$41,Base!$G$3:$G$5001,"&lt;&gt;")=0,"",SUMIFS(Base!$G$3:$G$5001,Base!$A$3:$A$5001,Z$3,Base!$B$3:$B$5001,$A$41)))</f>
        <v>72</v>
      </c>
      <c r="AA45" s="52">
        <f>IF(AA$3="","",IF(COUNTIFS(Base!$A$3:$A$5001,AA$3,Base!$B$3:$B$5001,$A$41,Base!$G$3:$G$5001,"&lt;&gt;")=0,"",SUMIFS(Base!$G$3:$G$5001,Base!$A$3:$A$5001,AA$3,Base!$B$3:$B$5001,$A$41)))</f>
        <v>108</v>
      </c>
      <c r="AB45" s="52">
        <f>IF(AB$3="","",IF(COUNTIFS(Base!$A$3:$A$5001,AB$3,Base!$B$3:$B$5001,$A$41,Base!$G$3:$G$5001,"&lt;&gt;")=0,"",SUMIFS(Base!$G$3:$G$5001,Base!$A$3:$A$5001,AB$3,Base!$B$3:$B$5001,$A$41)))</f>
        <v>0</v>
      </c>
      <c r="AC45" s="52">
        <f>IF(AC$3="","",IF(COUNTIFS(Base!$A$3:$A$5001,AC$3,Base!$B$3:$B$5001,$A$41,Base!$G$3:$G$5001,"&lt;&gt;")=0,"",SUMIFS(Base!$G$3:$G$5001,Base!$A$3:$A$5001,AC$3,Base!$B$3:$B$5001,$A$41)))</f>
        <v>0</v>
      </c>
      <c r="AD45" s="52">
        <f>IF(AD$3="","",IF(COUNTIFS(Base!$A$3:$A$5001,AD$3,Base!$B$3:$B$5001,$A$41,Base!$G$3:$G$5001,"&lt;&gt;")=0,"",SUMIFS(Base!$G$3:$G$5001,Base!$A$3:$A$5001,AD$3,Base!$B$3:$B$5001,$A$41)))</f>
        <v>216</v>
      </c>
      <c r="AE45" s="52" t="str">
        <f>IF(AE$3="","",IF(COUNTIFS(Base!$A$3:$A$5001,AE$3,Base!$B$3:$B$5001,$A$41,Base!$G$3:$G$5001,"&lt;&gt;")=0,"",SUMIFS(Base!$G$3:$G$5001,Base!$A$3:$A$5001,AE$3,Base!$B$3:$B$5001,$A$41)))</f>
        <v/>
      </c>
      <c r="AF45" s="52" t="str">
        <f>IF(AF$3="","",IF(COUNTIFS(Base!$A$3:$A$5001,AF$3,Base!$B$3:$B$5001,$A$41,Base!$G$3:$G$5001,"&lt;&gt;")=0,"",SUMIFS(Base!$G$3:$G$5001,Base!$A$3:$A$5001,AF$3,Base!$B$3:$B$5001,$A$41)))</f>
        <v/>
      </c>
      <c r="AG45" s="52">
        <f>IF(AG$3="","",IF(COUNTIFS(Base!$A$3:$A$5001,AG$3,Base!$B$3:$B$5001,$A$41,Base!$G$3:$G$5001,"&lt;&gt;")=0,"",SUMIFS(Base!$G$3:$G$5001,Base!$A$3:$A$5001,AG$3,Base!$B$3:$B$5001,$A$41)))</f>
        <v>216</v>
      </c>
      <c r="AH45" s="52">
        <f>IF(AH$3="","",IF(COUNTIFS(Base!$A$3:$A$5001,AH$3,Base!$B$3:$B$5001,$A$41,Base!$G$3:$G$5001,"&lt;&gt;")=0,"",SUMIFS(Base!$G$3:$G$5001,Base!$A$3:$A$5001,AH$3,Base!$B$3:$B$5001,$A$41)))</f>
        <v>0</v>
      </c>
      <c r="AI45" s="52" t="str">
        <f>IF(AI$3="","",IF(COUNTIFS(Base!$A$3:$A$5001,AI$3,Base!$B$3:$B$5001,$A$41,Base!$G$3:$G$5001,"&lt;&gt;")=0,"",SUMIFS(Base!$G$3:$G$5001,Base!$A$3:$A$5001,AI$3,Base!$B$3:$B$5001,$A$41)))</f>
        <v/>
      </c>
      <c r="AJ45" s="53" t="str">
        <f>IF(AJ$3="","",IF(COUNTIFS(Base!$A$3:$A$5001,AJ$3,Base!$B$3:$B$5001,$A$41,Base!$G$3:$G$5001,"&lt;&gt;")=0,"",SUMIFS(Base!$G$3:$G$5001,Base!$A$3:$A$5001,AJ$3,Base!$B$3:$B$5001,$A$41)))</f>
        <v/>
      </c>
      <c r="AK45" s="54">
        <f>IF(COUNT(F45:AJ45)=0,"",SUM(F45:AJ45))</f>
        <v>2520</v>
      </c>
    </row>
    <row r="46" ht="15.75" customHeight="1">
      <c r="A46" s="118"/>
      <c r="B46" s="110"/>
      <c r="C46" s="55" t="inlineStr">
        <is>
          <t xml:space="preserve">Toneladas Movimentadas</t>
        </is>
      </c>
      <c r="D46" s="56"/>
      <c r="E46" s="57"/>
      <c r="F46" s="58">
        <f>IF(F$3="","",IF(COUNTIFS(Base!$A$3:$A$5001,F$3,Base!$B$3:$B$5001,$A$41,Base!$H$3:$H$5001,"&lt;&gt;")=0,"",SUMIFS(Base!$H$3:$H$5001,Base!$A$3:$A$5001,F$3,Base!$B$3:$B$5001,$A$41)))</f>
        <v>28.66</v>
      </c>
      <c r="G46" s="59">
        <f>IF(G$3="","",IF(COUNTIFS(Base!$A$3:$A$5001,G$3,Base!$B$3:$B$5001,$A$41,Base!$H$3:$H$5001,"&lt;&gt;")=0,"",SUMIFS(Base!$H$3:$H$5001,Base!$A$3:$A$5001,G$3,Base!$B$3:$B$5001,$A$41)))</f>
        <v>199.14</v>
      </c>
      <c r="H46" s="59">
        <f>IF(H$3="","",IF(COUNTIFS(Base!$A$3:$A$5001,H$3,Base!$B$3:$B$5001,$A$41,Base!$H$3:$H$5001,"&lt;&gt;")=0,"",SUMIFS(Base!$H$3:$H$5001,Base!$A$3:$A$5001,H$3,Base!$B$3:$B$5001,$A$41)))</f>
        <v>42.76</v>
      </c>
      <c r="I46" s="59">
        <f>IF(I$3="","",IF(COUNTIFS(Base!$A$3:$A$5001,I$3,Base!$B$3:$B$5001,$A$41,Base!$H$3:$H$5001,"&lt;&gt;")=0,"",SUMIFS(Base!$H$3:$H$5001,Base!$A$3:$A$5001,I$3,Base!$B$3:$B$5001,$A$41)))</f>
        <v>58.28</v>
      </c>
      <c r="J46" s="59">
        <f>IF(J$3="","",IF(COUNTIFS(Base!$A$3:$A$5001,J$3,Base!$B$3:$B$5001,$A$41,Base!$H$3:$H$5001,"&lt;&gt;")=0,"",SUMIFS(Base!$H$3:$H$5001,Base!$A$3:$A$5001,J$3,Base!$B$3:$B$5001,$A$41)))</f>
        <v>154.16</v>
      </c>
      <c r="K46" s="59">
        <f>IF(K$3="","",IF(COUNTIFS(Base!$A$3:$A$5001,K$3,Base!$B$3:$B$5001,$A$41,Base!$H$3:$H$5001,"&lt;&gt;")=0,"",SUMIFS(Base!$H$3:$H$5001,Base!$A$3:$A$5001,K$3,Base!$B$3:$B$5001,$A$41)))</f>
        <v>85.33</v>
      </c>
      <c r="L46" s="59">
        <f>IF(L$3="","",IF(COUNTIFS(Base!$A$3:$A$5001,L$3,Base!$B$3:$B$5001,$A$41,Base!$H$3:$H$5001,"&lt;&gt;")=0,"",SUMIFS(Base!$H$3:$H$5001,Base!$A$3:$A$5001,L$3,Base!$B$3:$B$5001,$A$41)))</f>
        <v>123.85</v>
      </c>
      <c r="M46" s="59">
        <f>IF(M$3="","",IF(COUNTIFS(Base!$A$3:$A$5001,M$3,Base!$B$3:$B$5001,$A$41,Base!$H$3:$H$5001,"&lt;&gt;")=0,"",SUMIFS(Base!$H$3:$H$5001,Base!$A$3:$A$5001,M$3,Base!$B$3:$B$5001,$A$41)))</f>
        <v>119.05</v>
      </c>
      <c r="N46" s="59">
        <f>IF(N$3="","",IF(COUNTIFS(Base!$A$3:$A$5001,N$3,Base!$B$3:$B$5001,$A$41,Base!$H$3:$H$5001,"&lt;&gt;")=0,"",SUMIFS(Base!$H$3:$H$5001,Base!$A$3:$A$5001,N$3,Base!$B$3:$B$5001,$A$41)))</f>
        <v>0</v>
      </c>
      <c r="O46" s="59">
        <f>IF(O$3="","",IF(COUNTIFS(Base!$A$3:$A$5001,O$3,Base!$B$3:$B$5001,$A$41,Base!$H$3:$H$5001,"&lt;&gt;")=0,"",SUMIFS(Base!$H$3:$H$5001,Base!$A$3:$A$5001,O$3,Base!$B$3:$B$5001,$A$41)))</f>
        <v>29.01</v>
      </c>
      <c r="P46" s="59">
        <f>IF(P$3="","",IF(COUNTIFS(Base!$A$3:$A$5001,P$3,Base!$B$3:$B$5001,$A$41,Base!$H$3:$H$5001,"&lt;&gt;")=0,"",SUMIFS(Base!$H$3:$H$5001,Base!$A$3:$A$5001,P$3,Base!$B$3:$B$5001,$A$41)))</f>
        <v>152.56</v>
      </c>
      <c r="Q46" s="59" t="str">
        <f>IF(Q$3="","",IF(COUNTIFS(Base!$A$3:$A$5001,Q$3,Base!$B$3:$B$5001,$A$41,Base!$H$3:$H$5001,"&lt;&gt;")=0,"",SUMIFS(Base!$H$3:$H$5001,Base!$A$3:$A$5001,Q$3,Base!$B$3:$B$5001,$A$41)))</f>
        <v/>
      </c>
      <c r="R46" s="59">
        <f>IF(R$3="","",IF(COUNTIFS(Base!$A$3:$A$5001,R$3,Base!$B$3:$B$5001,$A$41,Base!$H$3:$H$5001,"&lt;&gt;")=0,"",SUMIFS(Base!$H$3:$H$5001,Base!$A$3:$A$5001,R$3,Base!$B$3:$B$5001,$A$41)))</f>
        <v>47.09</v>
      </c>
      <c r="S46" s="59">
        <f>IF(S$3="","",IF(COUNTIFS(Base!$A$3:$A$5001,S$3,Base!$B$3:$B$5001,$A$41,Base!$H$3:$H$5001,"&lt;&gt;")=0,"",SUMIFS(Base!$H$3:$H$5001,Base!$A$3:$A$5001,S$3,Base!$B$3:$B$5001,$A$41)))</f>
        <v>188.9</v>
      </c>
      <c r="T46" s="59">
        <f>IF(T$3="","",IF(COUNTIFS(Base!$A$3:$A$5001,T$3,Base!$B$3:$B$5001,$A$41,Base!$H$3:$H$5001,"&lt;&gt;")=0,"",SUMIFS(Base!$H$3:$H$5001,Base!$A$3:$A$5001,T$3,Base!$B$3:$B$5001,$A$41)))</f>
        <v>46.81</v>
      </c>
      <c r="U46" s="59">
        <f>IF(U$3="","",IF(COUNTIFS(Base!$A$3:$A$5001,U$3,Base!$B$3:$B$5001,$A$41,Base!$H$3:$H$5001,"&lt;&gt;")=0,"",SUMIFS(Base!$H$3:$H$5001,Base!$A$3:$A$5001,U$3,Base!$B$3:$B$5001,$A$41)))</f>
        <v>48.24</v>
      </c>
      <c r="V46" s="59">
        <f>IF(V$3="","",IF(COUNTIFS(Base!$A$3:$A$5001,V$3,Base!$B$3:$B$5001,$A$41,Base!$H$3:$H$5001,"&lt;&gt;")=0,"",SUMIFS(Base!$H$3:$H$5001,Base!$A$3:$A$5001,V$3,Base!$B$3:$B$5001,$A$41)))</f>
        <v>26.55</v>
      </c>
      <c r="W46" s="59">
        <f>IF(W$3="","",IF(COUNTIFS(Base!$A$3:$A$5001,W$3,Base!$B$3:$B$5001,$A$41,Base!$H$3:$H$5001,"&lt;&gt;")=0,"",SUMIFS(Base!$H$3:$H$5001,Base!$A$3:$A$5001,W$3,Base!$B$3:$B$5001,$A$41)))</f>
        <v>8.09</v>
      </c>
      <c r="X46" s="59" t="str">
        <f>IF(X$3="","",IF(COUNTIFS(Base!$A$3:$A$5001,X$3,Base!$B$3:$B$5001,$A$41,Base!$H$3:$H$5001,"&lt;&gt;")=0,"",SUMIFS(Base!$H$3:$H$5001,Base!$A$3:$A$5001,X$3,Base!$B$3:$B$5001,$A$41)))</f>
        <v/>
      </c>
      <c r="Y46" s="59" t="str">
        <f>IF(Y$3="","",IF(COUNTIFS(Base!$A$3:$A$5001,Y$3,Base!$B$3:$B$5001,$A$41,Base!$H$3:$H$5001,"&lt;&gt;")=0,"",SUMIFS(Base!$H$3:$H$5001,Base!$A$3:$A$5001,Y$3,Base!$B$3:$B$5001,$A$41)))</f>
        <v/>
      </c>
      <c r="Z46" s="59">
        <f>IF(Z$3="","",IF(COUNTIFS(Base!$A$3:$A$5001,Z$3,Base!$B$3:$B$5001,$A$41,Base!$H$3:$H$5001,"&lt;&gt;")=0,"",SUMIFS(Base!$H$3:$H$5001,Base!$A$3:$A$5001,Z$3,Base!$B$3:$B$5001,$A$41)))</f>
        <v>50.05</v>
      </c>
      <c r="AA46" s="59">
        <f>IF(AA$3="","",IF(COUNTIFS(Base!$A$3:$A$5001,AA$3,Base!$B$3:$B$5001,$A$41,Base!$H$3:$H$5001,"&lt;&gt;")=0,"",SUMIFS(Base!$H$3:$H$5001,Base!$A$3:$A$5001,AA$3,Base!$B$3:$B$5001,$A$41)))</f>
        <v>118.22</v>
      </c>
      <c r="AB46" s="59">
        <f>IF(AB$3="","",IF(COUNTIFS(Base!$A$3:$A$5001,AB$3,Base!$B$3:$B$5001,$A$41,Base!$H$3:$H$5001,"&lt;&gt;")=0,"",SUMIFS(Base!$H$3:$H$5001,Base!$A$3:$A$5001,AB$3,Base!$B$3:$B$5001,$A$41)))</f>
        <v>0</v>
      </c>
      <c r="AC46" s="59">
        <f>IF(AC$3="","",IF(COUNTIFS(Base!$A$3:$A$5001,AC$3,Base!$B$3:$B$5001,$A$41,Base!$H$3:$H$5001,"&lt;&gt;")=0,"",SUMIFS(Base!$H$3:$H$5001,Base!$A$3:$A$5001,AC$3,Base!$B$3:$B$5001,$A$41)))</f>
        <v>0</v>
      </c>
      <c r="AD46" s="59">
        <f>IF(AD$3="","",IF(COUNTIFS(Base!$A$3:$A$5001,AD$3,Base!$B$3:$B$5001,$A$41,Base!$H$3:$H$5001,"&lt;&gt;")=0,"",SUMIFS(Base!$H$3:$H$5001,Base!$A$3:$A$5001,AD$3,Base!$B$3:$B$5001,$A$41)))</f>
        <v>138.69</v>
      </c>
      <c r="AE46" s="59" t="str">
        <f>IF(AE$3="","",IF(COUNTIFS(Base!$A$3:$A$5001,AE$3,Base!$B$3:$B$5001,$A$41,Base!$H$3:$H$5001,"&lt;&gt;")=0,"",SUMIFS(Base!$H$3:$H$5001,Base!$A$3:$A$5001,AE$3,Base!$B$3:$B$5001,$A$41)))</f>
        <v/>
      </c>
      <c r="AF46" s="59" t="str">
        <f>IF(AF$3="","",IF(COUNTIFS(Base!$A$3:$A$5001,AF$3,Base!$B$3:$B$5001,$A$41,Base!$H$3:$H$5001,"&lt;&gt;")=0,"",SUMIFS(Base!$H$3:$H$5001,Base!$A$3:$A$5001,AF$3,Base!$B$3:$B$5001,$A$41)))</f>
        <v/>
      </c>
      <c r="AG46" s="59">
        <f>IF(AG$3="","",IF(COUNTIFS(Base!$A$3:$A$5001,AG$3,Base!$B$3:$B$5001,$A$41,Base!$H$3:$H$5001,"&lt;&gt;")=0,"",SUMIFS(Base!$H$3:$H$5001,Base!$A$3:$A$5001,AG$3,Base!$B$3:$B$5001,$A$41)))</f>
        <v>198.7</v>
      </c>
      <c r="AH46" s="59">
        <f>IF(AH$3="","",IF(COUNTIFS(Base!$A$3:$A$5001,AH$3,Base!$B$3:$B$5001,$A$41,Base!$H$3:$H$5001,"&lt;&gt;")=0,"",SUMIFS(Base!$H$3:$H$5001,Base!$A$3:$A$5001,AH$3,Base!$B$3:$B$5001,$A$41)))</f>
        <v>0</v>
      </c>
      <c r="AI46" s="59" t="str">
        <f>IF(AI$3="","",IF(COUNTIFS(Base!$A$3:$A$5001,AI$3,Base!$B$3:$B$5001,$A$41,Base!$H$3:$H$5001,"&lt;&gt;")=0,"",SUMIFS(Base!$H$3:$H$5001,Base!$A$3:$A$5001,AI$3,Base!$B$3:$B$5001,$A$41)))</f>
        <v/>
      </c>
      <c r="AJ46" s="60" t="str">
        <f>IF(AJ$3="","",IF(COUNTIFS(Base!$A$3:$A$5001,AJ$3,Base!$B$3:$B$5001,$A$41,Base!$H$3:$H$5001,"&lt;&gt;")=0,"",SUMIFS(Base!$H$3:$H$5001,Base!$A$3:$A$5001,AJ$3,Base!$B$3:$B$5001,$A$41)))</f>
        <v/>
      </c>
      <c r="AK46" s="56">
        <f>IF(COUNT(F46:AJ46)=0,"",SUM(F46:AJ46))</f>
        <v>1864.14</v>
      </c>
    </row>
    <row r="47" ht="15.75" customHeight="1">
      <c r="A47" s="118"/>
      <c r="B47" s="111" t="inlineStr">
        <is>
          <t xml:space="preserve">NC</t>
        </is>
      </c>
      <c r="C47" s="61" t="inlineStr">
        <is>
          <t xml:space="preserve">Incidentes</t>
        </is>
      </c>
      <c r="D47" s="62"/>
      <c r="E47" s="63"/>
      <c r="F47" s="64">
        <f>IF(F$3="","",IF(COUNTIFS(Base!$A$3:$A$5001,F$3,Base!$B$3:$B$5001,$A$41,Base!$I$3:$I$5001,"&lt;&gt;")=0,"",SUMIFS(Base!$I$3:$I$5001,Base!$A$3:$A$5001,F$3,Base!$B$3:$B$5001,$A$41)))</f>
        <v>0</v>
      </c>
      <c r="G47" s="65">
        <f>IF(G$3="","",IF(COUNTIFS(Base!$A$3:$A$5001,G$3,Base!$B$3:$B$5001,$A$41,Base!$I$3:$I$5001,"&lt;&gt;")=0,"",SUMIFS(Base!$I$3:$I$5001,Base!$A$3:$A$5001,G$3,Base!$B$3:$B$5001,$A$41)))</f>
        <v>0</v>
      </c>
      <c r="H47" s="65">
        <f>IF(H$3="","",IF(COUNTIFS(Base!$A$3:$A$5001,H$3,Base!$B$3:$B$5001,$A$41,Base!$I$3:$I$5001,"&lt;&gt;")=0,"",SUMIFS(Base!$I$3:$I$5001,Base!$A$3:$A$5001,H$3,Base!$B$3:$B$5001,$A$41)))</f>
        <v>0</v>
      </c>
      <c r="I47" s="65">
        <f>IF(I$3="","",IF(COUNTIFS(Base!$A$3:$A$5001,I$3,Base!$B$3:$B$5001,$A$41,Base!$I$3:$I$5001,"&lt;&gt;")=0,"",SUMIFS(Base!$I$3:$I$5001,Base!$A$3:$A$5001,I$3,Base!$B$3:$B$5001,$A$41)))</f>
        <v>0</v>
      </c>
      <c r="J47" s="65">
        <f>IF(J$3="","",IF(COUNTIFS(Base!$A$3:$A$5001,J$3,Base!$B$3:$B$5001,$A$41,Base!$I$3:$I$5001,"&lt;&gt;")=0,"",SUMIFS(Base!$I$3:$I$5001,Base!$A$3:$A$5001,J$3,Base!$B$3:$B$5001,$A$41)))</f>
        <v>1</v>
      </c>
      <c r="K47" s="65">
        <f>IF(K$3="","",IF(COUNTIFS(Base!$A$3:$A$5001,K$3,Base!$B$3:$B$5001,$A$41,Base!$I$3:$I$5001,"&lt;&gt;")=0,"",SUMIFS(Base!$I$3:$I$5001,Base!$A$3:$A$5001,K$3,Base!$B$3:$B$5001,$A$41)))</f>
        <v>0</v>
      </c>
      <c r="L47" s="65">
        <f>IF(L$3="","",IF(COUNTIFS(Base!$A$3:$A$5001,L$3,Base!$B$3:$B$5001,$A$41,Base!$I$3:$I$5001,"&lt;&gt;")=0,"",SUMIFS(Base!$I$3:$I$5001,Base!$A$3:$A$5001,L$3,Base!$B$3:$B$5001,$A$41)))</f>
        <v>0</v>
      </c>
      <c r="M47" s="65">
        <f>IF(M$3="","",IF(COUNTIFS(Base!$A$3:$A$5001,M$3,Base!$B$3:$B$5001,$A$41,Base!$I$3:$I$5001,"&lt;&gt;")=0,"",SUMIFS(Base!$I$3:$I$5001,Base!$A$3:$A$5001,M$3,Base!$B$3:$B$5001,$A$41)))</f>
        <v>0</v>
      </c>
      <c r="N47" s="65">
        <f>IF(N$3="","",IF(COUNTIFS(Base!$A$3:$A$5001,N$3,Base!$B$3:$B$5001,$A$41,Base!$I$3:$I$5001,"&lt;&gt;")=0,"",SUMIFS(Base!$I$3:$I$5001,Base!$A$3:$A$5001,N$3,Base!$B$3:$B$5001,$A$41)))</f>
        <v>0</v>
      </c>
      <c r="O47" s="65">
        <f>IF(O$3="","",IF(COUNTIFS(Base!$A$3:$A$5001,O$3,Base!$B$3:$B$5001,$A$41,Base!$I$3:$I$5001,"&lt;&gt;")=0,"",SUMIFS(Base!$I$3:$I$5001,Base!$A$3:$A$5001,O$3,Base!$B$3:$B$5001,$A$41)))</f>
        <v>0</v>
      </c>
      <c r="P47" s="65">
        <f>IF(P$3="","",IF(COUNTIFS(Base!$A$3:$A$5001,P$3,Base!$B$3:$B$5001,$A$41,Base!$I$3:$I$5001,"&lt;&gt;")=0,"",SUMIFS(Base!$I$3:$I$5001,Base!$A$3:$A$5001,P$3,Base!$B$3:$B$5001,$A$41)))</f>
        <v>0</v>
      </c>
      <c r="Q47" s="65" t="str">
        <f>IF(Q$3="","",IF(COUNTIFS(Base!$A$3:$A$5001,Q$3,Base!$B$3:$B$5001,$A$41,Base!$I$3:$I$5001,"&lt;&gt;")=0,"",SUMIFS(Base!$I$3:$I$5001,Base!$A$3:$A$5001,Q$3,Base!$B$3:$B$5001,$A$41)))</f>
        <v/>
      </c>
      <c r="R47" s="65">
        <f>IF(R$3="","",IF(COUNTIFS(Base!$A$3:$A$5001,R$3,Base!$B$3:$B$5001,$A$41,Base!$I$3:$I$5001,"&lt;&gt;")=0,"",SUMIFS(Base!$I$3:$I$5001,Base!$A$3:$A$5001,R$3,Base!$B$3:$B$5001,$A$41)))</f>
        <v>0</v>
      </c>
      <c r="S47" s="65">
        <f>IF(S$3="","",IF(COUNTIFS(Base!$A$3:$A$5001,S$3,Base!$B$3:$B$5001,$A$41,Base!$I$3:$I$5001,"&lt;&gt;")=0,"",SUMIFS(Base!$I$3:$I$5001,Base!$A$3:$A$5001,S$3,Base!$B$3:$B$5001,$A$41)))</f>
        <v>0</v>
      </c>
      <c r="T47" s="65">
        <f>IF(T$3="","",IF(COUNTIFS(Base!$A$3:$A$5001,T$3,Base!$B$3:$B$5001,$A$41,Base!$I$3:$I$5001,"&lt;&gt;")=0,"",SUMIFS(Base!$I$3:$I$5001,Base!$A$3:$A$5001,T$3,Base!$B$3:$B$5001,$A$41)))</f>
        <v>0</v>
      </c>
      <c r="U47" s="65">
        <f>IF(U$3="","",IF(COUNTIFS(Base!$A$3:$A$5001,U$3,Base!$B$3:$B$5001,$A$41,Base!$I$3:$I$5001,"&lt;&gt;")=0,"",SUMIFS(Base!$I$3:$I$5001,Base!$A$3:$A$5001,U$3,Base!$B$3:$B$5001,$A$41)))</f>
        <v>0</v>
      </c>
      <c r="V47" s="65">
        <f>IF(V$3="","",IF(COUNTIFS(Base!$A$3:$A$5001,V$3,Base!$B$3:$B$5001,$A$41,Base!$I$3:$I$5001,"&lt;&gt;")=0,"",SUMIFS(Base!$I$3:$I$5001,Base!$A$3:$A$5001,V$3,Base!$B$3:$B$5001,$A$41)))</f>
        <v>0</v>
      </c>
      <c r="W47" s="65">
        <f>IF(W$3="","",IF(COUNTIFS(Base!$A$3:$A$5001,W$3,Base!$B$3:$B$5001,$A$41,Base!$I$3:$I$5001,"&lt;&gt;")=0,"",SUMIFS(Base!$I$3:$I$5001,Base!$A$3:$A$5001,W$3,Base!$B$3:$B$5001,$A$41)))</f>
        <v>0</v>
      </c>
      <c r="X47" s="65" t="str">
        <f>IF(X$3="","",IF(COUNTIFS(Base!$A$3:$A$5001,X$3,Base!$B$3:$B$5001,$A$41,Base!$I$3:$I$5001,"&lt;&gt;")=0,"",SUMIFS(Base!$I$3:$I$5001,Base!$A$3:$A$5001,X$3,Base!$B$3:$B$5001,$A$41)))</f>
        <v/>
      </c>
      <c r="Y47" s="65" t="str">
        <f>IF(Y$3="","",IF(COUNTIFS(Base!$A$3:$A$5001,Y$3,Base!$B$3:$B$5001,$A$41,Base!$I$3:$I$5001,"&lt;&gt;")=0,"",SUMIFS(Base!$I$3:$I$5001,Base!$A$3:$A$5001,Y$3,Base!$B$3:$B$5001,$A$41)))</f>
        <v/>
      </c>
      <c r="Z47" s="65">
        <f>IF(Z$3="","",IF(COUNTIFS(Base!$A$3:$A$5001,Z$3,Base!$B$3:$B$5001,$A$41,Base!$I$3:$I$5001,"&lt;&gt;")=0,"",SUMIFS(Base!$I$3:$I$5001,Base!$A$3:$A$5001,Z$3,Base!$B$3:$B$5001,$A$41)))</f>
        <v>0</v>
      </c>
      <c r="AA47" s="65">
        <f>IF(AA$3="","",IF(COUNTIFS(Base!$A$3:$A$5001,AA$3,Base!$B$3:$B$5001,$A$41,Base!$I$3:$I$5001,"&lt;&gt;")=0,"",SUMIFS(Base!$I$3:$I$5001,Base!$A$3:$A$5001,AA$3,Base!$B$3:$B$5001,$A$41)))</f>
        <v>0</v>
      </c>
      <c r="AB47" s="65">
        <f>IF(AB$3="","",IF(COUNTIFS(Base!$A$3:$A$5001,AB$3,Base!$B$3:$B$5001,$A$41,Base!$I$3:$I$5001,"&lt;&gt;")=0,"",SUMIFS(Base!$I$3:$I$5001,Base!$A$3:$A$5001,AB$3,Base!$B$3:$B$5001,$A$41)))</f>
        <v>0</v>
      </c>
      <c r="AC47" s="65">
        <f>IF(AC$3="","",IF(COUNTIFS(Base!$A$3:$A$5001,AC$3,Base!$B$3:$B$5001,$A$41,Base!$I$3:$I$5001,"&lt;&gt;")=0,"",SUMIFS(Base!$I$3:$I$5001,Base!$A$3:$A$5001,AC$3,Base!$B$3:$B$5001,$A$41)))</f>
        <v>0</v>
      </c>
      <c r="AD47" s="65">
        <f>IF(AD$3="","",IF(COUNTIFS(Base!$A$3:$A$5001,AD$3,Base!$B$3:$B$5001,$A$41,Base!$I$3:$I$5001,"&lt;&gt;")=0,"",SUMIFS(Base!$I$3:$I$5001,Base!$A$3:$A$5001,AD$3,Base!$B$3:$B$5001,$A$41)))</f>
        <v>0</v>
      </c>
      <c r="AE47" s="65" t="str">
        <f>IF(AE$3="","",IF(COUNTIFS(Base!$A$3:$A$5001,AE$3,Base!$B$3:$B$5001,$A$41,Base!$I$3:$I$5001,"&lt;&gt;")=0,"",SUMIFS(Base!$I$3:$I$5001,Base!$A$3:$A$5001,AE$3,Base!$B$3:$B$5001,$A$41)))</f>
        <v/>
      </c>
      <c r="AF47" s="65" t="str">
        <f>IF(AF$3="","",IF(COUNTIFS(Base!$A$3:$A$5001,AF$3,Base!$B$3:$B$5001,$A$41,Base!$I$3:$I$5001,"&lt;&gt;")=0,"",SUMIFS(Base!$I$3:$I$5001,Base!$A$3:$A$5001,AF$3,Base!$B$3:$B$5001,$A$41)))</f>
        <v/>
      </c>
      <c r="AG47" s="65">
        <f>IF(AG$3="","",IF(COUNTIFS(Base!$A$3:$A$5001,AG$3,Base!$B$3:$B$5001,$A$41,Base!$I$3:$I$5001,"&lt;&gt;")=0,"",SUMIFS(Base!$I$3:$I$5001,Base!$A$3:$A$5001,AG$3,Base!$B$3:$B$5001,$A$41)))</f>
        <v>0</v>
      </c>
      <c r="AH47" s="65">
        <f>IF(AH$3="","",IF(COUNTIFS(Base!$A$3:$A$5001,AH$3,Base!$B$3:$B$5001,$A$41,Base!$I$3:$I$5001,"&lt;&gt;")=0,"",SUMIFS(Base!$I$3:$I$5001,Base!$A$3:$A$5001,AH$3,Base!$B$3:$B$5001,$A$41)))</f>
        <v>0</v>
      </c>
      <c r="AI47" s="65" t="str">
        <f>IF(AI$3="","",IF(COUNTIFS(Base!$A$3:$A$5001,AI$3,Base!$B$3:$B$5001,$A$41,Base!$I$3:$I$5001,"&lt;&gt;")=0,"",SUMIFS(Base!$I$3:$I$5001,Base!$A$3:$A$5001,AI$3,Base!$B$3:$B$5001,$A$41)))</f>
        <v/>
      </c>
      <c r="AJ47" s="66" t="str">
        <f>IF(AJ$3="","",IF(COUNTIFS(Base!$A$3:$A$5001,AJ$3,Base!$B$3:$B$5001,$A$41,Base!$I$3:$I$5001,"&lt;&gt;")=0,"",SUMIFS(Base!$I$3:$I$5001,Base!$A$3:$A$5001,AJ$3,Base!$B$3:$B$5001,$A$41)))</f>
        <v/>
      </c>
      <c r="AK47" s="67">
        <f>IF(COUNT(F47:AJ47)=0,"",SUM(F47:AJ47))</f>
        <v>1</v>
      </c>
    </row>
    <row r="48" ht="15.75" customHeight="1">
      <c r="A48" s="118"/>
      <c r="B48" s="112"/>
      <c r="C48" s="68" t="inlineStr">
        <is>
          <t xml:space="preserve">No show</t>
        </is>
      </c>
      <c r="D48" s="69"/>
      <c r="E48" s="70"/>
      <c r="F48" s="71" t="str">
        <f>IF(F$3="","",IF(COUNTIFS(Base!$A$3:$A$5001,F$3,Base!$B$3:$B$5001,$A$41,Base!$J$3:$J$5001,"&lt;&gt;")=0,"",SUMIFS(Base!$J$3:$J$5001,Base!$A$3:$A$5001,F$3,Base!$B$3:$B$5001,$A$41)))</f>
        <v/>
      </c>
      <c r="G48" s="72" t="str">
        <f>IF(G$3="","",IF(COUNTIFS(Base!$A$3:$A$5001,G$3,Base!$B$3:$B$5001,$A$41,Base!$J$3:$J$5001,"&lt;&gt;")=0,"",SUMIFS(Base!$J$3:$J$5001,Base!$A$3:$A$5001,G$3,Base!$B$3:$B$5001,$A$41)))</f>
        <v/>
      </c>
      <c r="H48" s="72" t="str">
        <f>IF(H$3="","",IF(COUNTIFS(Base!$A$3:$A$5001,H$3,Base!$B$3:$B$5001,$A$41,Base!$J$3:$J$5001,"&lt;&gt;")=0,"",SUMIFS(Base!$J$3:$J$5001,Base!$A$3:$A$5001,H$3,Base!$B$3:$B$5001,$A$41)))</f>
        <v/>
      </c>
      <c r="I48" s="72" t="str">
        <f>IF(I$3="","",IF(COUNTIFS(Base!$A$3:$A$5001,I$3,Base!$B$3:$B$5001,$A$41,Base!$J$3:$J$5001,"&lt;&gt;")=0,"",SUMIFS(Base!$J$3:$J$5001,Base!$A$3:$A$5001,I$3,Base!$B$3:$B$5001,$A$41)))</f>
        <v/>
      </c>
      <c r="J48" s="72" t="str">
        <f>IF(J$3="","",IF(COUNTIFS(Base!$A$3:$A$5001,J$3,Base!$B$3:$B$5001,$A$41,Base!$J$3:$J$5001,"&lt;&gt;")=0,"",SUMIFS(Base!$J$3:$J$5001,Base!$A$3:$A$5001,J$3,Base!$B$3:$B$5001,$A$41)))</f>
        <v/>
      </c>
      <c r="K48" s="72" t="str">
        <f>IF(K$3="","",IF(COUNTIFS(Base!$A$3:$A$5001,K$3,Base!$B$3:$B$5001,$A$41,Base!$J$3:$J$5001,"&lt;&gt;")=0,"",SUMIFS(Base!$J$3:$J$5001,Base!$A$3:$A$5001,K$3,Base!$B$3:$B$5001,$A$41)))</f>
        <v/>
      </c>
      <c r="L48" s="72" t="str">
        <f>IF(L$3="","",IF(COUNTIFS(Base!$A$3:$A$5001,L$3,Base!$B$3:$B$5001,$A$41,Base!$J$3:$J$5001,"&lt;&gt;")=0,"",SUMIFS(Base!$J$3:$J$5001,Base!$A$3:$A$5001,L$3,Base!$B$3:$B$5001,$A$41)))</f>
        <v/>
      </c>
      <c r="M48" s="72" t="str">
        <f>IF(M$3="","",IF(COUNTIFS(Base!$A$3:$A$5001,M$3,Base!$B$3:$B$5001,$A$41,Base!$J$3:$J$5001,"&lt;&gt;")=0,"",SUMIFS(Base!$J$3:$J$5001,Base!$A$3:$A$5001,M$3,Base!$B$3:$B$5001,$A$41)))</f>
        <v/>
      </c>
      <c r="N48" s="72" t="str">
        <f>IF(N$3="","",IF(COUNTIFS(Base!$A$3:$A$5001,N$3,Base!$B$3:$B$5001,$A$41,Base!$J$3:$J$5001,"&lt;&gt;")=0,"",SUMIFS(Base!$J$3:$J$5001,Base!$A$3:$A$5001,N$3,Base!$B$3:$B$5001,$A$41)))</f>
        <v/>
      </c>
      <c r="O48" s="72" t="str">
        <f>IF(O$3="","",IF(COUNTIFS(Base!$A$3:$A$5001,O$3,Base!$B$3:$B$5001,$A$41,Base!$J$3:$J$5001,"&lt;&gt;")=0,"",SUMIFS(Base!$J$3:$J$5001,Base!$A$3:$A$5001,O$3,Base!$B$3:$B$5001,$A$41)))</f>
        <v/>
      </c>
      <c r="P48" s="72" t="str">
        <f>IF(P$3="","",IF(COUNTIFS(Base!$A$3:$A$5001,P$3,Base!$B$3:$B$5001,$A$41,Base!$J$3:$J$5001,"&lt;&gt;")=0,"",SUMIFS(Base!$J$3:$J$5001,Base!$A$3:$A$5001,P$3,Base!$B$3:$B$5001,$A$41)))</f>
        <v/>
      </c>
      <c r="Q48" s="72" t="str">
        <f>IF(Q$3="","",IF(COUNTIFS(Base!$A$3:$A$5001,Q$3,Base!$B$3:$B$5001,$A$41,Base!$J$3:$J$5001,"&lt;&gt;")=0,"",SUMIFS(Base!$J$3:$J$5001,Base!$A$3:$A$5001,Q$3,Base!$B$3:$B$5001,$A$41)))</f>
        <v/>
      </c>
      <c r="R48" s="72" t="str">
        <f>IF(R$3="","",IF(COUNTIFS(Base!$A$3:$A$5001,R$3,Base!$B$3:$B$5001,$A$41,Base!$J$3:$J$5001,"&lt;&gt;")=0,"",SUMIFS(Base!$J$3:$J$5001,Base!$A$3:$A$5001,R$3,Base!$B$3:$B$5001,$A$41)))</f>
        <v/>
      </c>
      <c r="S48" s="72" t="str">
        <f>IF(S$3="","",IF(COUNTIFS(Base!$A$3:$A$5001,S$3,Base!$B$3:$B$5001,$A$41,Base!$J$3:$J$5001,"&lt;&gt;")=0,"",SUMIFS(Base!$J$3:$J$5001,Base!$A$3:$A$5001,S$3,Base!$B$3:$B$5001,$A$41)))</f>
        <v/>
      </c>
      <c r="T48" s="72" t="str">
        <f>IF(T$3="","",IF(COUNTIFS(Base!$A$3:$A$5001,T$3,Base!$B$3:$B$5001,$A$41,Base!$J$3:$J$5001,"&lt;&gt;")=0,"",SUMIFS(Base!$J$3:$J$5001,Base!$A$3:$A$5001,T$3,Base!$B$3:$B$5001,$A$41)))</f>
        <v/>
      </c>
      <c r="U48" s="72" t="str">
        <f>IF(U$3="","",IF(COUNTIFS(Base!$A$3:$A$5001,U$3,Base!$B$3:$B$5001,$A$41,Base!$J$3:$J$5001,"&lt;&gt;")=0,"",SUMIFS(Base!$J$3:$J$5001,Base!$A$3:$A$5001,U$3,Base!$B$3:$B$5001,$A$41)))</f>
        <v/>
      </c>
      <c r="V48" s="72" t="str">
        <f>IF(V$3="","",IF(COUNTIFS(Base!$A$3:$A$5001,V$3,Base!$B$3:$B$5001,$A$41,Base!$J$3:$J$5001,"&lt;&gt;")=0,"",SUMIFS(Base!$J$3:$J$5001,Base!$A$3:$A$5001,V$3,Base!$B$3:$B$5001,$A$41)))</f>
        <v/>
      </c>
      <c r="W48" s="72" t="str">
        <f>IF(W$3="","",IF(COUNTIFS(Base!$A$3:$A$5001,W$3,Base!$B$3:$B$5001,$A$41,Base!$J$3:$J$5001,"&lt;&gt;")=0,"",SUMIFS(Base!$J$3:$J$5001,Base!$A$3:$A$5001,W$3,Base!$B$3:$B$5001,$A$41)))</f>
        <v/>
      </c>
      <c r="X48" s="72" t="str">
        <f>IF(X$3="","",IF(COUNTIFS(Base!$A$3:$A$5001,X$3,Base!$B$3:$B$5001,$A$41,Base!$J$3:$J$5001,"&lt;&gt;")=0,"",SUMIFS(Base!$J$3:$J$5001,Base!$A$3:$A$5001,X$3,Base!$B$3:$B$5001,$A$41)))</f>
        <v/>
      </c>
      <c r="Y48" s="72" t="str">
        <f>IF(Y$3="","",IF(COUNTIFS(Base!$A$3:$A$5001,Y$3,Base!$B$3:$B$5001,$A$41,Base!$J$3:$J$5001,"&lt;&gt;")=0,"",SUMIFS(Base!$J$3:$J$5001,Base!$A$3:$A$5001,Y$3,Base!$B$3:$B$5001,$A$41)))</f>
        <v/>
      </c>
      <c r="Z48" s="72" t="str">
        <f>IF(Z$3="","",IF(COUNTIFS(Base!$A$3:$A$5001,Z$3,Base!$B$3:$B$5001,$A$41,Base!$J$3:$J$5001,"&lt;&gt;")=0,"",SUMIFS(Base!$J$3:$J$5001,Base!$A$3:$A$5001,Z$3,Base!$B$3:$B$5001,$A$41)))</f>
        <v/>
      </c>
      <c r="AA48" s="72" t="str">
        <f>IF(AA$3="","",IF(COUNTIFS(Base!$A$3:$A$5001,AA$3,Base!$B$3:$B$5001,$A$41,Base!$J$3:$J$5001,"&lt;&gt;")=0,"",SUMIFS(Base!$J$3:$J$5001,Base!$A$3:$A$5001,AA$3,Base!$B$3:$B$5001,$A$41)))</f>
        <v/>
      </c>
      <c r="AB48" s="72" t="str">
        <f>IF(AB$3="","",IF(COUNTIFS(Base!$A$3:$A$5001,AB$3,Base!$B$3:$B$5001,$A$41,Base!$J$3:$J$5001,"&lt;&gt;")=0,"",SUMIFS(Base!$J$3:$J$5001,Base!$A$3:$A$5001,AB$3,Base!$B$3:$B$5001,$A$41)))</f>
        <v/>
      </c>
      <c r="AC48" s="72" t="str">
        <f>IF(AC$3="","",IF(COUNTIFS(Base!$A$3:$A$5001,AC$3,Base!$B$3:$B$5001,$A$41,Base!$J$3:$J$5001,"&lt;&gt;")=0,"",SUMIFS(Base!$J$3:$J$5001,Base!$A$3:$A$5001,AC$3,Base!$B$3:$B$5001,$A$41)))</f>
        <v/>
      </c>
      <c r="AD48" s="72" t="str">
        <f>IF(AD$3="","",IF(COUNTIFS(Base!$A$3:$A$5001,AD$3,Base!$B$3:$B$5001,$A$41,Base!$J$3:$J$5001,"&lt;&gt;")=0,"",SUMIFS(Base!$J$3:$J$5001,Base!$A$3:$A$5001,AD$3,Base!$B$3:$B$5001,$A$41)))</f>
        <v/>
      </c>
      <c r="AE48" s="72" t="str">
        <f>IF(AE$3="","",IF(COUNTIFS(Base!$A$3:$A$5001,AE$3,Base!$B$3:$B$5001,$A$41,Base!$J$3:$J$5001,"&lt;&gt;")=0,"",SUMIFS(Base!$J$3:$J$5001,Base!$A$3:$A$5001,AE$3,Base!$B$3:$B$5001,$A$41)))</f>
        <v/>
      </c>
      <c r="AF48" s="72" t="str">
        <f>IF(AF$3="","",IF(COUNTIFS(Base!$A$3:$A$5001,AF$3,Base!$B$3:$B$5001,$A$41,Base!$J$3:$J$5001,"&lt;&gt;")=0,"",SUMIFS(Base!$J$3:$J$5001,Base!$A$3:$A$5001,AF$3,Base!$B$3:$B$5001,$A$41)))</f>
        <v/>
      </c>
      <c r="AG48" s="72" t="str">
        <f>IF(AG$3="","",IF(COUNTIFS(Base!$A$3:$A$5001,AG$3,Base!$B$3:$B$5001,$A$41,Base!$J$3:$J$5001,"&lt;&gt;")=0,"",SUMIFS(Base!$J$3:$J$5001,Base!$A$3:$A$5001,AG$3,Base!$B$3:$B$5001,$A$41)))</f>
        <v/>
      </c>
      <c r="AH48" s="72" t="str">
        <f>IF(AH$3="","",IF(COUNTIFS(Base!$A$3:$A$5001,AH$3,Base!$B$3:$B$5001,$A$41,Base!$J$3:$J$5001,"&lt;&gt;")=0,"",SUMIFS(Base!$J$3:$J$5001,Base!$A$3:$A$5001,AH$3,Base!$B$3:$B$5001,$A$41)))</f>
        <v/>
      </c>
      <c r="AI48" s="72" t="str">
        <f>IF(AI$3="","",IF(COUNTIFS(Base!$A$3:$A$5001,AI$3,Base!$B$3:$B$5001,$A$41,Base!$J$3:$J$5001,"&lt;&gt;")=0,"",SUMIFS(Base!$J$3:$J$5001,Base!$A$3:$A$5001,AI$3,Base!$B$3:$B$5001,$A$41)))</f>
        <v/>
      </c>
      <c r="AJ48" s="73" t="str">
        <f>IF(AJ$3="","",IF(COUNTIFS(Base!$A$3:$A$5001,AJ$3,Base!$B$3:$B$5001,$A$41,Base!$J$3:$J$5001,"&lt;&gt;")=0,"",SUMIFS(Base!$J$3:$J$5001,Base!$A$3:$A$5001,AJ$3,Base!$B$3:$B$5001,$A$41)))</f>
        <v/>
      </c>
      <c r="AK48" s="74" t="str">
        <f>IF(COUNT(F48:AJ48)=0,"",SUM(F48:AJ48))</f>
        <v/>
      </c>
    </row>
    <row r="49" ht="15.75" customHeight="1">
      <c r="A49" s="118"/>
      <c r="B49" s="113"/>
      <c r="C49" s="75" t="inlineStr">
        <is>
          <t xml:space="preserve">Backlog</t>
        </is>
      </c>
      <c r="D49" s="76"/>
      <c r="E49" s="77"/>
      <c r="F49" s="78" t="str">
        <f>IF(F$3="","",IF(COUNTIFS(Base!$A$3:$A$5001,F$3,Base!$B$3:$B$5001,$A$41,Base!$K$3:$K$5001,"&lt;&gt;")=0,"",SUMIFS(Base!$K$3:$K$5001,Base!$A$3:$A$5001,F$3,Base!$B$3:$B$5001,$A$41)))</f>
        <v/>
      </c>
      <c r="G49" s="79" t="str">
        <f>IF(G$3="","",IF(COUNTIFS(Base!$A$3:$A$5001,G$3,Base!$B$3:$B$5001,$A$41,Base!$K$3:$K$5001,"&lt;&gt;")=0,"",SUMIFS(Base!$K$3:$K$5001,Base!$A$3:$A$5001,G$3,Base!$B$3:$B$5001,$A$41)))</f>
        <v/>
      </c>
      <c r="H49" s="79" t="str">
        <f>IF(H$3="","",IF(COUNTIFS(Base!$A$3:$A$5001,H$3,Base!$B$3:$B$5001,$A$41,Base!$K$3:$K$5001,"&lt;&gt;")=0,"",SUMIFS(Base!$K$3:$K$5001,Base!$A$3:$A$5001,H$3,Base!$B$3:$B$5001,$A$41)))</f>
        <v/>
      </c>
      <c r="I49" s="79" t="str">
        <f>IF(I$3="","",IF(COUNTIFS(Base!$A$3:$A$5001,I$3,Base!$B$3:$B$5001,$A$41,Base!$K$3:$K$5001,"&lt;&gt;")=0,"",SUMIFS(Base!$K$3:$K$5001,Base!$A$3:$A$5001,I$3,Base!$B$3:$B$5001,$A$41)))</f>
        <v/>
      </c>
      <c r="J49" s="79" t="str">
        <f>IF(J$3="","",IF(COUNTIFS(Base!$A$3:$A$5001,J$3,Base!$B$3:$B$5001,$A$41,Base!$K$3:$K$5001,"&lt;&gt;")=0,"",SUMIFS(Base!$K$3:$K$5001,Base!$A$3:$A$5001,J$3,Base!$B$3:$B$5001,$A$41)))</f>
        <v/>
      </c>
      <c r="K49" s="79" t="str">
        <f>IF(K$3="","",IF(COUNTIFS(Base!$A$3:$A$5001,K$3,Base!$B$3:$B$5001,$A$41,Base!$K$3:$K$5001,"&lt;&gt;")=0,"",SUMIFS(Base!$K$3:$K$5001,Base!$A$3:$A$5001,K$3,Base!$B$3:$B$5001,$A$41)))</f>
        <v/>
      </c>
      <c r="L49" s="79" t="str">
        <f>IF(L$3="","",IF(COUNTIFS(Base!$A$3:$A$5001,L$3,Base!$B$3:$B$5001,$A$41,Base!$K$3:$K$5001,"&lt;&gt;")=0,"",SUMIFS(Base!$K$3:$K$5001,Base!$A$3:$A$5001,L$3,Base!$B$3:$B$5001,$A$41)))</f>
        <v/>
      </c>
      <c r="M49" s="79" t="str">
        <f>IF(M$3="","",IF(COUNTIFS(Base!$A$3:$A$5001,M$3,Base!$B$3:$B$5001,$A$41,Base!$K$3:$K$5001,"&lt;&gt;")=0,"",SUMIFS(Base!$K$3:$K$5001,Base!$A$3:$A$5001,M$3,Base!$B$3:$B$5001,$A$41)))</f>
        <v/>
      </c>
      <c r="N49" s="79" t="str">
        <f>IF(N$3="","",IF(COUNTIFS(Base!$A$3:$A$5001,N$3,Base!$B$3:$B$5001,$A$41,Base!$K$3:$K$5001,"&lt;&gt;")=0,"",SUMIFS(Base!$K$3:$K$5001,Base!$A$3:$A$5001,N$3,Base!$B$3:$B$5001,$A$41)))</f>
        <v/>
      </c>
      <c r="O49" s="79" t="str">
        <f>IF(O$3="","",IF(COUNTIFS(Base!$A$3:$A$5001,O$3,Base!$B$3:$B$5001,$A$41,Base!$K$3:$K$5001,"&lt;&gt;")=0,"",SUMIFS(Base!$K$3:$K$5001,Base!$A$3:$A$5001,O$3,Base!$B$3:$B$5001,$A$41)))</f>
        <v/>
      </c>
      <c r="P49" s="79" t="str">
        <f>IF(P$3="","",IF(COUNTIFS(Base!$A$3:$A$5001,P$3,Base!$B$3:$B$5001,$A$41,Base!$K$3:$K$5001,"&lt;&gt;")=0,"",SUMIFS(Base!$K$3:$K$5001,Base!$A$3:$A$5001,P$3,Base!$B$3:$B$5001,$A$41)))</f>
        <v/>
      </c>
      <c r="Q49" s="79" t="str">
        <f>IF(Q$3="","",IF(COUNTIFS(Base!$A$3:$A$5001,Q$3,Base!$B$3:$B$5001,$A$41,Base!$K$3:$K$5001,"&lt;&gt;")=0,"",SUMIFS(Base!$K$3:$K$5001,Base!$A$3:$A$5001,Q$3,Base!$B$3:$B$5001,$A$41)))</f>
        <v/>
      </c>
      <c r="R49" s="79" t="str">
        <f>IF(R$3="","",IF(COUNTIFS(Base!$A$3:$A$5001,R$3,Base!$B$3:$B$5001,$A$41,Base!$K$3:$K$5001,"&lt;&gt;")=0,"",SUMIFS(Base!$K$3:$K$5001,Base!$A$3:$A$5001,R$3,Base!$B$3:$B$5001,$A$41)))</f>
        <v/>
      </c>
      <c r="S49" s="79" t="str">
        <f>IF(S$3="","",IF(COUNTIFS(Base!$A$3:$A$5001,S$3,Base!$B$3:$B$5001,$A$41,Base!$K$3:$K$5001,"&lt;&gt;")=0,"",SUMIFS(Base!$K$3:$K$5001,Base!$A$3:$A$5001,S$3,Base!$B$3:$B$5001,$A$41)))</f>
        <v/>
      </c>
      <c r="T49" s="79" t="str">
        <f>IF(T$3="","",IF(COUNTIFS(Base!$A$3:$A$5001,T$3,Base!$B$3:$B$5001,$A$41,Base!$K$3:$K$5001,"&lt;&gt;")=0,"",SUMIFS(Base!$K$3:$K$5001,Base!$A$3:$A$5001,T$3,Base!$B$3:$B$5001,$A$41)))</f>
        <v/>
      </c>
      <c r="U49" s="79" t="str">
        <f>IF(U$3="","",IF(COUNTIFS(Base!$A$3:$A$5001,U$3,Base!$B$3:$B$5001,$A$41,Base!$K$3:$K$5001,"&lt;&gt;")=0,"",SUMIFS(Base!$K$3:$K$5001,Base!$A$3:$A$5001,U$3,Base!$B$3:$B$5001,$A$41)))</f>
        <v/>
      </c>
      <c r="V49" s="79" t="str">
        <f>IF(V$3="","",IF(COUNTIFS(Base!$A$3:$A$5001,V$3,Base!$B$3:$B$5001,$A$41,Base!$K$3:$K$5001,"&lt;&gt;")=0,"",SUMIFS(Base!$K$3:$K$5001,Base!$A$3:$A$5001,V$3,Base!$B$3:$B$5001,$A$41)))</f>
        <v/>
      </c>
      <c r="W49" s="79" t="str">
        <f>IF(W$3="","",IF(COUNTIFS(Base!$A$3:$A$5001,W$3,Base!$B$3:$B$5001,$A$41,Base!$K$3:$K$5001,"&lt;&gt;")=0,"",SUMIFS(Base!$K$3:$K$5001,Base!$A$3:$A$5001,W$3,Base!$B$3:$B$5001,$A$41)))</f>
        <v/>
      </c>
      <c r="X49" s="79" t="str">
        <f>IF(X$3="","",IF(COUNTIFS(Base!$A$3:$A$5001,X$3,Base!$B$3:$B$5001,$A$41,Base!$K$3:$K$5001,"&lt;&gt;")=0,"",SUMIFS(Base!$K$3:$K$5001,Base!$A$3:$A$5001,X$3,Base!$B$3:$B$5001,$A$41)))</f>
        <v/>
      </c>
      <c r="Y49" s="79" t="str">
        <f>IF(Y$3="","",IF(COUNTIFS(Base!$A$3:$A$5001,Y$3,Base!$B$3:$B$5001,$A$41,Base!$K$3:$K$5001,"&lt;&gt;")=0,"",SUMIFS(Base!$K$3:$K$5001,Base!$A$3:$A$5001,Y$3,Base!$B$3:$B$5001,$A$41)))</f>
        <v/>
      </c>
      <c r="Z49" s="79" t="str">
        <f>IF(Z$3="","",IF(COUNTIFS(Base!$A$3:$A$5001,Z$3,Base!$B$3:$B$5001,$A$41,Base!$K$3:$K$5001,"&lt;&gt;")=0,"",SUMIFS(Base!$K$3:$K$5001,Base!$A$3:$A$5001,Z$3,Base!$B$3:$B$5001,$A$41)))</f>
        <v/>
      </c>
      <c r="AA49" s="79" t="str">
        <f>IF(AA$3="","",IF(COUNTIFS(Base!$A$3:$A$5001,AA$3,Base!$B$3:$B$5001,$A$41,Base!$K$3:$K$5001,"&lt;&gt;")=0,"",SUMIFS(Base!$K$3:$K$5001,Base!$A$3:$A$5001,AA$3,Base!$B$3:$B$5001,$A$41)))</f>
        <v/>
      </c>
      <c r="AB49" s="79" t="str">
        <f>IF(AB$3="","",IF(COUNTIFS(Base!$A$3:$A$5001,AB$3,Base!$B$3:$B$5001,$A$41,Base!$K$3:$K$5001,"&lt;&gt;")=0,"",SUMIFS(Base!$K$3:$K$5001,Base!$A$3:$A$5001,AB$3,Base!$B$3:$B$5001,$A$41)))</f>
        <v/>
      </c>
      <c r="AC49" s="79" t="str">
        <f>IF(AC$3="","",IF(COUNTIFS(Base!$A$3:$A$5001,AC$3,Base!$B$3:$B$5001,$A$41,Base!$K$3:$K$5001,"&lt;&gt;")=0,"",SUMIFS(Base!$K$3:$K$5001,Base!$A$3:$A$5001,AC$3,Base!$B$3:$B$5001,$A$41)))</f>
        <v/>
      </c>
      <c r="AD49" s="79" t="str">
        <f>IF(AD$3="","",IF(COUNTIFS(Base!$A$3:$A$5001,AD$3,Base!$B$3:$B$5001,$A$41,Base!$K$3:$K$5001,"&lt;&gt;")=0,"",SUMIFS(Base!$K$3:$K$5001,Base!$A$3:$A$5001,AD$3,Base!$B$3:$B$5001,$A$41)))</f>
        <v/>
      </c>
      <c r="AE49" s="79" t="str">
        <f>IF(AE$3="","",IF(COUNTIFS(Base!$A$3:$A$5001,AE$3,Base!$B$3:$B$5001,$A$41,Base!$K$3:$K$5001,"&lt;&gt;")=0,"",SUMIFS(Base!$K$3:$K$5001,Base!$A$3:$A$5001,AE$3,Base!$B$3:$B$5001,$A$41)))</f>
        <v/>
      </c>
      <c r="AF49" s="79" t="str">
        <f>IF(AF$3="","",IF(COUNTIFS(Base!$A$3:$A$5001,AF$3,Base!$B$3:$B$5001,$A$41,Base!$K$3:$K$5001,"&lt;&gt;")=0,"",SUMIFS(Base!$K$3:$K$5001,Base!$A$3:$A$5001,AF$3,Base!$B$3:$B$5001,$A$41)))</f>
        <v/>
      </c>
      <c r="AG49" s="79" t="str">
        <f>IF(AG$3="","",IF(COUNTIFS(Base!$A$3:$A$5001,AG$3,Base!$B$3:$B$5001,$A$41,Base!$K$3:$K$5001,"&lt;&gt;")=0,"",SUMIFS(Base!$K$3:$K$5001,Base!$A$3:$A$5001,AG$3,Base!$B$3:$B$5001,$A$41)))</f>
        <v/>
      </c>
      <c r="AH49" s="79" t="str">
        <f>IF(AH$3="","",IF(COUNTIFS(Base!$A$3:$A$5001,AH$3,Base!$B$3:$B$5001,$A$41,Base!$K$3:$K$5001,"&lt;&gt;")=0,"",SUMIFS(Base!$K$3:$K$5001,Base!$A$3:$A$5001,AH$3,Base!$B$3:$B$5001,$A$41)))</f>
        <v/>
      </c>
      <c r="AI49" s="79" t="str">
        <f>IF(AI$3="","",IF(COUNTIFS(Base!$A$3:$A$5001,AI$3,Base!$B$3:$B$5001,$A$41,Base!$K$3:$K$5001,"&lt;&gt;")=0,"",SUMIFS(Base!$K$3:$K$5001,Base!$A$3:$A$5001,AI$3,Base!$B$3:$B$5001,$A$41)))</f>
        <v/>
      </c>
      <c r="AJ49" s="80" t="str">
        <f>IF(AJ$3="","",IF(COUNTIFS(Base!$A$3:$A$5001,AJ$3,Base!$B$3:$B$5001,$A$41,Base!$K$3:$K$5001,"&lt;&gt;")=0,"",SUMIFS(Base!$K$3:$K$5001,Base!$A$3:$A$5001,AJ$3,Base!$B$3:$B$5001,$A$41)))</f>
        <v/>
      </c>
      <c r="AK49" s="76" t="str">
        <f>IFERROR(LOOKUP(9.99E+307,F49:AJ49),"")</f>
        <v/>
      </c>
    </row>
    <row r="50" ht="15.75" customHeight="1">
      <c r="A50" s="118"/>
      <c r="B50" s="105" t="inlineStr">
        <is>
          <t xml:space="preserve">OCUPAÇÃO (P.P)</t>
        </is>
      </c>
      <c r="C50" s="21" t="inlineStr">
        <is>
          <t xml:space="preserve">Posições Disponíveis</t>
        </is>
      </c>
      <c r="D50" s="22"/>
      <c r="E50" s="23"/>
      <c r="F50" s="24" t="str">
        <f>IF(F$3="","",IF(COUNTIFS(Base!$A$3:$A$5001,F$3,Base!$B$3:$B$5001,$A$41,Base!$L$3:$L$5001,"&lt;&gt;")=0,"",SUMIFS(Base!$L$3:$L$5001,Base!$A$3:$A$5001,F$3,Base!$B$3:$B$5001,$A$41)))</f>
        <v/>
      </c>
      <c r="G50" s="25" t="str">
        <f>IF(G$3="","",IF(COUNTIFS(Base!$A$3:$A$5001,G$3,Base!$B$3:$B$5001,$A$41,Base!$L$3:$L$5001,"&lt;&gt;")=0,"",SUMIFS(Base!$L$3:$L$5001,Base!$A$3:$A$5001,G$3,Base!$B$3:$B$5001,$A$41)))</f>
        <v/>
      </c>
      <c r="H50" s="25" t="str">
        <f>IF(H$3="","",IF(COUNTIFS(Base!$A$3:$A$5001,H$3,Base!$B$3:$B$5001,$A$41,Base!$L$3:$L$5001,"&lt;&gt;")=0,"",SUMIFS(Base!$L$3:$L$5001,Base!$A$3:$A$5001,H$3,Base!$B$3:$B$5001,$A$41)))</f>
        <v/>
      </c>
      <c r="I50" s="25" t="str">
        <f>IF(I$3="","",IF(COUNTIFS(Base!$A$3:$A$5001,I$3,Base!$B$3:$B$5001,$A$41,Base!$L$3:$L$5001,"&lt;&gt;")=0,"",SUMIFS(Base!$L$3:$L$5001,Base!$A$3:$A$5001,I$3,Base!$B$3:$B$5001,$A$41)))</f>
        <v/>
      </c>
      <c r="J50" s="25" t="str">
        <f>IF(J$3="","",IF(COUNTIFS(Base!$A$3:$A$5001,J$3,Base!$B$3:$B$5001,$A$41,Base!$L$3:$L$5001,"&lt;&gt;")=0,"",SUMIFS(Base!$L$3:$L$5001,Base!$A$3:$A$5001,J$3,Base!$B$3:$B$5001,$A$41)))</f>
        <v/>
      </c>
      <c r="K50" s="25" t="str">
        <f>IF(K$3="","",IF(COUNTIFS(Base!$A$3:$A$5001,K$3,Base!$B$3:$B$5001,$A$41,Base!$L$3:$L$5001,"&lt;&gt;")=0,"",SUMIFS(Base!$L$3:$L$5001,Base!$A$3:$A$5001,K$3,Base!$B$3:$B$5001,$A$41)))</f>
        <v/>
      </c>
      <c r="L50" s="25" t="str">
        <f>IF(L$3="","",IF(COUNTIFS(Base!$A$3:$A$5001,L$3,Base!$B$3:$B$5001,$A$41,Base!$L$3:$L$5001,"&lt;&gt;")=0,"",SUMIFS(Base!$L$3:$L$5001,Base!$A$3:$A$5001,L$3,Base!$B$3:$B$5001,$A$41)))</f>
        <v/>
      </c>
      <c r="M50" s="25" t="str">
        <f>IF(M$3="","",IF(COUNTIFS(Base!$A$3:$A$5001,M$3,Base!$B$3:$B$5001,$A$41,Base!$L$3:$L$5001,"&lt;&gt;")=0,"",SUMIFS(Base!$L$3:$L$5001,Base!$A$3:$A$5001,M$3,Base!$B$3:$B$5001,$A$41)))</f>
        <v/>
      </c>
      <c r="N50" s="25" t="str">
        <f>IF(N$3="","",IF(COUNTIFS(Base!$A$3:$A$5001,N$3,Base!$B$3:$B$5001,$A$41,Base!$L$3:$L$5001,"&lt;&gt;")=0,"",SUMIFS(Base!$L$3:$L$5001,Base!$A$3:$A$5001,N$3,Base!$B$3:$B$5001,$A$41)))</f>
        <v/>
      </c>
      <c r="O50" s="25" t="str">
        <f>IF(O$3="","",IF(COUNTIFS(Base!$A$3:$A$5001,O$3,Base!$B$3:$B$5001,$A$41,Base!$L$3:$L$5001,"&lt;&gt;")=0,"",SUMIFS(Base!$L$3:$L$5001,Base!$A$3:$A$5001,O$3,Base!$B$3:$B$5001,$A$41)))</f>
        <v/>
      </c>
      <c r="P50" s="25" t="str">
        <f>IF(P$3="","",IF(COUNTIFS(Base!$A$3:$A$5001,P$3,Base!$B$3:$B$5001,$A$41,Base!$L$3:$L$5001,"&lt;&gt;")=0,"",SUMIFS(Base!$L$3:$L$5001,Base!$A$3:$A$5001,P$3,Base!$B$3:$B$5001,$A$41)))</f>
        <v/>
      </c>
      <c r="Q50" s="25" t="str">
        <f>IF(Q$3="","",IF(COUNTIFS(Base!$A$3:$A$5001,Q$3,Base!$B$3:$B$5001,$A$41,Base!$L$3:$L$5001,"&lt;&gt;")=0,"",SUMIFS(Base!$L$3:$L$5001,Base!$A$3:$A$5001,Q$3,Base!$B$3:$B$5001,$A$41)))</f>
        <v/>
      </c>
      <c r="R50" s="25" t="str">
        <f>IF(R$3="","",IF(COUNTIFS(Base!$A$3:$A$5001,R$3,Base!$B$3:$B$5001,$A$41,Base!$L$3:$L$5001,"&lt;&gt;")=0,"",SUMIFS(Base!$L$3:$L$5001,Base!$A$3:$A$5001,R$3,Base!$B$3:$B$5001,$A$41)))</f>
        <v/>
      </c>
      <c r="S50" s="25" t="str">
        <f>IF(S$3="","",IF(COUNTIFS(Base!$A$3:$A$5001,S$3,Base!$B$3:$B$5001,$A$41,Base!$L$3:$L$5001,"&lt;&gt;")=0,"",SUMIFS(Base!$L$3:$L$5001,Base!$A$3:$A$5001,S$3,Base!$B$3:$B$5001,$A$41)))</f>
        <v/>
      </c>
      <c r="T50" s="25" t="str">
        <f>IF(T$3="","",IF(COUNTIFS(Base!$A$3:$A$5001,T$3,Base!$B$3:$B$5001,$A$41,Base!$L$3:$L$5001,"&lt;&gt;")=0,"",SUMIFS(Base!$L$3:$L$5001,Base!$A$3:$A$5001,T$3,Base!$B$3:$B$5001,$A$41)))</f>
        <v/>
      </c>
      <c r="U50" s="25" t="str">
        <f>IF(U$3="","",IF(COUNTIFS(Base!$A$3:$A$5001,U$3,Base!$B$3:$B$5001,$A$41,Base!$L$3:$L$5001,"&lt;&gt;")=0,"",SUMIFS(Base!$L$3:$L$5001,Base!$A$3:$A$5001,U$3,Base!$B$3:$B$5001,$A$41)))</f>
        <v/>
      </c>
      <c r="V50" s="25" t="str">
        <f>IF(V$3="","",IF(COUNTIFS(Base!$A$3:$A$5001,V$3,Base!$B$3:$B$5001,$A$41,Base!$L$3:$L$5001,"&lt;&gt;")=0,"",SUMIFS(Base!$L$3:$L$5001,Base!$A$3:$A$5001,V$3,Base!$B$3:$B$5001,$A$41)))</f>
        <v/>
      </c>
      <c r="W50" s="25" t="str">
        <f>IF(W$3="","",IF(COUNTIFS(Base!$A$3:$A$5001,W$3,Base!$B$3:$B$5001,$A$41,Base!$L$3:$L$5001,"&lt;&gt;")=0,"",SUMIFS(Base!$L$3:$L$5001,Base!$A$3:$A$5001,W$3,Base!$B$3:$B$5001,$A$41)))</f>
        <v/>
      </c>
      <c r="X50" s="25" t="str">
        <f>IF(X$3="","",IF(COUNTIFS(Base!$A$3:$A$5001,X$3,Base!$B$3:$B$5001,$A$41,Base!$L$3:$L$5001,"&lt;&gt;")=0,"",SUMIFS(Base!$L$3:$L$5001,Base!$A$3:$A$5001,X$3,Base!$B$3:$B$5001,$A$41)))</f>
        <v/>
      </c>
      <c r="Y50" s="25" t="str">
        <f>IF(Y$3="","",IF(COUNTIFS(Base!$A$3:$A$5001,Y$3,Base!$B$3:$B$5001,$A$41,Base!$L$3:$L$5001,"&lt;&gt;")=0,"",SUMIFS(Base!$L$3:$L$5001,Base!$A$3:$A$5001,Y$3,Base!$B$3:$B$5001,$A$41)))</f>
        <v/>
      </c>
      <c r="Z50" s="25" t="str">
        <f>IF(Z$3="","",IF(COUNTIFS(Base!$A$3:$A$5001,Z$3,Base!$B$3:$B$5001,$A$41,Base!$L$3:$L$5001,"&lt;&gt;")=0,"",SUMIFS(Base!$L$3:$L$5001,Base!$A$3:$A$5001,Z$3,Base!$B$3:$B$5001,$A$41)))</f>
        <v/>
      </c>
      <c r="AA50" s="25" t="str">
        <f>IF(AA$3="","",IF(COUNTIFS(Base!$A$3:$A$5001,AA$3,Base!$B$3:$B$5001,$A$41,Base!$L$3:$L$5001,"&lt;&gt;")=0,"",SUMIFS(Base!$L$3:$L$5001,Base!$A$3:$A$5001,AA$3,Base!$B$3:$B$5001,$A$41)))</f>
        <v/>
      </c>
      <c r="AB50" s="25" t="str">
        <f>IF(AB$3="","",IF(COUNTIFS(Base!$A$3:$A$5001,AB$3,Base!$B$3:$B$5001,$A$41,Base!$L$3:$L$5001,"&lt;&gt;")=0,"",SUMIFS(Base!$L$3:$L$5001,Base!$A$3:$A$5001,AB$3,Base!$B$3:$B$5001,$A$41)))</f>
        <v/>
      </c>
      <c r="AC50" s="25" t="str">
        <f>IF(AC$3="","",IF(COUNTIFS(Base!$A$3:$A$5001,AC$3,Base!$B$3:$B$5001,$A$41,Base!$L$3:$L$5001,"&lt;&gt;")=0,"",SUMIFS(Base!$L$3:$L$5001,Base!$A$3:$A$5001,AC$3,Base!$B$3:$B$5001,$A$41)))</f>
        <v/>
      </c>
      <c r="AD50" s="25" t="str">
        <f>IF(AD$3="","",IF(COUNTIFS(Base!$A$3:$A$5001,AD$3,Base!$B$3:$B$5001,$A$41,Base!$L$3:$L$5001,"&lt;&gt;")=0,"",SUMIFS(Base!$L$3:$L$5001,Base!$A$3:$A$5001,AD$3,Base!$B$3:$B$5001,$A$41)))</f>
        <v/>
      </c>
      <c r="AE50" s="25" t="str">
        <f>IF(AE$3="","",IF(COUNTIFS(Base!$A$3:$A$5001,AE$3,Base!$B$3:$B$5001,$A$41,Base!$L$3:$L$5001,"&lt;&gt;")=0,"",SUMIFS(Base!$L$3:$L$5001,Base!$A$3:$A$5001,AE$3,Base!$B$3:$B$5001,$A$41)))</f>
        <v/>
      </c>
      <c r="AF50" s="25" t="str">
        <f>IF(AF$3="","",IF(COUNTIFS(Base!$A$3:$A$5001,AF$3,Base!$B$3:$B$5001,$A$41,Base!$L$3:$L$5001,"&lt;&gt;")=0,"",SUMIFS(Base!$L$3:$L$5001,Base!$A$3:$A$5001,AF$3,Base!$B$3:$B$5001,$A$41)))</f>
        <v/>
      </c>
      <c r="AG50" s="25" t="str">
        <f>IF(AG$3="","",IF(COUNTIFS(Base!$A$3:$A$5001,AG$3,Base!$B$3:$B$5001,$A$41,Base!$L$3:$L$5001,"&lt;&gt;")=0,"",SUMIFS(Base!$L$3:$L$5001,Base!$A$3:$A$5001,AG$3,Base!$B$3:$B$5001,$A$41)))</f>
        <v/>
      </c>
      <c r="AH50" s="25" t="str">
        <f>IF(AH$3="","",IF(COUNTIFS(Base!$A$3:$A$5001,AH$3,Base!$B$3:$B$5001,$A$41,Base!$L$3:$L$5001,"&lt;&gt;")=0,"",SUMIFS(Base!$L$3:$L$5001,Base!$A$3:$A$5001,AH$3,Base!$B$3:$B$5001,$A$41)))</f>
        <v/>
      </c>
      <c r="AI50" s="25" t="str">
        <f>IF(AI$3="","",IF(COUNTIFS(Base!$A$3:$A$5001,AI$3,Base!$B$3:$B$5001,$A$41,Base!$L$3:$L$5001,"&lt;&gt;")=0,"",SUMIFS(Base!$L$3:$L$5001,Base!$A$3:$A$5001,AI$3,Base!$B$3:$B$5001,$A$41)))</f>
        <v/>
      </c>
      <c r="AJ50" s="26" t="str">
        <f>IF(AJ$3="","",IF(COUNTIFS(Base!$A$3:$A$5001,AJ$3,Base!$B$3:$B$5001,$A$41,Base!$L$3:$L$5001,"&lt;&gt;")=0,"",SUMIFS(Base!$L$3:$L$5001,Base!$A$3:$A$5001,AJ$3,Base!$B$3:$B$5001,$A$41)))</f>
        <v/>
      </c>
      <c r="AK50" s="27" t="inlineStr">
        <is>
          <t xml:space="preserve">Spot</t>
        </is>
      </c>
    </row>
    <row r="51" ht="15.75" customHeight="1">
      <c r="A51" s="118"/>
      <c r="B51" s="106"/>
      <c r="C51" s="28" t="inlineStr">
        <is>
          <t xml:space="preserve">Posições Ocupadas</t>
        </is>
      </c>
      <c r="D51" s="29"/>
      <c r="E51" s="30"/>
      <c r="F51" s="31">
        <f>IF(F$3="","",IF(COUNTIFS(Base!$A$3:$A$5001,F$3,Base!$B$3:$B$5001,$A$41,Base!$M$3:$M$5001,"&lt;&gt;")=0,"",SUMIFS(Base!$M$3:$M$5001,Base!$A$3:$A$5001,F$3,Base!$B$3:$B$5001,$A$41)))</f>
        <v>182</v>
      </c>
      <c r="G51" s="32">
        <f>IF(G$3="","",IF(COUNTIFS(Base!$A$3:$A$5001,G$3,Base!$B$3:$B$5001,$A$41,Base!$M$3:$M$5001,"&lt;&gt;")=0,"",SUMIFS(Base!$M$3:$M$5001,Base!$A$3:$A$5001,G$3,Base!$B$3:$B$5001,$A$41)))</f>
        <v>277</v>
      </c>
      <c r="H51" s="32">
        <f>IF(H$3="","",IF(COUNTIFS(Base!$A$3:$A$5001,H$3,Base!$B$3:$B$5001,$A$41,Base!$M$3:$M$5001,"&lt;&gt;")=0,"",SUMIFS(Base!$M$3:$M$5001,Base!$A$3:$A$5001,H$3,Base!$B$3:$B$5001,$A$41)))</f>
        <v>219</v>
      </c>
      <c r="I51" s="32">
        <f>IF(I$3="","",IF(COUNTIFS(Base!$A$3:$A$5001,I$3,Base!$B$3:$B$5001,$A$41,Base!$M$3:$M$5001,"&lt;&gt;")=0,"",SUMIFS(Base!$M$3:$M$5001,Base!$A$3:$A$5001,I$3,Base!$B$3:$B$5001,$A$41)))</f>
        <v>154</v>
      </c>
      <c r="J51" s="32">
        <f>IF(J$3="","",IF(COUNTIFS(Base!$A$3:$A$5001,J$3,Base!$B$3:$B$5001,$A$41,Base!$M$3:$M$5001,"&lt;&gt;")=0,"",SUMIFS(Base!$M$3:$M$5001,Base!$A$3:$A$5001,J$3,Base!$B$3:$B$5001,$A$41)))</f>
        <v>202</v>
      </c>
      <c r="K51" s="32">
        <f>IF(K$3="","",IF(COUNTIFS(Base!$A$3:$A$5001,K$3,Base!$B$3:$B$5001,$A$41,Base!$M$3:$M$5001,"&lt;&gt;")=0,"",SUMIFS(Base!$M$3:$M$5001,Base!$A$3:$A$5001,K$3,Base!$B$3:$B$5001,$A$41)))</f>
        <v>363</v>
      </c>
      <c r="L51" s="32">
        <f>IF(L$3="","",IF(COUNTIFS(Base!$A$3:$A$5001,L$3,Base!$B$3:$B$5001,$A$41,Base!$M$3:$M$5001,"&lt;&gt;")=0,"",SUMIFS(Base!$M$3:$M$5001,Base!$A$3:$A$5001,L$3,Base!$B$3:$B$5001,$A$41)))</f>
        <v>217</v>
      </c>
      <c r="M51" s="32">
        <f>IF(M$3="","",IF(COUNTIFS(Base!$A$3:$A$5001,M$3,Base!$B$3:$B$5001,$A$41,Base!$M$3:$M$5001,"&lt;&gt;")=0,"",SUMIFS(Base!$M$3:$M$5001,Base!$A$3:$A$5001,M$3,Base!$B$3:$B$5001,$A$41)))</f>
        <v>252</v>
      </c>
      <c r="N51" s="32">
        <f>IF(N$3="","",IF(COUNTIFS(Base!$A$3:$A$5001,N$3,Base!$B$3:$B$5001,$A$41,Base!$M$3:$M$5001,"&lt;&gt;")=0,"",SUMIFS(Base!$M$3:$M$5001,Base!$A$3:$A$5001,N$3,Base!$B$3:$B$5001,$A$41)))</f>
        <v>148</v>
      </c>
      <c r="O51" s="32">
        <f>IF(O$3="","",IF(COUNTIFS(Base!$A$3:$A$5001,O$3,Base!$B$3:$B$5001,$A$41,Base!$M$3:$M$5001,"&lt;&gt;")=0,"",SUMIFS(Base!$M$3:$M$5001,Base!$A$3:$A$5001,O$3,Base!$B$3:$B$5001,$A$41)))</f>
        <v>189</v>
      </c>
      <c r="P51" s="32">
        <f>IF(P$3="","",IF(COUNTIFS(Base!$A$3:$A$5001,P$3,Base!$B$3:$B$5001,$A$41,Base!$M$3:$M$5001,"&lt;&gt;")=0,"",SUMIFS(Base!$M$3:$M$5001,Base!$A$3:$A$5001,P$3,Base!$B$3:$B$5001,$A$41)))</f>
        <v>162</v>
      </c>
      <c r="Q51" s="32" t="str">
        <f>IF(Q$3="","",IF(COUNTIFS(Base!$A$3:$A$5001,Q$3,Base!$B$3:$B$5001,$A$41,Base!$M$3:$M$5001,"&lt;&gt;")=0,"",SUMIFS(Base!$M$3:$M$5001,Base!$A$3:$A$5001,Q$3,Base!$B$3:$B$5001,$A$41)))</f>
        <v/>
      </c>
      <c r="R51" s="32">
        <f>IF(R$3="","",IF(COUNTIFS(Base!$A$3:$A$5001,R$3,Base!$B$3:$B$5001,$A$41,Base!$M$3:$M$5001,"&lt;&gt;")=0,"",SUMIFS(Base!$M$3:$M$5001,Base!$A$3:$A$5001,R$3,Base!$B$3:$B$5001,$A$41)))</f>
        <v>177</v>
      </c>
      <c r="S51" s="32">
        <f>IF(S$3="","",IF(COUNTIFS(Base!$A$3:$A$5001,S$3,Base!$B$3:$B$5001,$A$41,Base!$M$3:$M$5001,"&lt;&gt;")=0,"",SUMIFS(Base!$M$3:$M$5001,Base!$A$3:$A$5001,S$3,Base!$B$3:$B$5001,$A$41)))</f>
        <v>400</v>
      </c>
      <c r="T51" s="32">
        <f>IF(T$3="","",IF(COUNTIFS(Base!$A$3:$A$5001,T$3,Base!$B$3:$B$5001,$A$41,Base!$M$3:$M$5001,"&lt;&gt;")=0,"",SUMIFS(Base!$M$3:$M$5001,Base!$A$3:$A$5001,T$3,Base!$B$3:$B$5001,$A$41)))</f>
        <v>167</v>
      </c>
      <c r="U51" s="32">
        <f>IF(U$3="","",IF(COUNTIFS(Base!$A$3:$A$5001,U$3,Base!$B$3:$B$5001,$A$41,Base!$M$3:$M$5001,"&lt;&gt;")=0,"",SUMIFS(Base!$M$3:$M$5001,Base!$A$3:$A$5001,U$3,Base!$B$3:$B$5001,$A$41)))</f>
        <v>290</v>
      </c>
      <c r="V51" s="32">
        <f>IF(V$3="","",IF(COUNTIFS(Base!$A$3:$A$5001,V$3,Base!$B$3:$B$5001,$A$41,Base!$M$3:$M$5001,"&lt;&gt;")=0,"",SUMIFS(Base!$M$3:$M$5001,Base!$A$3:$A$5001,V$3,Base!$B$3:$B$5001,$A$41)))</f>
        <v>333</v>
      </c>
      <c r="W51" s="32">
        <f>IF(W$3="","",IF(COUNTIFS(Base!$A$3:$A$5001,W$3,Base!$B$3:$B$5001,$A$41,Base!$M$3:$M$5001,"&lt;&gt;")=0,"",SUMIFS(Base!$M$3:$M$5001,Base!$A$3:$A$5001,W$3,Base!$B$3:$B$5001,$A$41)))</f>
        <v>198</v>
      </c>
      <c r="X51" s="32" t="str">
        <f>IF(X$3="","",IF(COUNTIFS(Base!$A$3:$A$5001,X$3,Base!$B$3:$B$5001,$A$41,Base!$M$3:$M$5001,"&lt;&gt;")=0,"",SUMIFS(Base!$M$3:$M$5001,Base!$A$3:$A$5001,X$3,Base!$B$3:$B$5001,$A$41)))</f>
        <v/>
      </c>
      <c r="Y51" s="32" t="str">
        <f>IF(Y$3="","",IF(COUNTIFS(Base!$A$3:$A$5001,Y$3,Base!$B$3:$B$5001,$A$41,Base!$M$3:$M$5001,"&lt;&gt;")=0,"",SUMIFS(Base!$M$3:$M$5001,Base!$A$3:$A$5001,Y$3,Base!$B$3:$B$5001,$A$41)))</f>
        <v/>
      </c>
      <c r="Z51" s="32">
        <f>IF(Z$3="","",IF(COUNTIFS(Base!$A$3:$A$5001,Z$3,Base!$B$3:$B$5001,$A$41,Base!$M$3:$M$5001,"&lt;&gt;")=0,"",SUMIFS(Base!$M$3:$M$5001,Base!$A$3:$A$5001,Z$3,Base!$B$3:$B$5001,$A$41)))</f>
        <v>243</v>
      </c>
      <c r="AA51" s="32">
        <f>IF(AA$3="","",IF(COUNTIFS(Base!$A$3:$A$5001,AA$3,Base!$B$3:$B$5001,$A$41,Base!$M$3:$M$5001,"&lt;&gt;")=0,"",SUMIFS(Base!$M$3:$M$5001,Base!$A$3:$A$5001,AA$3,Base!$B$3:$B$5001,$A$41)))</f>
        <v>120</v>
      </c>
      <c r="AB51" s="32">
        <f>IF(AB$3="","",IF(COUNTIFS(Base!$A$3:$A$5001,AB$3,Base!$B$3:$B$5001,$A$41,Base!$M$3:$M$5001,"&lt;&gt;")=0,"",SUMIFS(Base!$M$3:$M$5001,Base!$A$3:$A$5001,AB$3,Base!$B$3:$B$5001,$A$41)))</f>
        <v>296</v>
      </c>
      <c r="AC51" s="32">
        <f>IF(AC$3="","",IF(COUNTIFS(Base!$A$3:$A$5001,AC$3,Base!$B$3:$B$5001,$A$41,Base!$M$3:$M$5001,"&lt;&gt;")=0,"",SUMIFS(Base!$M$3:$M$5001,Base!$A$3:$A$5001,AC$3,Base!$B$3:$B$5001,$A$41)))</f>
        <v>303</v>
      </c>
      <c r="AD51" s="32">
        <f>IF(AD$3="","",IF(COUNTIFS(Base!$A$3:$A$5001,AD$3,Base!$B$3:$B$5001,$A$41,Base!$M$3:$M$5001,"&lt;&gt;")=0,"",SUMIFS(Base!$M$3:$M$5001,Base!$A$3:$A$5001,AD$3,Base!$B$3:$B$5001,$A$41)))</f>
        <v>364</v>
      </c>
      <c r="AE51" s="32" t="str">
        <f>IF(AE$3="","",IF(COUNTIFS(Base!$A$3:$A$5001,AE$3,Base!$B$3:$B$5001,$A$41,Base!$M$3:$M$5001,"&lt;&gt;")=0,"",SUMIFS(Base!$M$3:$M$5001,Base!$A$3:$A$5001,AE$3,Base!$B$3:$B$5001,$A$41)))</f>
        <v/>
      </c>
      <c r="AF51" s="32" t="str">
        <f>IF(AF$3="","",IF(COUNTIFS(Base!$A$3:$A$5001,AF$3,Base!$B$3:$B$5001,$A$41,Base!$M$3:$M$5001,"&lt;&gt;")=0,"",SUMIFS(Base!$M$3:$M$5001,Base!$A$3:$A$5001,AF$3,Base!$B$3:$B$5001,$A$41)))</f>
        <v/>
      </c>
      <c r="AG51" s="32">
        <f>IF(AG$3="","",IF(COUNTIFS(Base!$A$3:$A$5001,AG$3,Base!$B$3:$B$5001,$A$41,Base!$M$3:$M$5001,"&lt;&gt;")=0,"",SUMIFS(Base!$M$3:$M$5001,Base!$A$3:$A$5001,AG$3,Base!$B$3:$B$5001,$A$41)))</f>
        <v>265</v>
      </c>
      <c r="AH51" s="32">
        <f>IF(AH$3="","",IF(COUNTIFS(Base!$A$3:$A$5001,AH$3,Base!$B$3:$B$5001,$A$41,Base!$M$3:$M$5001,"&lt;&gt;")=0,"",SUMIFS(Base!$M$3:$M$5001,Base!$A$3:$A$5001,AH$3,Base!$B$3:$B$5001,$A$41)))</f>
        <v>373</v>
      </c>
      <c r="AI51" s="32" t="str">
        <f>IF(AI$3="","",IF(COUNTIFS(Base!$A$3:$A$5001,AI$3,Base!$B$3:$B$5001,$A$41,Base!$M$3:$M$5001,"&lt;&gt;")=0,"",SUMIFS(Base!$M$3:$M$5001,Base!$A$3:$A$5001,AI$3,Base!$B$3:$B$5001,$A$41)))</f>
        <v/>
      </c>
      <c r="AJ51" s="33" t="str">
        <f>IF(AJ$3="","",IF(COUNTIFS(Base!$A$3:$A$5001,AJ$3,Base!$B$3:$B$5001,$A$41,Base!$M$3:$M$5001,"&lt;&gt;")=0,"",SUMIFS(Base!$M$3:$M$5001,Base!$A$3:$A$5001,AJ$3,Base!$B$3:$B$5001,$A$41)))</f>
        <v/>
      </c>
      <c r="AK51" s="34">
        <f>IFERROR(LOOKUP(9.99E+307,F51:AJ51),"")</f>
        <v>373</v>
      </c>
    </row>
    <row r="52" ht="15.75" customHeight="1">
      <c r="A52" s="118"/>
      <c r="B52" s="107"/>
      <c r="C52" s="35" t="inlineStr">
        <is>
          <t xml:space="preserve">Taxa de Ocupação</t>
        </is>
      </c>
      <c r="D52" s="81"/>
      <c r="E52" s="37"/>
      <c r="F52" s="82" t="str">
        <f>IF(AND(ISNUMBER(F50),ISNUMBER(F51)),IF(F50&gt;0,F51/F50,""),"")</f>
        <v/>
      </c>
      <c r="G52" s="83" t="str">
        <f>IF(AND(ISNUMBER(G50),ISNUMBER(G51)),IF(G50&gt;0,G51/G50,""),"")</f>
        <v/>
      </c>
      <c r="H52" s="83" t="str">
        <f>IF(AND(ISNUMBER(H50),ISNUMBER(H51)),IF(H50&gt;0,H51/H50,""),"")</f>
        <v/>
      </c>
      <c r="I52" s="83" t="str">
        <f>IF(AND(ISNUMBER(I50),ISNUMBER(I51)),IF(I50&gt;0,I51/I50,""),"")</f>
        <v/>
      </c>
      <c r="J52" s="83" t="str">
        <f>IF(AND(ISNUMBER(J50),ISNUMBER(J51)),IF(J50&gt;0,J51/J50,""),"")</f>
        <v/>
      </c>
      <c r="K52" s="83" t="str">
        <f>IF(AND(ISNUMBER(K50),ISNUMBER(K51)),IF(K50&gt;0,K51/K50,""),"")</f>
        <v/>
      </c>
      <c r="L52" s="83" t="str">
        <f>IF(AND(ISNUMBER(L50),ISNUMBER(L51)),IF(L50&gt;0,L51/L50,""),"")</f>
        <v/>
      </c>
      <c r="M52" s="83" t="str">
        <f>IF(AND(ISNUMBER(M50),ISNUMBER(M51)),IF(M50&gt;0,M51/M50,""),"")</f>
        <v/>
      </c>
      <c r="N52" s="83" t="str">
        <f>IF(AND(ISNUMBER(N50),ISNUMBER(N51)),IF(N50&gt;0,N51/N50,""),"")</f>
        <v/>
      </c>
      <c r="O52" s="83" t="str">
        <f>IF(AND(ISNUMBER(O50),ISNUMBER(O51)),IF(O50&gt;0,O51/O50,""),"")</f>
        <v/>
      </c>
      <c r="P52" s="83" t="str">
        <f>IF(AND(ISNUMBER(P50),ISNUMBER(P51)),IF(P50&gt;0,P51/P50,""),"")</f>
        <v/>
      </c>
      <c r="Q52" s="83" t="str">
        <f>IF(AND(ISNUMBER(Q50),ISNUMBER(Q51)),IF(Q50&gt;0,Q51/Q50,""),"")</f>
        <v/>
      </c>
      <c r="R52" s="83" t="str">
        <f>IF(AND(ISNUMBER(R50),ISNUMBER(R51)),IF(R50&gt;0,R51/R50,""),"")</f>
        <v/>
      </c>
      <c r="S52" s="83" t="str">
        <f>IF(AND(ISNUMBER(S50),ISNUMBER(S51)),IF(S50&gt;0,S51/S50,""),"")</f>
        <v/>
      </c>
      <c r="T52" s="83" t="str">
        <f>IF(AND(ISNUMBER(T50),ISNUMBER(T51)),IF(T50&gt;0,T51/T50,""),"")</f>
        <v/>
      </c>
      <c r="U52" s="83" t="str">
        <f>IF(AND(ISNUMBER(U50),ISNUMBER(U51)),IF(U50&gt;0,U51/U50,""),"")</f>
        <v/>
      </c>
      <c r="V52" s="83" t="str">
        <f>IF(AND(ISNUMBER(V50),ISNUMBER(V51)),IF(V50&gt;0,V51/V50,""),"")</f>
        <v/>
      </c>
      <c r="W52" s="83" t="str">
        <f>IF(AND(ISNUMBER(W50),ISNUMBER(W51)),IF(W50&gt;0,W51/W50,""),"")</f>
        <v/>
      </c>
      <c r="X52" s="83" t="str">
        <f>IF(AND(ISNUMBER(X50),ISNUMBER(X51)),IF(X50&gt;0,X51/X50,""),"")</f>
        <v/>
      </c>
      <c r="Y52" s="83" t="str">
        <f>IF(AND(ISNUMBER(Y50),ISNUMBER(Y51)),IF(Y50&gt;0,Y51/Y50,""),"")</f>
        <v/>
      </c>
      <c r="Z52" s="83" t="str">
        <f>IF(AND(ISNUMBER(Z50),ISNUMBER(Z51)),IF(Z50&gt;0,Z51/Z50,""),"")</f>
        <v/>
      </c>
      <c r="AA52" s="83" t="str">
        <f>IF(AND(ISNUMBER(AA50),ISNUMBER(AA51)),IF(AA50&gt;0,AA51/AA50,""),"")</f>
        <v/>
      </c>
      <c r="AB52" s="83" t="str">
        <f>IF(AND(ISNUMBER(AB50),ISNUMBER(AB51)),IF(AB50&gt;0,AB51/AB50,""),"")</f>
        <v/>
      </c>
      <c r="AC52" s="83" t="str">
        <f>IF(AND(ISNUMBER(AC50),ISNUMBER(AC51)),IF(AC50&gt;0,AC51/AC50,""),"")</f>
        <v/>
      </c>
      <c r="AD52" s="83" t="str">
        <f>IF(AND(ISNUMBER(AD50),ISNUMBER(AD51)),IF(AD50&gt;0,AD51/AD50,""),"")</f>
        <v/>
      </c>
      <c r="AE52" s="83" t="str">
        <f>IF(AND(ISNUMBER(AE50),ISNUMBER(AE51)),IF(AE50&gt;0,AE51/AE50,""),"")</f>
        <v/>
      </c>
      <c r="AF52" s="83" t="str">
        <f>IF(AND(ISNUMBER(AF50),ISNUMBER(AF51)),IF(AF50&gt;0,AF51/AF50,""),"")</f>
        <v/>
      </c>
      <c r="AG52" s="83" t="str">
        <f>IF(AND(ISNUMBER(AG50),ISNUMBER(AG51)),IF(AG50&gt;0,AG51/AG50,""),"")</f>
        <v/>
      </c>
      <c r="AH52" s="83" t="str">
        <f>IF(AND(ISNUMBER(AH50),ISNUMBER(AH51)),IF(AH50&gt;0,AH51/AH50,""),"")</f>
        <v/>
      </c>
      <c r="AI52" s="83" t="str">
        <f>IF(AND(ISNUMBER(AI50),ISNUMBER(AI51)),IF(AI50&gt;0,AI51/AI50,""),"")</f>
        <v/>
      </c>
      <c r="AJ52" s="84" t="str">
        <f>IF(AND(ISNUMBER(AJ50),ISNUMBER(AJ51)),IF(AJ50&gt;0,AJ51/AJ50,""),"")</f>
        <v/>
      </c>
      <c r="AK52" s="81" t="str">
        <f>IF(AND(ISNUMBER(AK50),ISNUMBER(AK51)),IF(AK50&gt;0,AK51/AK50,""),"")</f>
        <v/>
      </c>
    </row>
    <row r="53" ht="15.75" customHeight="1">
      <c r="A53" s="118"/>
      <c r="B53" s="114" t="inlineStr">
        <is>
          <t xml:space="preserve">GENTE</t>
        </is>
      </c>
      <c r="C53" s="85" t="inlineStr">
        <is>
          <t xml:space="preserve">Efetivo Op.</t>
        </is>
      </c>
      <c r="D53" s="86"/>
      <c r="E53" s="87"/>
      <c r="F53" s="88">
        <f>IF(F$3="","",IF(COUNTIFS(Base!$A$3:$A$5001,F$3,Base!$B$3:$B$5001,$A$41,Base!$N$3:$N$5001,"&lt;&gt;")=0,"",SUMIFS(Base!$N$3:$N$5001,Base!$A$3:$A$5001,F$3,Base!$B$3:$B$5001,$A$41)))</f>
        <v>7</v>
      </c>
      <c r="G53" s="89">
        <f>IF(G$3="","",IF(COUNTIFS(Base!$A$3:$A$5001,G$3,Base!$B$3:$B$5001,$A$41,Base!$N$3:$N$5001,"&lt;&gt;")=0,"",SUMIFS(Base!$N$3:$N$5001,Base!$A$3:$A$5001,G$3,Base!$B$3:$B$5001,$A$41)))</f>
        <v>7</v>
      </c>
      <c r="H53" s="89">
        <f>IF(H$3="","",IF(COUNTIFS(Base!$A$3:$A$5001,H$3,Base!$B$3:$B$5001,$A$41,Base!$N$3:$N$5001,"&lt;&gt;")=0,"",SUMIFS(Base!$N$3:$N$5001,Base!$A$3:$A$5001,H$3,Base!$B$3:$B$5001,$A$41)))</f>
        <v>5</v>
      </c>
      <c r="I53" s="89">
        <f>IF(I$3="","",IF(COUNTIFS(Base!$A$3:$A$5001,I$3,Base!$B$3:$B$5001,$A$41,Base!$N$3:$N$5001,"&lt;&gt;")=0,"",SUMIFS(Base!$N$3:$N$5001,Base!$A$3:$A$5001,I$3,Base!$B$3:$B$5001,$A$41)))</f>
        <v>9</v>
      </c>
      <c r="J53" s="89">
        <f>IF(J$3="","",IF(COUNTIFS(Base!$A$3:$A$5001,J$3,Base!$B$3:$B$5001,$A$41,Base!$N$3:$N$5001,"&lt;&gt;")=0,"",SUMIFS(Base!$N$3:$N$5001,Base!$A$3:$A$5001,J$3,Base!$B$3:$B$5001,$A$41)))</f>
        <v>3</v>
      </c>
      <c r="K53" s="89">
        <f>IF(K$3="","",IF(COUNTIFS(Base!$A$3:$A$5001,K$3,Base!$B$3:$B$5001,$A$41,Base!$N$3:$N$5001,"&lt;&gt;")=0,"",SUMIFS(Base!$N$3:$N$5001,Base!$A$3:$A$5001,K$3,Base!$B$3:$B$5001,$A$41)))</f>
        <v>7</v>
      </c>
      <c r="L53" s="89">
        <f>IF(L$3="","",IF(COUNTIFS(Base!$A$3:$A$5001,L$3,Base!$B$3:$B$5001,$A$41,Base!$N$3:$N$5001,"&lt;&gt;")=0,"",SUMIFS(Base!$N$3:$N$5001,Base!$A$3:$A$5001,L$3,Base!$B$3:$B$5001,$A$41)))</f>
        <v>6</v>
      </c>
      <c r="M53" s="89">
        <f>IF(M$3="","",IF(COUNTIFS(Base!$A$3:$A$5001,M$3,Base!$B$3:$B$5001,$A$41,Base!$N$3:$N$5001,"&lt;&gt;")=0,"",SUMIFS(Base!$N$3:$N$5001,Base!$A$3:$A$5001,M$3,Base!$B$3:$B$5001,$A$41)))</f>
        <v>7</v>
      </c>
      <c r="N53" s="89">
        <f>IF(N$3="","",IF(COUNTIFS(Base!$A$3:$A$5001,N$3,Base!$B$3:$B$5001,$A$41,Base!$N$3:$N$5001,"&lt;&gt;")=0,"",SUMIFS(Base!$N$3:$N$5001,Base!$A$3:$A$5001,N$3,Base!$B$3:$B$5001,$A$41)))</f>
        <v>9</v>
      </c>
      <c r="O53" s="89">
        <f>IF(O$3="","",IF(COUNTIFS(Base!$A$3:$A$5001,O$3,Base!$B$3:$B$5001,$A$41,Base!$N$3:$N$5001,"&lt;&gt;")=0,"",SUMIFS(Base!$N$3:$N$5001,Base!$A$3:$A$5001,O$3,Base!$B$3:$B$5001,$A$41)))</f>
        <v>7</v>
      </c>
      <c r="P53" s="89">
        <f>IF(P$3="","",IF(COUNTIFS(Base!$A$3:$A$5001,P$3,Base!$B$3:$B$5001,$A$41,Base!$N$3:$N$5001,"&lt;&gt;")=0,"",SUMIFS(Base!$N$3:$N$5001,Base!$A$3:$A$5001,P$3,Base!$B$3:$B$5001,$A$41)))</f>
        <v>4</v>
      </c>
      <c r="Q53" s="89" t="str">
        <f>IF(Q$3="","",IF(COUNTIFS(Base!$A$3:$A$5001,Q$3,Base!$B$3:$B$5001,$A$41,Base!$N$3:$N$5001,"&lt;&gt;")=0,"",SUMIFS(Base!$N$3:$N$5001,Base!$A$3:$A$5001,Q$3,Base!$B$3:$B$5001,$A$41)))</f>
        <v/>
      </c>
      <c r="R53" s="89">
        <f>IF(R$3="","",IF(COUNTIFS(Base!$A$3:$A$5001,R$3,Base!$B$3:$B$5001,$A$41,Base!$N$3:$N$5001,"&lt;&gt;")=0,"",SUMIFS(Base!$N$3:$N$5001,Base!$A$3:$A$5001,R$3,Base!$B$3:$B$5001,$A$41)))</f>
        <v>5</v>
      </c>
      <c r="S53" s="89">
        <f>IF(S$3="","",IF(COUNTIFS(Base!$A$3:$A$5001,S$3,Base!$B$3:$B$5001,$A$41,Base!$N$3:$N$5001,"&lt;&gt;")=0,"",SUMIFS(Base!$N$3:$N$5001,Base!$A$3:$A$5001,S$3,Base!$B$3:$B$5001,$A$41)))</f>
        <v>5</v>
      </c>
      <c r="T53" s="89">
        <f>IF(T$3="","",IF(COUNTIFS(Base!$A$3:$A$5001,T$3,Base!$B$3:$B$5001,$A$41,Base!$N$3:$N$5001,"&lt;&gt;")=0,"",SUMIFS(Base!$N$3:$N$5001,Base!$A$3:$A$5001,T$3,Base!$B$3:$B$5001,$A$41)))</f>
        <v>7</v>
      </c>
      <c r="U53" s="89">
        <f>IF(U$3="","",IF(COUNTIFS(Base!$A$3:$A$5001,U$3,Base!$B$3:$B$5001,$A$41,Base!$N$3:$N$5001,"&lt;&gt;")=0,"",SUMIFS(Base!$N$3:$N$5001,Base!$A$3:$A$5001,U$3,Base!$B$3:$B$5001,$A$41)))</f>
        <v>4</v>
      </c>
      <c r="V53" s="89">
        <f>IF(V$3="","",IF(COUNTIFS(Base!$A$3:$A$5001,V$3,Base!$B$3:$B$5001,$A$41,Base!$N$3:$N$5001,"&lt;&gt;")=0,"",SUMIFS(Base!$N$3:$N$5001,Base!$A$3:$A$5001,V$3,Base!$B$3:$B$5001,$A$41)))</f>
        <v>3</v>
      </c>
      <c r="W53" s="89">
        <f>IF(W$3="","",IF(COUNTIFS(Base!$A$3:$A$5001,W$3,Base!$B$3:$B$5001,$A$41,Base!$N$3:$N$5001,"&lt;&gt;")=0,"",SUMIFS(Base!$N$3:$N$5001,Base!$A$3:$A$5001,W$3,Base!$B$3:$B$5001,$A$41)))</f>
        <v>4</v>
      </c>
      <c r="X53" s="89" t="str">
        <f>IF(X$3="","",IF(COUNTIFS(Base!$A$3:$A$5001,X$3,Base!$B$3:$B$5001,$A$41,Base!$N$3:$N$5001,"&lt;&gt;")=0,"",SUMIFS(Base!$N$3:$N$5001,Base!$A$3:$A$5001,X$3,Base!$B$3:$B$5001,$A$41)))</f>
        <v/>
      </c>
      <c r="Y53" s="89" t="str">
        <f>IF(Y$3="","",IF(COUNTIFS(Base!$A$3:$A$5001,Y$3,Base!$B$3:$B$5001,$A$41,Base!$N$3:$N$5001,"&lt;&gt;")=0,"",SUMIFS(Base!$N$3:$N$5001,Base!$A$3:$A$5001,Y$3,Base!$B$3:$B$5001,$A$41)))</f>
        <v/>
      </c>
      <c r="Z53" s="89">
        <f>IF(Z$3="","",IF(COUNTIFS(Base!$A$3:$A$5001,Z$3,Base!$B$3:$B$5001,$A$41,Base!$N$3:$N$5001,"&lt;&gt;")=0,"",SUMIFS(Base!$N$3:$N$5001,Base!$A$3:$A$5001,Z$3,Base!$B$3:$B$5001,$A$41)))</f>
        <v>8</v>
      </c>
      <c r="AA53" s="89">
        <f>IF(AA$3="","",IF(COUNTIFS(Base!$A$3:$A$5001,AA$3,Base!$B$3:$B$5001,$A$41,Base!$N$3:$N$5001,"&lt;&gt;")=0,"",SUMIFS(Base!$N$3:$N$5001,Base!$A$3:$A$5001,AA$3,Base!$B$3:$B$5001,$A$41)))</f>
        <v>4</v>
      </c>
      <c r="AB53" s="89">
        <f>IF(AB$3="","",IF(COUNTIFS(Base!$A$3:$A$5001,AB$3,Base!$B$3:$B$5001,$A$41,Base!$N$3:$N$5001,"&lt;&gt;")=0,"",SUMIFS(Base!$N$3:$N$5001,Base!$A$3:$A$5001,AB$3,Base!$B$3:$B$5001,$A$41)))</f>
        <v>6</v>
      </c>
      <c r="AC53" s="89">
        <f>IF(AC$3="","",IF(COUNTIFS(Base!$A$3:$A$5001,AC$3,Base!$B$3:$B$5001,$A$41,Base!$N$3:$N$5001,"&lt;&gt;")=0,"",SUMIFS(Base!$N$3:$N$5001,Base!$A$3:$A$5001,AC$3,Base!$B$3:$B$5001,$A$41)))</f>
        <v>6</v>
      </c>
      <c r="AD53" s="89">
        <f>IF(AD$3="","",IF(COUNTIFS(Base!$A$3:$A$5001,AD$3,Base!$B$3:$B$5001,$A$41,Base!$N$3:$N$5001,"&lt;&gt;")=0,"",SUMIFS(Base!$N$3:$N$5001,Base!$A$3:$A$5001,AD$3,Base!$B$3:$B$5001,$A$41)))</f>
        <v>5</v>
      </c>
      <c r="AE53" s="89" t="str">
        <f>IF(AE$3="","",IF(COUNTIFS(Base!$A$3:$A$5001,AE$3,Base!$B$3:$B$5001,$A$41,Base!$N$3:$N$5001,"&lt;&gt;")=0,"",SUMIFS(Base!$N$3:$N$5001,Base!$A$3:$A$5001,AE$3,Base!$B$3:$B$5001,$A$41)))</f>
        <v/>
      </c>
      <c r="AF53" s="89" t="str">
        <f>IF(AF$3="","",IF(COUNTIFS(Base!$A$3:$A$5001,AF$3,Base!$B$3:$B$5001,$A$41,Base!$N$3:$N$5001,"&lt;&gt;")=0,"",SUMIFS(Base!$N$3:$N$5001,Base!$A$3:$A$5001,AF$3,Base!$B$3:$B$5001,$A$41)))</f>
        <v/>
      </c>
      <c r="AG53" s="89">
        <f>IF(AG$3="","",IF(COUNTIFS(Base!$A$3:$A$5001,AG$3,Base!$B$3:$B$5001,$A$41,Base!$N$3:$N$5001,"&lt;&gt;")=0,"",SUMIFS(Base!$N$3:$N$5001,Base!$A$3:$A$5001,AG$3,Base!$B$3:$B$5001,$A$41)))</f>
        <v>7</v>
      </c>
      <c r="AH53" s="89">
        <f>IF(AH$3="","",IF(COUNTIFS(Base!$A$3:$A$5001,AH$3,Base!$B$3:$B$5001,$A$41,Base!$N$3:$N$5001,"&lt;&gt;")=0,"",SUMIFS(Base!$N$3:$N$5001,Base!$A$3:$A$5001,AH$3,Base!$B$3:$B$5001,$A$41)))</f>
        <v>5</v>
      </c>
      <c r="AI53" s="89" t="str">
        <f>IF(AI$3="","",IF(COUNTIFS(Base!$A$3:$A$5001,AI$3,Base!$B$3:$B$5001,$A$41,Base!$N$3:$N$5001,"&lt;&gt;")=0,"",SUMIFS(Base!$N$3:$N$5001,Base!$A$3:$A$5001,AI$3,Base!$B$3:$B$5001,$A$41)))</f>
        <v/>
      </c>
      <c r="AJ53" s="90" t="str">
        <f>IF(AJ$3="","",IF(COUNTIFS(Base!$A$3:$A$5001,AJ$3,Base!$B$3:$B$5001,$A$41,Base!$N$3:$N$5001,"&lt;&gt;")=0,"",SUMIFS(Base!$N$3:$N$5001,Base!$A$3:$A$5001,AJ$3,Base!$B$3:$B$5001,$A$41)))</f>
        <v/>
      </c>
      <c r="AK53" s="91">
        <f>IFERROR(LOOKUP(9.99E+307,F53:AJ53),"")</f>
        <v>5</v>
      </c>
    </row>
    <row r="54" ht="15.75" customHeight="1">
      <c r="A54" s="118"/>
      <c r="B54" s="115"/>
      <c r="C54" s="92" t="inlineStr">
        <is>
          <t xml:space="preserve">Falta</t>
        </is>
      </c>
      <c r="D54" s="93"/>
      <c r="E54" s="94"/>
      <c r="F54" s="95" t="str">
        <f>IF(F$3="","",IF(COUNTIFS(Base!$A$3:$A$5001,F$3,Base!$B$3:$B$5001,$A$41,Base!$O$3:$O$5001,"&lt;&gt;")=0,"",SUMIFS(Base!$O$3:$O$5001,Base!$A$3:$A$5001,F$3,Base!$B$3:$B$5001,$A$41)))</f>
        <v/>
      </c>
      <c r="G54" s="96" t="str">
        <f>IF(G$3="","",IF(COUNTIFS(Base!$A$3:$A$5001,G$3,Base!$B$3:$B$5001,$A$41,Base!$O$3:$O$5001,"&lt;&gt;")=0,"",SUMIFS(Base!$O$3:$O$5001,Base!$A$3:$A$5001,G$3,Base!$B$3:$B$5001,$A$41)))</f>
        <v/>
      </c>
      <c r="H54" s="96" t="str">
        <f>IF(H$3="","",IF(COUNTIFS(Base!$A$3:$A$5001,H$3,Base!$B$3:$B$5001,$A$41,Base!$O$3:$O$5001,"&lt;&gt;")=0,"",SUMIFS(Base!$O$3:$O$5001,Base!$A$3:$A$5001,H$3,Base!$B$3:$B$5001,$A$41)))</f>
        <v/>
      </c>
      <c r="I54" s="96" t="str">
        <f>IF(I$3="","",IF(COUNTIFS(Base!$A$3:$A$5001,I$3,Base!$B$3:$B$5001,$A$41,Base!$O$3:$O$5001,"&lt;&gt;")=0,"",SUMIFS(Base!$O$3:$O$5001,Base!$A$3:$A$5001,I$3,Base!$B$3:$B$5001,$A$41)))</f>
        <v/>
      </c>
      <c r="J54" s="96" t="str">
        <f>IF(J$3="","",IF(COUNTIFS(Base!$A$3:$A$5001,J$3,Base!$B$3:$B$5001,$A$41,Base!$O$3:$O$5001,"&lt;&gt;")=0,"",SUMIFS(Base!$O$3:$O$5001,Base!$A$3:$A$5001,J$3,Base!$B$3:$B$5001,$A$41)))</f>
        <v/>
      </c>
      <c r="K54" s="96" t="str">
        <f>IF(K$3="","",IF(COUNTIFS(Base!$A$3:$A$5001,K$3,Base!$B$3:$B$5001,$A$41,Base!$O$3:$O$5001,"&lt;&gt;")=0,"",SUMIFS(Base!$O$3:$O$5001,Base!$A$3:$A$5001,K$3,Base!$B$3:$B$5001,$A$41)))</f>
        <v/>
      </c>
      <c r="L54" s="96" t="str">
        <f>IF(L$3="","",IF(COUNTIFS(Base!$A$3:$A$5001,L$3,Base!$B$3:$B$5001,$A$41,Base!$O$3:$O$5001,"&lt;&gt;")=0,"",SUMIFS(Base!$O$3:$O$5001,Base!$A$3:$A$5001,L$3,Base!$B$3:$B$5001,$A$41)))</f>
        <v/>
      </c>
      <c r="M54" s="96" t="str">
        <f>IF(M$3="","",IF(COUNTIFS(Base!$A$3:$A$5001,M$3,Base!$B$3:$B$5001,$A$41,Base!$O$3:$O$5001,"&lt;&gt;")=0,"",SUMIFS(Base!$O$3:$O$5001,Base!$A$3:$A$5001,M$3,Base!$B$3:$B$5001,$A$41)))</f>
        <v/>
      </c>
      <c r="N54" s="96" t="str">
        <f>IF(N$3="","",IF(COUNTIFS(Base!$A$3:$A$5001,N$3,Base!$B$3:$B$5001,$A$41,Base!$O$3:$O$5001,"&lt;&gt;")=0,"",SUMIFS(Base!$O$3:$O$5001,Base!$A$3:$A$5001,N$3,Base!$B$3:$B$5001,$A$41)))</f>
        <v/>
      </c>
      <c r="O54" s="96" t="str">
        <f>IF(O$3="","",IF(COUNTIFS(Base!$A$3:$A$5001,O$3,Base!$B$3:$B$5001,$A$41,Base!$O$3:$O$5001,"&lt;&gt;")=0,"",SUMIFS(Base!$O$3:$O$5001,Base!$A$3:$A$5001,O$3,Base!$B$3:$B$5001,$A$41)))</f>
        <v/>
      </c>
      <c r="P54" s="96" t="str">
        <f>IF(P$3="","",IF(COUNTIFS(Base!$A$3:$A$5001,P$3,Base!$B$3:$B$5001,$A$41,Base!$O$3:$O$5001,"&lt;&gt;")=0,"",SUMIFS(Base!$O$3:$O$5001,Base!$A$3:$A$5001,P$3,Base!$B$3:$B$5001,$A$41)))</f>
        <v/>
      </c>
      <c r="Q54" s="96" t="str">
        <f>IF(Q$3="","",IF(COUNTIFS(Base!$A$3:$A$5001,Q$3,Base!$B$3:$B$5001,$A$41,Base!$O$3:$O$5001,"&lt;&gt;")=0,"",SUMIFS(Base!$O$3:$O$5001,Base!$A$3:$A$5001,Q$3,Base!$B$3:$B$5001,$A$41)))</f>
        <v/>
      </c>
      <c r="R54" s="96" t="str">
        <f>IF(R$3="","",IF(COUNTIFS(Base!$A$3:$A$5001,R$3,Base!$B$3:$B$5001,$A$41,Base!$O$3:$O$5001,"&lt;&gt;")=0,"",SUMIFS(Base!$O$3:$O$5001,Base!$A$3:$A$5001,R$3,Base!$B$3:$B$5001,$A$41)))</f>
        <v/>
      </c>
      <c r="S54" s="96" t="str">
        <f>IF(S$3="","",IF(COUNTIFS(Base!$A$3:$A$5001,S$3,Base!$B$3:$B$5001,$A$41,Base!$O$3:$O$5001,"&lt;&gt;")=0,"",SUMIFS(Base!$O$3:$O$5001,Base!$A$3:$A$5001,S$3,Base!$B$3:$B$5001,$A$41)))</f>
        <v/>
      </c>
      <c r="T54" s="96" t="str">
        <f>IF(T$3="","",IF(COUNTIFS(Base!$A$3:$A$5001,T$3,Base!$B$3:$B$5001,$A$41,Base!$O$3:$O$5001,"&lt;&gt;")=0,"",SUMIFS(Base!$O$3:$O$5001,Base!$A$3:$A$5001,T$3,Base!$B$3:$B$5001,$A$41)))</f>
        <v/>
      </c>
      <c r="U54" s="96" t="str">
        <f>IF(U$3="","",IF(COUNTIFS(Base!$A$3:$A$5001,U$3,Base!$B$3:$B$5001,$A$41,Base!$O$3:$O$5001,"&lt;&gt;")=0,"",SUMIFS(Base!$O$3:$O$5001,Base!$A$3:$A$5001,U$3,Base!$B$3:$B$5001,$A$41)))</f>
        <v/>
      </c>
      <c r="V54" s="96" t="str">
        <f>IF(V$3="","",IF(COUNTIFS(Base!$A$3:$A$5001,V$3,Base!$B$3:$B$5001,$A$41,Base!$O$3:$O$5001,"&lt;&gt;")=0,"",SUMIFS(Base!$O$3:$O$5001,Base!$A$3:$A$5001,V$3,Base!$B$3:$B$5001,$A$41)))</f>
        <v/>
      </c>
      <c r="W54" s="96" t="str">
        <f>IF(W$3="","",IF(COUNTIFS(Base!$A$3:$A$5001,W$3,Base!$B$3:$B$5001,$A$41,Base!$O$3:$O$5001,"&lt;&gt;")=0,"",SUMIFS(Base!$O$3:$O$5001,Base!$A$3:$A$5001,W$3,Base!$B$3:$B$5001,$A$41)))</f>
        <v/>
      </c>
      <c r="X54" s="96" t="str">
        <f>IF(X$3="","",IF(COUNTIFS(Base!$A$3:$A$5001,X$3,Base!$B$3:$B$5001,$A$41,Base!$O$3:$O$5001,"&lt;&gt;")=0,"",SUMIFS(Base!$O$3:$O$5001,Base!$A$3:$A$5001,X$3,Base!$B$3:$B$5001,$A$41)))</f>
        <v/>
      </c>
      <c r="Y54" s="96" t="str">
        <f>IF(Y$3="","",IF(COUNTIFS(Base!$A$3:$A$5001,Y$3,Base!$B$3:$B$5001,$A$41,Base!$O$3:$O$5001,"&lt;&gt;")=0,"",SUMIFS(Base!$O$3:$O$5001,Base!$A$3:$A$5001,Y$3,Base!$B$3:$B$5001,$A$41)))</f>
        <v/>
      </c>
      <c r="Z54" s="96" t="str">
        <f>IF(Z$3="","",IF(COUNTIFS(Base!$A$3:$A$5001,Z$3,Base!$B$3:$B$5001,$A$41,Base!$O$3:$O$5001,"&lt;&gt;")=0,"",SUMIFS(Base!$O$3:$O$5001,Base!$A$3:$A$5001,Z$3,Base!$B$3:$B$5001,$A$41)))</f>
        <v/>
      </c>
      <c r="AA54" s="96" t="str">
        <f>IF(AA$3="","",IF(COUNTIFS(Base!$A$3:$A$5001,AA$3,Base!$B$3:$B$5001,$A$41,Base!$O$3:$O$5001,"&lt;&gt;")=0,"",SUMIFS(Base!$O$3:$O$5001,Base!$A$3:$A$5001,AA$3,Base!$B$3:$B$5001,$A$41)))</f>
        <v/>
      </c>
      <c r="AB54" s="96" t="str">
        <f>IF(AB$3="","",IF(COUNTIFS(Base!$A$3:$A$5001,AB$3,Base!$B$3:$B$5001,$A$41,Base!$O$3:$O$5001,"&lt;&gt;")=0,"",SUMIFS(Base!$O$3:$O$5001,Base!$A$3:$A$5001,AB$3,Base!$B$3:$B$5001,$A$41)))</f>
        <v/>
      </c>
      <c r="AC54" s="96" t="str">
        <f>IF(AC$3="","",IF(COUNTIFS(Base!$A$3:$A$5001,AC$3,Base!$B$3:$B$5001,$A$41,Base!$O$3:$O$5001,"&lt;&gt;")=0,"",SUMIFS(Base!$O$3:$O$5001,Base!$A$3:$A$5001,AC$3,Base!$B$3:$B$5001,$A$41)))</f>
        <v/>
      </c>
      <c r="AD54" s="96" t="str">
        <f>IF(AD$3="","",IF(COUNTIFS(Base!$A$3:$A$5001,AD$3,Base!$B$3:$B$5001,$A$41,Base!$O$3:$O$5001,"&lt;&gt;")=0,"",SUMIFS(Base!$O$3:$O$5001,Base!$A$3:$A$5001,AD$3,Base!$B$3:$B$5001,$A$41)))</f>
        <v/>
      </c>
      <c r="AE54" s="96" t="str">
        <f>IF(AE$3="","",IF(COUNTIFS(Base!$A$3:$A$5001,AE$3,Base!$B$3:$B$5001,$A$41,Base!$O$3:$O$5001,"&lt;&gt;")=0,"",SUMIFS(Base!$O$3:$O$5001,Base!$A$3:$A$5001,AE$3,Base!$B$3:$B$5001,$A$41)))</f>
        <v/>
      </c>
      <c r="AF54" s="96" t="str">
        <f>IF(AF$3="","",IF(COUNTIFS(Base!$A$3:$A$5001,AF$3,Base!$B$3:$B$5001,$A$41,Base!$O$3:$O$5001,"&lt;&gt;")=0,"",SUMIFS(Base!$O$3:$O$5001,Base!$A$3:$A$5001,AF$3,Base!$B$3:$B$5001,$A$41)))</f>
        <v/>
      </c>
      <c r="AG54" s="96" t="str">
        <f>IF(AG$3="","",IF(COUNTIFS(Base!$A$3:$A$5001,AG$3,Base!$B$3:$B$5001,$A$41,Base!$O$3:$O$5001,"&lt;&gt;")=0,"",SUMIFS(Base!$O$3:$O$5001,Base!$A$3:$A$5001,AG$3,Base!$B$3:$B$5001,$A$41)))</f>
        <v/>
      </c>
      <c r="AH54" s="96" t="str">
        <f>IF(AH$3="","",IF(COUNTIFS(Base!$A$3:$A$5001,AH$3,Base!$B$3:$B$5001,$A$41,Base!$O$3:$O$5001,"&lt;&gt;")=0,"",SUMIFS(Base!$O$3:$O$5001,Base!$A$3:$A$5001,AH$3,Base!$B$3:$B$5001,$A$41)))</f>
        <v/>
      </c>
      <c r="AI54" s="96" t="str">
        <f>IF(AI$3="","",IF(COUNTIFS(Base!$A$3:$A$5001,AI$3,Base!$B$3:$B$5001,$A$41,Base!$O$3:$O$5001,"&lt;&gt;")=0,"",SUMIFS(Base!$O$3:$O$5001,Base!$A$3:$A$5001,AI$3,Base!$B$3:$B$5001,$A$41)))</f>
        <v/>
      </c>
      <c r="AJ54" s="97" t="str">
        <f>IF(AJ$3="","",IF(COUNTIFS(Base!$A$3:$A$5001,AJ$3,Base!$B$3:$B$5001,$A$41,Base!$O$3:$O$5001,"&lt;&gt;")=0,"",SUMIFS(Base!$O$3:$O$5001,Base!$A$3:$A$5001,AJ$3,Base!$B$3:$B$5001,$A$41)))</f>
        <v/>
      </c>
      <c r="AK54" s="98" t="str">
        <f>IF(COUNT(F54:AJ54)=0,"",SUM(F54:AJ54))</f>
        <v/>
      </c>
    </row>
    <row r="55" ht="15.75" customHeight="1">
      <c r="A55" s="118"/>
      <c r="B55" s="115"/>
      <c r="C55" s="92" t="inlineStr">
        <is>
          <t xml:space="preserve">Folga</t>
        </is>
      </c>
      <c r="D55" s="93"/>
      <c r="E55" s="94"/>
      <c r="F55" s="95" t="str">
        <f>IF(F$3="","",IF(COUNTIFS(Base!$A$3:$A$5001,F$3,Base!$B$3:$B$5001,$A$41,Base!$P$3:$P$5001,"&lt;&gt;")=0,"",SUMIFS(Base!$P$3:$P$5001,Base!$A$3:$A$5001,F$3,Base!$B$3:$B$5001,$A$41)))</f>
        <v/>
      </c>
      <c r="G55" s="96" t="str">
        <f>IF(G$3="","",IF(COUNTIFS(Base!$A$3:$A$5001,G$3,Base!$B$3:$B$5001,$A$41,Base!$P$3:$P$5001,"&lt;&gt;")=0,"",SUMIFS(Base!$P$3:$P$5001,Base!$A$3:$A$5001,G$3,Base!$B$3:$B$5001,$A$41)))</f>
        <v/>
      </c>
      <c r="H55" s="96" t="str">
        <f>IF(H$3="","",IF(COUNTIFS(Base!$A$3:$A$5001,H$3,Base!$B$3:$B$5001,$A$41,Base!$P$3:$P$5001,"&lt;&gt;")=0,"",SUMIFS(Base!$P$3:$P$5001,Base!$A$3:$A$5001,H$3,Base!$B$3:$B$5001,$A$41)))</f>
        <v/>
      </c>
      <c r="I55" s="96" t="str">
        <f>IF(I$3="","",IF(COUNTIFS(Base!$A$3:$A$5001,I$3,Base!$B$3:$B$5001,$A$41,Base!$P$3:$P$5001,"&lt;&gt;")=0,"",SUMIFS(Base!$P$3:$P$5001,Base!$A$3:$A$5001,I$3,Base!$B$3:$B$5001,$A$41)))</f>
        <v/>
      </c>
      <c r="J55" s="96" t="str">
        <f>IF(J$3="","",IF(COUNTIFS(Base!$A$3:$A$5001,J$3,Base!$B$3:$B$5001,$A$41,Base!$P$3:$P$5001,"&lt;&gt;")=0,"",SUMIFS(Base!$P$3:$P$5001,Base!$A$3:$A$5001,J$3,Base!$B$3:$B$5001,$A$41)))</f>
        <v/>
      </c>
      <c r="K55" s="96" t="str">
        <f>IF(K$3="","",IF(COUNTIFS(Base!$A$3:$A$5001,K$3,Base!$B$3:$B$5001,$A$41,Base!$P$3:$P$5001,"&lt;&gt;")=0,"",SUMIFS(Base!$P$3:$P$5001,Base!$A$3:$A$5001,K$3,Base!$B$3:$B$5001,$A$41)))</f>
        <v/>
      </c>
      <c r="L55" s="96" t="str">
        <f>IF(L$3="","",IF(COUNTIFS(Base!$A$3:$A$5001,L$3,Base!$B$3:$B$5001,$A$41,Base!$P$3:$P$5001,"&lt;&gt;")=0,"",SUMIFS(Base!$P$3:$P$5001,Base!$A$3:$A$5001,L$3,Base!$B$3:$B$5001,$A$41)))</f>
        <v/>
      </c>
      <c r="M55" s="96" t="str">
        <f>IF(M$3="","",IF(COUNTIFS(Base!$A$3:$A$5001,M$3,Base!$B$3:$B$5001,$A$41,Base!$P$3:$P$5001,"&lt;&gt;")=0,"",SUMIFS(Base!$P$3:$P$5001,Base!$A$3:$A$5001,M$3,Base!$B$3:$B$5001,$A$41)))</f>
        <v/>
      </c>
      <c r="N55" s="96" t="str">
        <f>IF(N$3="","",IF(COUNTIFS(Base!$A$3:$A$5001,N$3,Base!$B$3:$B$5001,$A$41,Base!$P$3:$P$5001,"&lt;&gt;")=0,"",SUMIFS(Base!$P$3:$P$5001,Base!$A$3:$A$5001,N$3,Base!$B$3:$B$5001,$A$41)))</f>
        <v/>
      </c>
      <c r="O55" s="96" t="str">
        <f>IF(O$3="","",IF(COUNTIFS(Base!$A$3:$A$5001,O$3,Base!$B$3:$B$5001,$A$41,Base!$P$3:$P$5001,"&lt;&gt;")=0,"",SUMIFS(Base!$P$3:$P$5001,Base!$A$3:$A$5001,O$3,Base!$B$3:$B$5001,$A$41)))</f>
        <v/>
      </c>
      <c r="P55" s="96" t="str">
        <f>IF(P$3="","",IF(COUNTIFS(Base!$A$3:$A$5001,P$3,Base!$B$3:$B$5001,$A$41,Base!$P$3:$P$5001,"&lt;&gt;")=0,"",SUMIFS(Base!$P$3:$P$5001,Base!$A$3:$A$5001,P$3,Base!$B$3:$B$5001,$A$41)))</f>
        <v/>
      </c>
      <c r="Q55" s="96" t="str">
        <f>IF(Q$3="","",IF(COUNTIFS(Base!$A$3:$A$5001,Q$3,Base!$B$3:$B$5001,$A$41,Base!$P$3:$P$5001,"&lt;&gt;")=0,"",SUMIFS(Base!$P$3:$P$5001,Base!$A$3:$A$5001,Q$3,Base!$B$3:$B$5001,$A$41)))</f>
        <v/>
      </c>
      <c r="R55" s="96" t="str">
        <f>IF(R$3="","",IF(COUNTIFS(Base!$A$3:$A$5001,R$3,Base!$B$3:$B$5001,$A$41,Base!$P$3:$P$5001,"&lt;&gt;")=0,"",SUMIFS(Base!$P$3:$P$5001,Base!$A$3:$A$5001,R$3,Base!$B$3:$B$5001,$A$41)))</f>
        <v/>
      </c>
      <c r="S55" s="96" t="str">
        <f>IF(S$3="","",IF(COUNTIFS(Base!$A$3:$A$5001,S$3,Base!$B$3:$B$5001,$A$41,Base!$P$3:$P$5001,"&lt;&gt;")=0,"",SUMIFS(Base!$P$3:$P$5001,Base!$A$3:$A$5001,S$3,Base!$B$3:$B$5001,$A$41)))</f>
        <v/>
      </c>
      <c r="T55" s="96" t="str">
        <f>IF(T$3="","",IF(COUNTIFS(Base!$A$3:$A$5001,T$3,Base!$B$3:$B$5001,$A$41,Base!$P$3:$P$5001,"&lt;&gt;")=0,"",SUMIFS(Base!$P$3:$P$5001,Base!$A$3:$A$5001,T$3,Base!$B$3:$B$5001,$A$41)))</f>
        <v/>
      </c>
      <c r="U55" s="96" t="str">
        <f>IF(U$3="","",IF(COUNTIFS(Base!$A$3:$A$5001,U$3,Base!$B$3:$B$5001,$A$41,Base!$P$3:$P$5001,"&lt;&gt;")=0,"",SUMIFS(Base!$P$3:$P$5001,Base!$A$3:$A$5001,U$3,Base!$B$3:$B$5001,$A$41)))</f>
        <v/>
      </c>
      <c r="V55" s="96" t="str">
        <f>IF(V$3="","",IF(COUNTIFS(Base!$A$3:$A$5001,V$3,Base!$B$3:$B$5001,$A$41,Base!$P$3:$P$5001,"&lt;&gt;")=0,"",SUMIFS(Base!$P$3:$P$5001,Base!$A$3:$A$5001,V$3,Base!$B$3:$B$5001,$A$41)))</f>
        <v/>
      </c>
      <c r="W55" s="96" t="str">
        <f>IF(W$3="","",IF(COUNTIFS(Base!$A$3:$A$5001,W$3,Base!$B$3:$B$5001,$A$41,Base!$P$3:$P$5001,"&lt;&gt;")=0,"",SUMIFS(Base!$P$3:$P$5001,Base!$A$3:$A$5001,W$3,Base!$B$3:$B$5001,$A$41)))</f>
        <v/>
      </c>
      <c r="X55" s="96" t="str">
        <f>IF(X$3="","",IF(COUNTIFS(Base!$A$3:$A$5001,X$3,Base!$B$3:$B$5001,$A$41,Base!$P$3:$P$5001,"&lt;&gt;")=0,"",SUMIFS(Base!$P$3:$P$5001,Base!$A$3:$A$5001,X$3,Base!$B$3:$B$5001,$A$41)))</f>
        <v/>
      </c>
      <c r="Y55" s="96" t="str">
        <f>IF(Y$3="","",IF(COUNTIFS(Base!$A$3:$A$5001,Y$3,Base!$B$3:$B$5001,$A$41,Base!$P$3:$P$5001,"&lt;&gt;")=0,"",SUMIFS(Base!$P$3:$P$5001,Base!$A$3:$A$5001,Y$3,Base!$B$3:$B$5001,$A$41)))</f>
        <v/>
      </c>
      <c r="Z55" s="96" t="str">
        <f>IF(Z$3="","",IF(COUNTIFS(Base!$A$3:$A$5001,Z$3,Base!$B$3:$B$5001,$A$41,Base!$P$3:$P$5001,"&lt;&gt;")=0,"",SUMIFS(Base!$P$3:$P$5001,Base!$A$3:$A$5001,Z$3,Base!$B$3:$B$5001,$A$41)))</f>
        <v/>
      </c>
      <c r="AA55" s="96" t="str">
        <f>IF(AA$3="","",IF(COUNTIFS(Base!$A$3:$A$5001,AA$3,Base!$B$3:$B$5001,$A$41,Base!$P$3:$P$5001,"&lt;&gt;")=0,"",SUMIFS(Base!$P$3:$P$5001,Base!$A$3:$A$5001,AA$3,Base!$B$3:$B$5001,$A$41)))</f>
        <v/>
      </c>
      <c r="AB55" s="96" t="str">
        <f>IF(AB$3="","",IF(COUNTIFS(Base!$A$3:$A$5001,AB$3,Base!$B$3:$B$5001,$A$41,Base!$P$3:$P$5001,"&lt;&gt;")=0,"",SUMIFS(Base!$P$3:$P$5001,Base!$A$3:$A$5001,AB$3,Base!$B$3:$B$5001,$A$41)))</f>
        <v/>
      </c>
      <c r="AC55" s="96" t="str">
        <f>IF(AC$3="","",IF(COUNTIFS(Base!$A$3:$A$5001,AC$3,Base!$B$3:$B$5001,$A$41,Base!$P$3:$P$5001,"&lt;&gt;")=0,"",SUMIFS(Base!$P$3:$P$5001,Base!$A$3:$A$5001,AC$3,Base!$B$3:$B$5001,$A$41)))</f>
        <v/>
      </c>
      <c r="AD55" s="96" t="str">
        <f>IF(AD$3="","",IF(COUNTIFS(Base!$A$3:$A$5001,AD$3,Base!$B$3:$B$5001,$A$41,Base!$P$3:$P$5001,"&lt;&gt;")=0,"",SUMIFS(Base!$P$3:$P$5001,Base!$A$3:$A$5001,AD$3,Base!$B$3:$B$5001,$A$41)))</f>
        <v/>
      </c>
      <c r="AE55" s="96" t="str">
        <f>IF(AE$3="","",IF(COUNTIFS(Base!$A$3:$A$5001,AE$3,Base!$B$3:$B$5001,$A$41,Base!$P$3:$P$5001,"&lt;&gt;")=0,"",SUMIFS(Base!$P$3:$P$5001,Base!$A$3:$A$5001,AE$3,Base!$B$3:$B$5001,$A$41)))</f>
        <v/>
      </c>
      <c r="AF55" s="96" t="str">
        <f>IF(AF$3="","",IF(COUNTIFS(Base!$A$3:$A$5001,AF$3,Base!$B$3:$B$5001,$A$41,Base!$P$3:$P$5001,"&lt;&gt;")=0,"",SUMIFS(Base!$P$3:$P$5001,Base!$A$3:$A$5001,AF$3,Base!$B$3:$B$5001,$A$41)))</f>
        <v/>
      </c>
      <c r="AG55" s="96" t="str">
        <f>IF(AG$3="","",IF(COUNTIFS(Base!$A$3:$A$5001,AG$3,Base!$B$3:$B$5001,$A$41,Base!$P$3:$P$5001,"&lt;&gt;")=0,"",SUMIFS(Base!$P$3:$P$5001,Base!$A$3:$A$5001,AG$3,Base!$B$3:$B$5001,$A$41)))</f>
        <v/>
      </c>
      <c r="AH55" s="96" t="str">
        <f>IF(AH$3="","",IF(COUNTIFS(Base!$A$3:$A$5001,AH$3,Base!$B$3:$B$5001,$A$41,Base!$P$3:$P$5001,"&lt;&gt;")=0,"",SUMIFS(Base!$P$3:$P$5001,Base!$A$3:$A$5001,AH$3,Base!$B$3:$B$5001,$A$41)))</f>
        <v/>
      </c>
      <c r="AI55" s="96" t="str">
        <f>IF(AI$3="","",IF(COUNTIFS(Base!$A$3:$A$5001,AI$3,Base!$B$3:$B$5001,$A$41,Base!$P$3:$P$5001,"&lt;&gt;")=0,"",SUMIFS(Base!$P$3:$P$5001,Base!$A$3:$A$5001,AI$3,Base!$B$3:$B$5001,$A$41)))</f>
        <v/>
      </c>
      <c r="AJ55" s="97" t="str">
        <f>IF(AJ$3="","",IF(COUNTIFS(Base!$A$3:$A$5001,AJ$3,Base!$B$3:$B$5001,$A$41,Base!$P$3:$P$5001,"&lt;&gt;")=0,"",SUMIFS(Base!$P$3:$P$5001,Base!$A$3:$A$5001,AJ$3,Base!$B$3:$B$5001,$A$41)))</f>
        <v/>
      </c>
      <c r="AK55" s="98" t="str">
        <f>IF(COUNT(F55:AJ55)=0,"",SUM(F55:AJ55))</f>
        <v/>
      </c>
    </row>
    <row r="56" ht="15.75" customHeight="1">
      <c r="A56" s="118"/>
      <c r="B56" s="115"/>
      <c r="C56" s="92" t="inlineStr">
        <is>
          <t xml:space="preserve">Férias</t>
        </is>
      </c>
      <c r="D56" s="93"/>
      <c r="E56" s="94"/>
      <c r="F56" s="95" t="str">
        <f>IF(F$3="","",IF(COUNTIFS(Base!$A$3:$A$5001,F$3,Base!$B$3:$B$5001,$A$41,Base!$Q$3:$Q$5001,"&lt;&gt;")=0,"",SUMIFS(Base!$Q$3:$Q$5001,Base!$A$3:$A$5001,F$3,Base!$B$3:$B$5001,$A$41)))</f>
        <v/>
      </c>
      <c r="G56" s="96" t="str">
        <f>IF(G$3="","",IF(COUNTIFS(Base!$A$3:$A$5001,G$3,Base!$B$3:$B$5001,$A$41,Base!$Q$3:$Q$5001,"&lt;&gt;")=0,"",SUMIFS(Base!$Q$3:$Q$5001,Base!$A$3:$A$5001,G$3,Base!$B$3:$B$5001,$A$41)))</f>
        <v/>
      </c>
      <c r="H56" s="96" t="str">
        <f>IF(H$3="","",IF(COUNTIFS(Base!$A$3:$A$5001,H$3,Base!$B$3:$B$5001,$A$41,Base!$Q$3:$Q$5001,"&lt;&gt;")=0,"",SUMIFS(Base!$Q$3:$Q$5001,Base!$A$3:$A$5001,H$3,Base!$B$3:$B$5001,$A$41)))</f>
        <v/>
      </c>
      <c r="I56" s="96" t="str">
        <f>IF(I$3="","",IF(COUNTIFS(Base!$A$3:$A$5001,I$3,Base!$B$3:$B$5001,$A$41,Base!$Q$3:$Q$5001,"&lt;&gt;")=0,"",SUMIFS(Base!$Q$3:$Q$5001,Base!$A$3:$A$5001,I$3,Base!$B$3:$B$5001,$A$41)))</f>
        <v/>
      </c>
      <c r="J56" s="96" t="str">
        <f>IF(J$3="","",IF(COUNTIFS(Base!$A$3:$A$5001,J$3,Base!$B$3:$B$5001,$A$41,Base!$Q$3:$Q$5001,"&lt;&gt;")=0,"",SUMIFS(Base!$Q$3:$Q$5001,Base!$A$3:$A$5001,J$3,Base!$B$3:$B$5001,$A$41)))</f>
        <v/>
      </c>
      <c r="K56" s="96" t="str">
        <f>IF(K$3="","",IF(COUNTIFS(Base!$A$3:$A$5001,K$3,Base!$B$3:$B$5001,$A$41,Base!$Q$3:$Q$5001,"&lt;&gt;")=0,"",SUMIFS(Base!$Q$3:$Q$5001,Base!$A$3:$A$5001,K$3,Base!$B$3:$B$5001,$A$41)))</f>
        <v/>
      </c>
      <c r="L56" s="96" t="str">
        <f>IF(L$3="","",IF(COUNTIFS(Base!$A$3:$A$5001,L$3,Base!$B$3:$B$5001,$A$41,Base!$Q$3:$Q$5001,"&lt;&gt;")=0,"",SUMIFS(Base!$Q$3:$Q$5001,Base!$A$3:$A$5001,L$3,Base!$B$3:$B$5001,$A$41)))</f>
        <v/>
      </c>
      <c r="M56" s="96" t="str">
        <f>IF(M$3="","",IF(COUNTIFS(Base!$A$3:$A$5001,M$3,Base!$B$3:$B$5001,$A$41,Base!$Q$3:$Q$5001,"&lt;&gt;")=0,"",SUMIFS(Base!$Q$3:$Q$5001,Base!$A$3:$A$5001,M$3,Base!$B$3:$B$5001,$A$41)))</f>
        <v/>
      </c>
      <c r="N56" s="96" t="str">
        <f>IF(N$3="","",IF(COUNTIFS(Base!$A$3:$A$5001,N$3,Base!$B$3:$B$5001,$A$41,Base!$Q$3:$Q$5001,"&lt;&gt;")=0,"",SUMIFS(Base!$Q$3:$Q$5001,Base!$A$3:$A$5001,N$3,Base!$B$3:$B$5001,$A$41)))</f>
        <v/>
      </c>
      <c r="O56" s="96" t="str">
        <f>IF(O$3="","",IF(COUNTIFS(Base!$A$3:$A$5001,O$3,Base!$B$3:$B$5001,$A$41,Base!$Q$3:$Q$5001,"&lt;&gt;")=0,"",SUMIFS(Base!$Q$3:$Q$5001,Base!$A$3:$A$5001,O$3,Base!$B$3:$B$5001,$A$41)))</f>
        <v/>
      </c>
      <c r="P56" s="96" t="str">
        <f>IF(P$3="","",IF(COUNTIFS(Base!$A$3:$A$5001,P$3,Base!$B$3:$B$5001,$A$41,Base!$Q$3:$Q$5001,"&lt;&gt;")=0,"",SUMIFS(Base!$Q$3:$Q$5001,Base!$A$3:$A$5001,P$3,Base!$B$3:$B$5001,$A$41)))</f>
        <v/>
      </c>
      <c r="Q56" s="96" t="str">
        <f>IF(Q$3="","",IF(COUNTIFS(Base!$A$3:$A$5001,Q$3,Base!$B$3:$B$5001,$A$41,Base!$Q$3:$Q$5001,"&lt;&gt;")=0,"",SUMIFS(Base!$Q$3:$Q$5001,Base!$A$3:$A$5001,Q$3,Base!$B$3:$B$5001,$A$41)))</f>
        <v/>
      </c>
      <c r="R56" s="96" t="str">
        <f>IF(R$3="","",IF(COUNTIFS(Base!$A$3:$A$5001,R$3,Base!$B$3:$B$5001,$A$41,Base!$Q$3:$Q$5001,"&lt;&gt;")=0,"",SUMIFS(Base!$Q$3:$Q$5001,Base!$A$3:$A$5001,R$3,Base!$B$3:$B$5001,$A$41)))</f>
        <v/>
      </c>
      <c r="S56" s="96" t="str">
        <f>IF(S$3="","",IF(COUNTIFS(Base!$A$3:$A$5001,S$3,Base!$B$3:$B$5001,$A$41,Base!$Q$3:$Q$5001,"&lt;&gt;")=0,"",SUMIFS(Base!$Q$3:$Q$5001,Base!$A$3:$A$5001,S$3,Base!$B$3:$B$5001,$A$41)))</f>
        <v/>
      </c>
      <c r="T56" s="96" t="str">
        <f>IF(T$3="","",IF(COUNTIFS(Base!$A$3:$A$5001,T$3,Base!$B$3:$B$5001,$A$41,Base!$Q$3:$Q$5001,"&lt;&gt;")=0,"",SUMIFS(Base!$Q$3:$Q$5001,Base!$A$3:$A$5001,T$3,Base!$B$3:$B$5001,$A$41)))</f>
        <v/>
      </c>
      <c r="U56" s="96" t="str">
        <f>IF(U$3="","",IF(COUNTIFS(Base!$A$3:$A$5001,U$3,Base!$B$3:$B$5001,$A$41,Base!$Q$3:$Q$5001,"&lt;&gt;")=0,"",SUMIFS(Base!$Q$3:$Q$5001,Base!$A$3:$A$5001,U$3,Base!$B$3:$B$5001,$A$41)))</f>
        <v/>
      </c>
      <c r="V56" s="96" t="str">
        <f>IF(V$3="","",IF(COUNTIFS(Base!$A$3:$A$5001,V$3,Base!$B$3:$B$5001,$A$41,Base!$Q$3:$Q$5001,"&lt;&gt;")=0,"",SUMIFS(Base!$Q$3:$Q$5001,Base!$A$3:$A$5001,V$3,Base!$B$3:$B$5001,$A$41)))</f>
        <v/>
      </c>
      <c r="W56" s="96" t="str">
        <f>IF(W$3="","",IF(COUNTIFS(Base!$A$3:$A$5001,W$3,Base!$B$3:$B$5001,$A$41,Base!$Q$3:$Q$5001,"&lt;&gt;")=0,"",SUMIFS(Base!$Q$3:$Q$5001,Base!$A$3:$A$5001,W$3,Base!$B$3:$B$5001,$A$41)))</f>
        <v/>
      </c>
      <c r="X56" s="96" t="str">
        <f>IF(X$3="","",IF(COUNTIFS(Base!$A$3:$A$5001,X$3,Base!$B$3:$B$5001,$A$41,Base!$Q$3:$Q$5001,"&lt;&gt;")=0,"",SUMIFS(Base!$Q$3:$Q$5001,Base!$A$3:$A$5001,X$3,Base!$B$3:$B$5001,$A$41)))</f>
        <v/>
      </c>
      <c r="Y56" s="96" t="str">
        <f>IF(Y$3="","",IF(COUNTIFS(Base!$A$3:$A$5001,Y$3,Base!$B$3:$B$5001,$A$41,Base!$Q$3:$Q$5001,"&lt;&gt;")=0,"",SUMIFS(Base!$Q$3:$Q$5001,Base!$A$3:$A$5001,Y$3,Base!$B$3:$B$5001,$A$41)))</f>
        <v/>
      </c>
      <c r="Z56" s="96" t="str">
        <f>IF(Z$3="","",IF(COUNTIFS(Base!$A$3:$A$5001,Z$3,Base!$B$3:$B$5001,$A$41,Base!$Q$3:$Q$5001,"&lt;&gt;")=0,"",SUMIFS(Base!$Q$3:$Q$5001,Base!$A$3:$A$5001,Z$3,Base!$B$3:$B$5001,$A$41)))</f>
        <v/>
      </c>
      <c r="AA56" s="96" t="str">
        <f>IF(AA$3="","",IF(COUNTIFS(Base!$A$3:$A$5001,AA$3,Base!$B$3:$B$5001,$A$41,Base!$Q$3:$Q$5001,"&lt;&gt;")=0,"",SUMIFS(Base!$Q$3:$Q$5001,Base!$A$3:$A$5001,AA$3,Base!$B$3:$B$5001,$A$41)))</f>
        <v/>
      </c>
      <c r="AB56" s="96" t="str">
        <f>IF(AB$3="","",IF(COUNTIFS(Base!$A$3:$A$5001,AB$3,Base!$B$3:$B$5001,$A$41,Base!$Q$3:$Q$5001,"&lt;&gt;")=0,"",SUMIFS(Base!$Q$3:$Q$5001,Base!$A$3:$A$5001,AB$3,Base!$B$3:$B$5001,$A$41)))</f>
        <v/>
      </c>
      <c r="AC56" s="96" t="str">
        <f>IF(AC$3="","",IF(COUNTIFS(Base!$A$3:$A$5001,AC$3,Base!$B$3:$B$5001,$A$41,Base!$Q$3:$Q$5001,"&lt;&gt;")=0,"",SUMIFS(Base!$Q$3:$Q$5001,Base!$A$3:$A$5001,AC$3,Base!$B$3:$B$5001,$A$41)))</f>
        <v/>
      </c>
      <c r="AD56" s="96" t="str">
        <f>IF(AD$3="","",IF(COUNTIFS(Base!$A$3:$A$5001,AD$3,Base!$B$3:$B$5001,$A$41,Base!$Q$3:$Q$5001,"&lt;&gt;")=0,"",SUMIFS(Base!$Q$3:$Q$5001,Base!$A$3:$A$5001,AD$3,Base!$B$3:$B$5001,$A$41)))</f>
        <v/>
      </c>
      <c r="AE56" s="96" t="str">
        <f>IF(AE$3="","",IF(COUNTIFS(Base!$A$3:$A$5001,AE$3,Base!$B$3:$B$5001,$A$41,Base!$Q$3:$Q$5001,"&lt;&gt;")=0,"",SUMIFS(Base!$Q$3:$Q$5001,Base!$A$3:$A$5001,AE$3,Base!$B$3:$B$5001,$A$41)))</f>
        <v/>
      </c>
      <c r="AF56" s="96" t="str">
        <f>IF(AF$3="","",IF(COUNTIFS(Base!$A$3:$A$5001,AF$3,Base!$B$3:$B$5001,$A$41,Base!$Q$3:$Q$5001,"&lt;&gt;")=0,"",SUMIFS(Base!$Q$3:$Q$5001,Base!$A$3:$A$5001,AF$3,Base!$B$3:$B$5001,$A$41)))</f>
        <v/>
      </c>
      <c r="AG56" s="96" t="str">
        <f>IF(AG$3="","",IF(COUNTIFS(Base!$A$3:$A$5001,AG$3,Base!$B$3:$B$5001,$A$41,Base!$Q$3:$Q$5001,"&lt;&gt;")=0,"",SUMIFS(Base!$Q$3:$Q$5001,Base!$A$3:$A$5001,AG$3,Base!$B$3:$B$5001,$A$41)))</f>
        <v/>
      </c>
      <c r="AH56" s="96" t="str">
        <f>IF(AH$3="","",IF(COUNTIFS(Base!$A$3:$A$5001,AH$3,Base!$B$3:$B$5001,$A$41,Base!$Q$3:$Q$5001,"&lt;&gt;")=0,"",SUMIFS(Base!$Q$3:$Q$5001,Base!$A$3:$A$5001,AH$3,Base!$B$3:$B$5001,$A$41)))</f>
        <v/>
      </c>
      <c r="AI56" s="96" t="str">
        <f>IF(AI$3="","",IF(COUNTIFS(Base!$A$3:$A$5001,AI$3,Base!$B$3:$B$5001,$A$41,Base!$Q$3:$Q$5001,"&lt;&gt;")=0,"",SUMIFS(Base!$Q$3:$Q$5001,Base!$A$3:$A$5001,AI$3,Base!$B$3:$B$5001,$A$41)))</f>
        <v/>
      </c>
      <c r="AJ56" s="97" t="str">
        <f>IF(AJ$3="","",IF(COUNTIFS(Base!$A$3:$A$5001,AJ$3,Base!$B$3:$B$5001,$A$41,Base!$Q$3:$Q$5001,"&lt;&gt;")=0,"",SUMIFS(Base!$Q$3:$Q$5001,Base!$A$3:$A$5001,AJ$3,Base!$B$3:$B$5001,$A$41)))</f>
        <v/>
      </c>
      <c r="AK56" s="98" t="str">
        <f>IF(COUNT(F56:AJ56)=0,"",SUM(F56:AJ56))</f>
        <v/>
      </c>
    </row>
    <row r="57" ht="15.75" customHeight="1">
      <c r="A57" s="119"/>
      <c r="B57" s="116"/>
      <c r="C57" s="99" t="inlineStr">
        <is>
          <t xml:space="preserve">Desligamento</t>
        </is>
      </c>
      <c r="D57" s="100"/>
      <c r="E57" s="101"/>
      <c r="F57" s="102" t="str">
        <f>IF(F$3="","",IF(COUNTIFS(Base!$A$3:$A$5001,F$3,Base!$B$3:$B$5001,$A$41,Base!$R$3:$R$5001,"&lt;&gt;")=0,"",SUMIFS(Base!$R$3:$R$5001,Base!$A$3:$A$5001,F$3,Base!$B$3:$B$5001,$A$41)))</f>
        <v/>
      </c>
      <c r="G57" s="103" t="str">
        <f>IF(G$3="","",IF(COUNTIFS(Base!$A$3:$A$5001,G$3,Base!$B$3:$B$5001,$A$41,Base!$R$3:$R$5001,"&lt;&gt;")=0,"",SUMIFS(Base!$R$3:$R$5001,Base!$A$3:$A$5001,G$3,Base!$B$3:$B$5001,$A$41)))</f>
        <v/>
      </c>
      <c r="H57" s="103" t="str">
        <f>IF(H$3="","",IF(COUNTIFS(Base!$A$3:$A$5001,H$3,Base!$B$3:$B$5001,$A$41,Base!$R$3:$R$5001,"&lt;&gt;")=0,"",SUMIFS(Base!$R$3:$R$5001,Base!$A$3:$A$5001,H$3,Base!$B$3:$B$5001,$A$41)))</f>
        <v/>
      </c>
      <c r="I57" s="103" t="str">
        <f>IF(I$3="","",IF(COUNTIFS(Base!$A$3:$A$5001,I$3,Base!$B$3:$B$5001,$A$41,Base!$R$3:$R$5001,"&lt;&gt;")=0,"",SUMIFS(Base!$R$3:$R$5001,Base!$A$3:$A$5001,I$3,Base!$B$3:$B$5001,$A$41)))</f>
        <v/>
      </c>
      <c r="J57" s="103" t="str">
        <f>IF(J$3="","",IF(COUNTIFS(Base!$A$3:$A$5001,J$3,Base!$B$3:$B$5001,$A$41,Base!$R$3:$R$5001,"&lt;&gt;")=0,"",SUMIFS(Base!$R$3:$R$5001,Base!$A$3:$A$5001,J$3,Base!$B$3:$B$5001,$A$41)))</f>
        <v/>
      </c>
      <c r="K57" s="103" t="str">
        <f>IF(K$3="","",IF(COUNTIFS(Base!$A$3:$A$5001,K$3,Base!$B$3:$B$5001,$A$41,Base!$R$3:$R$5001,"&lt;&gt;")=0,"",SUMIFS(Base!$R$3:$R$5001,Base!$A$3:$A$5001,K$3,Base!$B$3:$B$5001,$A$41)))</f>
        <v/>
      </c>
      <c r="L57" s="103" t="str">
        <f>IF(L$3="","",IF(COUNTIFS(Base!$A$3:$A$5001,L$3,Base!$B$3:$B$5001,$A$41,Base!$R$3:$R$5001,"&lt;&gt;")=0,"",SUMIFS(Base!$R$3:$R$5001,Base!$A$3:$A$5001,L$3,Base!$B$3:$B$5001,$A$41)))</f>
        <v/>
      </c>
      <c r="M57" s="103" t="str">
        <f>IF(M$3="","",IF(COUNTIFS(Base!$A$3:$A$5001,M$3,Base!$B$3:$B$5001,$A$41,Base!$R$3:$R$5001,"&lt;&gt;")=0,"",SUMIFS(Base!$R$3:$R$5001,Base!$A$3:$A$5001,M$3,Base!$B$3:$B$5001,$A$41)))</f>
        <v/>
      </c>
      <c r="N57" s="103" t="str">
        <f>IF(N$3="","",IF(COUNTIFS(Base!$A$3:$A$5001,N$3,Base!$B$3:$B$5001,$A$41,Base!$R$3:$R$5001,"&lt;&gt;")=0,"",SUMIFS(Base!$R$3:$R$5001,Base!$A$3:$A$5001,N$3,Base!$B$3:$B$5001,$A$41)))</f>
        <v/>
      </c>
      <c r="O57" s="103" t="str">
        <f>IF(O$3="","",IF(COUNTIFS(Base!$A$3:$A$5001,O$3,Base!$B$3:$B$5001,$A$41,Base!$R$3:$R$5001,"&lt;&gt;")=0,"",SUMIFS(Base!$R$3:$R$5001,Base!$A$3:$A$5001,O$3,Base!$B$3:$B$5001,$A$41)))</f>
        <v/>
      </c>
      <c r="P57" s="103" t="str">
        <f>IF(P$3="","",IF(COUNTIFS(Base!$A$3:$A$5001,P$3,Base!$B$3:$B$5001,$A$41,Base!$R$3:$R$5001,"&lt;&gt;")=0,"",SUMIFS(Base!$R$3:$R$5001,Base!$A$3:$A$5001,P$3,Base!$B$3:$B$5001,$A$41)))</f>
        <v/>
      </c>
      <c r="Q57" s="103" t="str">
        <f>IF(Q$3="","",IF(COUNTIFS(Base!$A$3:$A$5001,Q$3,Base!$B$3:$B$5001,$A$41,Base!$R$3:$R$5001,"&lt;&gt;")=0,"",SUMIFS(Base!$R$3:$R$5001,Base!$A$3:$A$5001,Q$3,Base!$B$3:$B$5001,$A$41)))</f>
        <v/>
      </c>
      <c r="R57" s="103" t="str">
        <f>IF(R$3="","",IF(COUNTIFS(Base!$A$3:$A$5001,R$3,Base!$B$3:$B$5001,$A$41,Base!$R$3:$R$5001,"&lt;&gt;")=0,"",SUMIFS(Base!$R$3:$R$5001,Base!$A$3:$A$5001,R$3,Base!$B$3:$B$5001,$A$41)))</f>
        <v/>
      </c>
      <c r="S57" s="103" t="str">
        <f>IF(S$3="","",IF(COUNTIFS(Base!$A$3:$A$5001,S$3,Base!$B$3:$B$5001,$A$41,Base!$R$3:$R$5001,"&lt;&gt;")=0,"",SUMIFS(Base!$R$3:$R$5001,Base!$A$3:$A$5001,S$3,Base!$B$3:$B$5001,$A$41)))</f>
        <v/>
      </c>
      <c r="T57" s="103" t="str">
        <f>IF(T$3="","",IF(COUNTIFS(Base!$A$3:$A$5001,T$3,Base!$B$3:$B$5001,$A$41,Base!$R$3:$R$5001,"&lt;&gt;")=0,"",SUMIFS(Base!$R$3:$R$5001,Base!$A$3:$A$5001,T$3,Base!$B$3:$B$5001,$A$41)))</f>
        <v/>
      </c>
      <c r="U57" s="103" t="str">
        <f>IF(U$3="","",IF(COUNTIFS(Base!$A$3:$A$5001,U$3,Base!$B$3:$B$5001,$A$41,Base!$R$3:$R$5001,"&lt;&gt;")=0,"",SUMIFS(Base!$R$3:$R$5001,Base!$A$3:$A$5001,U$3,Base!$B$3:$B$5001,$A$41)))</f>
        <v/>
      </c>
      <c r="V57" s="103" t="str">
        <f>IF(V$3="","",IF(COUNTIFS(Base!$A$3:$A$5001,V$3,Base!$B$3:$B$5001,$A$41,Base!$R$3:$R$5001,"&lt;&gt;")=0,"",SUMIFS(Base!$R$3:$R$5001,Base!$A$3:$A$5001,V$3,Base!$B$3:$B$5001,$A$41)))</f>
        <v/>
      </c>
      <c r="W57" s="103" t="str">
        <f>IF(W$3="","",IF(COUNTIFS(Base!$A$3:$A$5001,W$3,Base!$B$3:$B$5001,$A$41,Base!$R$3:$R$5001,"&lt;&gt;")=0,"",SUMIFS(Base!$R$3:$R$5001,Base!$A$3:$A$5001,W$3,Base!$B$3:$B$5001,$A$41)))</f>
        <v/>
      </c>
      <c r="X57" s="103" t="str">
        <f>IF(X$3="","",IF(COUNTIFS(Base!$A$3:$A$5001,X$3,Base!$B$3:$B$5001,$A$41,Base!$R$3:$R$5001,"&lt;&gt;")=0,"",SUMIFS(Base!$R$3:$R$5001,Base!$A$3:$A$5001,X$3,Base!$B$3:$B$5001,$A$41)))</f>
        <v/>
      </c>
      <c r="Y57" s="103" t="str">
        <f>IF(Y$3="","",IF(COUNTIFS(Base!$A$3:$A$5001,Y$3,Base!$B$3:$B$5001,$A$41,Base!$R$3:$R$5001,"&lt;&gt;")=0,"",SUMIFS(Base!$R$3:$R$5001,Base!$A$3:$A$5001,Y$3,Base!$B$3:$B$5001,$A$41)))</f>
        <v/>
      </c>
      <c r="Z57" s="103" t="str">
        <f>IF(Z$3="","",IF(COUNTIFS(Base!$A$3:$A$5001,Z$3,Base!$B$3:$B$5001,$A$41,Base!$R$3:$R$5001,"&lt;&gt;")=0,"",SUMIFS(Base!$R$3:$R$5001,Base!$A$3:$A$5001,Z$3,Base!$B$3:$B$5001,$A$41)))</f>
        <v/>
      </c>
      <c r="AA57" s="103" t="str">
        <f>IF(AA$3="","",IF(COUNTIFS(Base!$A$3:$A$5001,AA$3,Base!$B$3:$B$5001,$A$41,Base!$R$3:$R$5001,"&lt;&gt;")=0,"",SUMIFS(Base!$R$3:$R$5001,Base!$A$3:$A$5001,AA$3,Base!$B$3:$B$5001,$A$41)))</f>
        <v/>
      </c>
      <c r="AB57" s="103" t="str">
        <f>IF(AB$3="","",IF(COUNTIFS(Base!$A$3:$A$5001,AB$3,Base!$B$3:$B$5001,$A$41,Base!$R$3:$R$5001,"&lt;&gt;")=0,"",SUMIFS(Base!$R$3:$R$5001,Base!$A$3:$A$5001,AB$3,Base!$B$3:$B$5001,$A$41)))</f>
        <v/>
      </c>
      <c r="AC57" s="103" t="str">
        <f>IF(AC$3="","",IF(COUNTIFS(Base!$A$3:$A$5001,AC$3,Base!$B$3:$B$5001,$A$41,Base!$R$3:$R$5001,"&lt;&gt;")=0,"",SUMIFS(Base!$R$3:$R$5001,Base!$A$3:$A$5001,AC$3,Base!$B$3:$B$5001,$A$41)))</f>
        <v/>
      </c>
      <c r="AD57" s="103" t="str">
        <f>IF(AD$3="","",IF(COUNTIFS(Base!$A$3:$A$5001,AD$3,Base!$B$3:$B$5001,$A$41,Base!$R$3:$R$5001,"&lt;&gt;")=0,"",SUMIFS(Base!$R$3:$R$5001,Base!$A$3:$A$5001,AD$3,Base!$B$3:$B$5001,$A$41)))</f>
        <v/>
      </c>
      <c r="AE57" s="103" t="str">
        <f>IF(AE$3="","",IF(COUNTIFS(Base!$A$3:$A$5001,AE$3,Base!$B$3:$B$5001,$A$41,Base!$R$3:$R$5001,"&lt;&gt;")=0,"",SUMIFS(Base!$R$3:$R$5001,Base!$A$3:$A$5001,AE$3,Base!$B$3:$B$5001,$A$41)))</f>
        <v/>
      </c>
      <c r="AF57" s="103" t="str">
        <f>IF(AF$3="","",IF(COUNTIFS(Base!$A$3:$A$5001,AF$3,Base!$B$3:$B$5001,$A$41,Base!$R$3:$R$5001,"&lt;&gt;")=0,"",SUMIFS(Base!$R$3:$R$5001,Base!$A$3:$A$5001,AF$3,Base!$B$3:$B$5001,$A$41)))</f>
        <v/>
      </c>
      <c r="AG57" s="103" t="str">
        <f>IF(AG$3="","",IF(COUNTIFS(Base!$A$3:$A$5001,AG$3,Base!$B$3:$B$5001,$A$41,Base!$R$3:$R$5001,"&lt;&gt;")=0,"",SUMIFS(Base!$R$3:$R$5001,Base!$A$3:$A$5001,AG$3,Base!$B$3:$B$5001,$A$41)))</f>
        <v/>
      </c>
      <c r="AH57" s="103" t="str">
        <f>IF(AH$3="","",IF(COUNTIFS(Base!$A$3:$A$5001,AH$3,Base!$B$3:$B$5001,$A$41,Base!$R$3:$R$5001,"&lt;&gt;")=0,"",SUMIFS(Base!$R$3:$R$5001,Base!$A$3:$A$5001,AH$3,Base!$B$3:$B$5001,$A$41)))</f>
        <v/>
      </c>
      <c r="AI57" s="103" t="str">
        <f>IF(AI$3="","",IF(COUNTIFS(Base!$A$3:$A$5001,AI$3,Base!$B$3:$B$5001,$A$41,Base!$R$3:$R$5001,"&lt;&gt;")=0,"",SUMIFS(Base!$R$3:$R$5001,Base!$A$3:$A$5001,AI$3,Base!$B$3:$B$5001,$A$41)))</f>
        <v/>
      </c>
      <c r="AJ57" s="104" t="str">
        <f>IF(AJ$3="","",IF(COUNTIFS(Base!$A$3:$A$5001,AJ$3,Base!$B$3:$B$5001,$A$41,Base!$R$3:$R$5001,"&lt;&gt;")=0,"",SUMIFS(Base!$R$3:$R$5001,Base!$A$3:$A$5001,AJ$3,Base!$B$3:$B$5001,$A$41)))</f>
        <v/>
      </c>
      <c r="AK57" s="100" t="str">
        <f>IF(COUNT(F57:AJ57)=0,"",SUM(F57:AJ57))</f>
        <v/>
      </c>
    </row>
    <row r="59" ht="15.75" customHeight="1">
      <c r="A59" s="117" t="inlineStr">
        <is>
          <t xml:space="preserve">Nestlé</t>
        </is>
      </c>
      <c r="B59" s="105" t="inlineStr">
        <is>
          <t xml:space="preserve">IN</t>
        </is>
      </c>
      <c r="C59" s="21" t="inlineStr">
        <is>
          <t xml:space="preserve">Veículos Recebidos</t>
        </is>
      </c>
      <c r="D59" s="22"/>
      <c r="E59" s="23"/>
      <c r="F59" s="24">
        <f>IF(F$3="","",IF(COUNTIFS(Base!$A$3:$A$5001,F$3,Base!$B$3:$B$5001,$A$59,Base!$C$3:$C$5001,"&lt;&gt;")=0,"",SUMIFS(Base!$C$3:$C$5001,Base!$A$3:$A$5001,F$3,Base!$B$3:$B$5001,$A$59)))</f>
        <v>7</v>
      </c>
      <c r="G59" s="25">
        <f>IF(G$3="","",IF(COUNTIFS(Base!$A$3:$A$5001,G$3,Base!$B$3:$B$5001,$A$59,Base!$C$3:$C$5001,"&lt;&gt;")=0,"",SUMIFS(Base!$C$3:$C$5001,Base!$A$3:$A$5001,G$3,Base!$B$3:$B$5001,$A$59)))</f>
        <v>3</v>
      </c>
      <c r="H59" s="25">
        <f>IF(H$3="","",IF(COUNTIFS(Base!$A$3:$A$5001,H$3,Base!$B$3:$B$5001,$A$59,Base!$C$3:$C$5001,"&lt;&gt;")=0,"",SUMIFS(Base!$C$3:$C$5001,Base!$A$3:$A$5001,H$3,Base!$B$3:$B$5001,$A$59)))</f>
        <v>1</v>
      </c>
      <c r="I59" s="25">
        <f>IF(I$3="","",IF(COUNTIFS(Base!$A$3:$A$5001,I$3,Base!$B$3:$B$5001,$A$59,Base!$C$3:$C$5001,"&lt;&gt;")=0,"",SUMIFS(Base!$C$3:$C$5001,Base!$A$3:$A$5001,I$3,Base!$B$3:$B$5001,$A$59)))</f>
        <v>2</v>
      </c>
      <c r="J59" s="25">
        <f>IF(J$3="","",IF(COUNTIFS(Base!$A$3:$A$5001,J$3,Base!$B$3:$B$5001,$A$59,Base!$C$3:$C$5001,"&lt;&gt;")=0,"",SUMIFS(Base!$C$3:$C$5001,Base!$A$3:$A$5001,J$3,Base!$B$3:$B$5001,$A$59)))</f>
        <v>1</v>
      </c>
      <c r="K59" s="25" t="str">
        <f>IF(K$3="","",IF(COUNTIFS(Base!$A$3:$A$5001,K$3,Base!$B$3:$B$5001,$A$59,Base!$C$3:$C$5001,"&lt;&gt;")=0,"",SUMIFS(Base!$C$3:$C$5001,Base!$A$3:$A$5001,K$3,Base!$B$3:$B$5001,$A$59)))</f>
        <v/>
      </c>
      <c r="L59" s="25">
        <f>IF(L$3="","",IF(COUNTIFS(Base!$A$3:$A$5001,L$3,Base!$B$3:$B$5001,$A$59,Base!$C$3:$C$5001,"&lt;&gt;")=0,"",SUMIFS(Base!$C$3:$C$5001,Base!$A$3:$A$5001,L$3,Base!$B$3:$B$5001,$A$59)))</f>
        <v>2</v>
      </c>
      <c r="M59" s="25">
        <f>IF(M$3="","",IF(COUNTIFS(Base!$A$3:$A$5001,M$3,Base!$B$3:$B$5001,$A$59,Base!$C$3:$C$5001,"&lt;&gt;")=0,"",SUMIFS(Base!$C$3:$C$5001,Base!$A$3:$A$5001,M$3,Base!$B$3:$B$5001,$A$59)))</f>
        <v>4</v>
      </c>
      <c r="N59" s="25">
        <f>IF(N$3="","",IF(COUNTIFS(Base!$A$3:$A$5001,N$3,Base!$B$3:$B$5001,$A$59,Base!$C$3:$C$5001,"&lt;&gt;")=0,"",SUMIFS(Base!$C$3:$C$5001,Base!$A$3:$A$5001,N$3,Base!$B$3:$B$5001,$A$59)))</f>
        <v>6</v>
      </c>
      <c r="O59" s="25">
        <f>IF(O$3="","",IF(COUNTIFS(Base!$A$3:$A$5001,O$3,Base!$B$3:$B$5001,$A$59,Base!$C$3:$C$5001,"&lt;&gt;")=0,"",SUMIFS(Base!$C$3:$C$5001,Base!$A$3:$A$5001,O$3,Base!$B$3:$B$5001,$A$59)))</f>
        <v>8</v>
      </c>
      <c r="P59" s="25">
        <f>IF(P$3="","",IF(COUNTIFS(Base!$A$3:$A$5001,P$3,Base!$B$3:$B$5001,$A$59,Base!$C$3:$C$5001,"&lt;&gt;")=0,"",SUMIFS(Base!$C$3:$C$5001,Base!$A$3:$A$5001,P$3,Base!$B$3:$B$5001,$A$59)))</f>
        <v>7</v>
      </c>
      <c r="Q59" s="25" t="str">
        <f>IF(Q$3="","",IF(COUNTIFS(Base!$A$3:$A$5001,Q$3,Base!$B$3:$B$5001,$A$59,Base!$C$3:$C$5001,"&lt;&gt;")=0,"",SUMIFS(Base!$C$3:$C$5001,Base!$A$3:$A$5001,Q$3,Base!$B$3:$B$5001,$A$59)))</f>
        <v/>
      </c>
      <c r="R59" s="25">
        <f>IF(R$3="","",IF(COUNTIFS(Base!$A$3:$A$5001,R$3,Base!$B$3:$B$5001,$A$59,Base!$C$3:$C$5001,"&lt;&gt;")=0,"",SUMIFS(Base!$C$3:$C$5001,Base!$A$3:$A$5001,R$3,Base!$B$3:$B$5001,$A$59)))</f>
        <v>1</v>
      </c>
      <c r="S59" s="25">
        <f>IF(S$3="","",IF(COUNTIFS(Base!$A$3:$A$5001,S$3,Base!$B$3:$B$5001,$A$59,Base!$C$3:$C$5001,"&lt;&gt;")=0,"",SUMIFS(Base!$C$3:$C$5001,Base!$A$3:$A$5001,S$3,Base!$B$3:$B$5001,$A$59)))</f>
        <v>4</v>
      </c>
      <c r="T59" s="25">
        <f>IF(T$3="","",IF(COUNTIFS(Base!$A$3:$A$5001,T$3,Base!$B$3:$B$5001,$A$59,Base!$C$3:$C$5001,"&lt;&gt;")=0,"",SUMIFS(Base!$C$3:$C$5001,Base!$A$3:$A$5001,T$3,Base!$B$3:$B$5001,$A$59)))</f>
        <v>7</v>
      </c>
      <c r="U59" s="25">
        <f>IF(U$3="","",IF(COUNTIFS(Base!$A$3:$A$5001,U$3,Base!$B$3:$B$5001,$A$59,Base!$C$3:$C$5001,"&lt;&gt;")=0,"",SUMIFS(Base!$C$3:$C$5001,Base!$A$3:$A$5001,U$3,Base!$B$3:$B$5001,$A$59)))</f>
        <v>5</v>
      </c>
      <c r="V59" s="25">
        <f>IF(V$3="","",IF(COUNTIFS(Base!$A$3:$A$5001,V$3,Base!$B$3:$B$5001,$A$59,Base!$C$3:$C$5001,"&lt;&gt;")=0,"",SUMIFS(Base!$C$3:$C$5001,Base!$A$3:$A$5001,V$3,Base!$B$3:$B$5001,$A$59)))</f>
        <v>5</v>
      </c>
      <c r="W59" s="25">
        <f>IF(W$3="","",IF(COUNTIFS(Base!$A$3:$A$5001,W$3,Base!$B$3:$B$5001,$A$59,Base!$C$3:$C$5001,"&lt;&gt;")=0,"",SUMIFS(Base!$C$3:$C$5001,Base!$A$3:$A$5001,W$3,Base!$B$3:$B$5001,$A$59)))</f>
        <v>8</v>
      </c>
      <c r="X59" s="25" t="str">
        <f>IF(X$3="","",IF(COUNTIFS(Base!$A$3:$A$5001,X$3,Base!$B$3:$B$5001,$A$59,Base!$C$3:$C$5001,"&lt;&gt;")=0,"",SUMIFS(Base!$C$3:$C$5001,Base!$A$3:$A$5001,X$3,Base!$B$3:$B$5001,$A$59)))</f>
        <v/>
      </c>
      <c r="Y59" s="25" t="str">
        <f>IF(Y$3="","",IF(COUNTIFS(Base!$A$3:$A$5001,Y$3,Base!$B$3:$B$5001,$A$59,Base!$C$3:$C$5001,"&lt;&gt;")=0,"",SUMIFS(Base!$C$3:$C$5001,Base!$A$3:$A$5001,Y$3,Base!$B$3:$B$5001,$A$59)))</f>
        <v/>
      </c>
      <c r="Z59" s="25">
        <f>IF(Z$3="","",IF(COUNTIFS(Base!$A$3:$A$5001,Z$3,Base!$B$3:$B$5001,$A$59,Base!$C$3:$C$5001,"&lt;&gt;")=0,"",SUMIFS(Base!$C$3:$C$5001,Base!$A$3:$A$5001,Z$3,Base!$B$3:$B$5001,$A$59)))</f>
        <v>0</v>
      </c>
      <c r="AA59" s="25">
        <f>IF(AA$3="","",IF(COUNTIFS(Base!$A$3:$A$5001,AA$3,Base!$B$3:$B$5001,$A$59,Base!$C$3:$C$5001,"&lt;&gt;")=0,"",SUMIFS(Base!$C$3:$C$5001,Base!$A$3:$A$5001,AA$3,Base!$B$3:$B$5001,$A$59)))</f>
        <v>5</v>
      </c>
      <c r="AB59" s="25">
        <f>IF(AB$3="","",IF(COUNTIFS(Base!$A$3:$A$5001,AB$3,Base!$B$3:$B$5001,$A$59,Base!$C$3:$C$5001,"&lt;&gt;")=0,"",SUMIFS(Base!$C$3:$C$5001,Base!$A$3:$A$5001,AB$3,Base!$B$3:$B$5001,$A$59)))</f>
        <v>8</v>
      </c>
      <c r="AC59" s="25">
        <f>IF(AC$3="","",IF(COUNTIFS(Base!$A$3:$A$5001,AC$3,Base!$B$3:$B$5001,$A$59,Base!$C$3:$C$5001,"&lt;&gt;")=0,"",SUMIFS(Base!$C$3:$C$5001,Base!$A$3:$A$5001,AC$3,Base!$B$3:$B$5001,$A$59)))</f>
        <v>5</v>
      </c>
      <c r="AD59" s="25">
        <f>IF(AD$3="","",IF(COUNTIFS(Base!$A$3:$A$5001,AD$3,Base!$B$3:$B$5001,$A$59,Base!$C$3:$C$5001,"&lt;&gt;")=0,"",SUMIFS(Base!$C$3:$C$5001,Base!$A$3:$A$5001,AD$3,Base!$B$3:$B$5001,$A$59)))</f>
        <v>5</v>
      </c>
      <c r="AE59" s="25" t="str">
        <f>IF(AE$3="","",IF(COUNTIFS(Base!$A$3:$A$5001,AE$3,Base!$B$3:$B$5001,$A$59,Base!$C$3:$C$5001,"&lt;&gt;")=0,"",SUMIFS(Base!$C$3:$C$5001,Base!$A$3:$A$5001,AE$3,Base!$B$3:$B$5001,$A$59)))</f>
        <v/>
      </c>
      <c r="AF59" s="25" t="str">
        <f>IF(AF$3="","",IF(COUNTIFS(Base!$A$3:$A$5001,AF$3,Base!$B$3:$B$5001,$A$59,Base!$C$3:$C$5001,"&lt;&gt;")=0,"",SUMIFS(Base!$C$3:$C$5001,Base!$A$3:$A$5001,AF$3,Base!$B$3:$B$5001,$A$59)))</f>
        <v/>
      </c>
      <c r="AG59" s="25">
        <f>IF(AG$3="","",IF(COUNTIFS(Base!$A$3:$A$5001,AG$3,Base!$B$3:$B$5001,$A$59,Base!$C$3:$C$5001,"&lt;&gt;")=0,"",SUMIFS(Base!$C$3:$C$5001,Base!$A$3:$A$5001,AG$3,Base!$B$3:$B$5001,$A$59)))</f>
        <v>9</v>
      </c>
      <c r="AH59" s="25">
        <f>IF(AH$3="","",IF(COUNTIFS(Base!$A$3:$A$5001,AH$3,Base!$B$3:$B$5001,$A$59,Base!$C$3:$C$5001,"&lt;&gt;")=0,"",SUMIFS(Base!$C$3:$C$5001,Base!$A$3:$A$5001,AH$3,Base!$B$3:$B$5001,$A$59)))</f>
        <v>1</v>
      </c>
      <c r="AI59" s="25" t="str">
        <f>IF(AI$3="","",IF(COUNTIFS(Base!$A$3:$A$5001,AI$3,Base!$B$3:$B$5001,$A$59,Base!$C$3:$C$5001,"&lt;&gt;")=0,"",SUMIFS(Base!$C$3:$C$5001,Base!$A$3:$A$5001,AI$3,Base!$B$3:$B$5001,$A$59)))</f>
        <v/>
      </c>
      <c r="AJ59" s="26" t="str">
        <f>IF(AJ$3="","",IF(COUNTIFS(Base!$A$3:$A$5001,AJ$3,Base!$B$3:$B$5001,$A$59,Base!$C$3:$C$5001,"&lt;&gt;")=0,"",SUMIFS(Base!$C$3:$C$5001,Base!$A$3:$A$5001,AJ$3,Base!$B$3:$B$5001,$A$59)))</f>
        <v/>
      </c>
      <c r="AK59" s="27">
        <f>IF(COUNT(F59:AJ59)=0,"",SUM(F59:AJ59))</f>
        <v>104</v>
      </c>
    </row>
    <row r="60" ht="15.75" customHeight="1">
      <c r="A60" s="118"/>
      <c r="B60" s="106"/>
      <c r="C60" s="28" t="inlineStr">
        <is>
          <t xml:space="preserve">Pallets Movimentados</t>
        </is>
      </c>
      <c r="D60" s="29"/>
      <c r="E60" s="30"/>
      <c r="F60" s="31">
        <f>IF(F$3="","",IF(COUNTIFS(Base!$A$3:$A$5001,F$3,Base!$B$3:$B$5001,$A$59,Base!$D$3:$D$5001,"&lt;&gt;")=0,"",SUMIFS(Base!$D$3:$D$5001,Base!$A$3:$A$5001,F$3,Base!$B$3:$B$5001,$A$59)))</f>
        <v>196</v>
      </c>
      <c r="G60" s="32">
        <f>IF(G$3="","",IF(COUNTIFS(Base!$A$3:$A$5001,G$3,Base!$B$3:$B$5001,$A$59,Base!$D$3:$D$5001,"&lt;&gt;")=0,"",SUMIFS(Base!$D$3:$D$5001,Base!$A$3:$A$5001,G$3,Base!$B$3:$B$5001,$A$59)))</f>
        <v>75</v>
      </c>
      <c r="H60" s="32">
        <f>IF(H$3="","",IF(COUNTIFS(Base!$A$3:$A$5001,H$3,Base!$B$3:$B$5001,$A$59,Base!$D$3:$D$5001,"&lt;&gt;")=0,"",SUMIFS(Base!$D$3:$D$5001,Base!$A$3:$A$5001,H$3,Base!$B$3:$B$5001,$A$59)))</f>
        <v>28</v>
      </c>
      <c r="I60" s="32">
        <f>IF(I$3="","",IF(COUNTIFS(Base!$A$3:$A$5001,I$3,Base!$B$3:$B$5001,$A$59,Base!$D$3:$D$5001,"&lt;&gt;")=0,"",SUMIFS(Base!$D$3:$D$5001,Base!$A$3:$A$5001,I$3,Base!$B$3:$B$5001,$A$59)))</f>
        <v>46</v>
      </c>
      <c r="J60" s="32">
        <f>IF(J$3="","",IF(COUNTIFS(Base!$A$3:$A$5001,J$3,Base!$B$3:$B$5001,$A$59,Base!$D$3:$D$5001,"&lt;&gt;")=0,"",SUMIFS(Base!$D$3:$D$5001,Base!$A$3:$A$5001,J$3,Base!$B$3:$B$5001,$A$59)))</f>
        <v>26</v>
      </c>
      <c r="K60" s="32" t="str">
        <f>IF(K$3="","",IF(COUNTIFS(Base!$A$3:$A$5001,K$3,Base!$B$3:$B$5001,$A$59,Base!$D$3:$D$5001,"&lt;&gt;")=0,"",SUMIFS(Base!$D$3:$D$5001,Base!$A$3:$A$5001,K$3,Base!$B$3:$B$5001,$A$59)))</f>
        <v/>
      </c>
      <c r="L60" s="32">
        <f>IF(L$3="","",IF(COUNTIFS(Base!$A$3:$A$5001,L$3,Base!$B$3:$B$5001,$A$59,Base!$D$3:$D$5001,"&lt;&gt;")=0,"",SUMIFS(Base!$D$3:$D$5001,Base!$A$3:$A$5001,L$3,Base!$B$3:$B$5001,$A$59)))</f>
        <v>42</v>
      </c>
      <c r="M60" s="32">
        <f>IF(M$3="","",IF(COUNTIFS(Base!$A$3:$A$5001,M$3,Base!$B$3:$B$5001,$A$59,Base!$D$3:$D$5001,"&lt;&gt;")=0,"",SUMIFS(Base!$D$3:$D$5001,Base!$A$3:$A$5001,M$3,Base!$B$3:$B$5001,$A$59)))</f>
        <v>84</v>
      </c>
      <c r="N60" s="32">
        <f>IF(N$3="","",IF(COUNTIFS(Base!$A$3:$A$5001,N$3,Base!$B$3:$B$5001,$A$59,Base!$D$3:$D$5001,"&lt;&gt;")=0,"",SUMIFS(Base!$D$3:$D$5001,Base!$A$3:$A$5001,N$3,Base!$B$3:$B$5001,$A$59)))</f>
        <v>126</v>
      </c>
      <c r="O60" s="32">
        <f>IF(O$3="","",IF(COUNTIFS(Base!$A$3:$A$5001,O$3,Base!$B$3:$B$5001,$A$59,Base!$D$3:$D$5001,"&lt;&gt;")=0,"",SUMIFS(Base!$D$3:$D$5001,Base!$A$3:$A$5001,O$3,Base!$B$3:$B$5001,$A$59)))</f>
        <v>224</v>
      </c>
      <c r="P60" s="32">
        <f>IF(P$3="","",IF(COUNTIFS(Base!$A$3:$A$5001,P$3,Base!$B$3:$B$5001,$A$59,Base!$D$3:$D$5001,"&lt;&gt;")=0,"",SUMIFS(Base!$D$3:$D$5001,Base!$A$3:$A$5001,P$3,Base!$B$3:$B$5001,$A$59)))</f>
        <v>182</v>
      </c>
      <c r="Q60" s="32" t="str">
        <f>IF(Q$3="","",IF(COUNTIFS(Base!$A$3:$A$5001,Q$3,Base!$B$3:$B$5001,$A$59,Base!$D$3:$D$5001,"&lt;&gt;")=0,"",SUMIFS(Base!$D$3:$D$5001,Base!$A$3:$A$5001,Q$3,Base!$B$3:$B$5001,$A$59)))</f>
        <v/>
      </c>
      <c r="R60" s="32">
        <f>IF(R$3="","",IF(COUNTIFS(Base!$A$3:$A$5001,R$3,Base!$B$3:$B$5001,$A$59,Base!$D$3:$D$5001,"&lt;&gt;")=0,"",SUMIFS(Base!$D$3:$D$5001,Base!$A$3:$A$5001,R$3,Base!$B$3:$B$5001,$A$59)))</f>
        <v>21</v>
      </c>
      <c r="S60" s="32">
        <f>IF(S$3="","",IF(COUNTIFS(Base!$A$3:$A$5001,S$3,Base!$B$3:$B$5001,$A$59,Base!$D$3:$D$5001,"&lt;&gt;")=0,"",SUMIFS(Base!$D$3:$D$5001,Base!$A$3:$A$5001,S$3,Base!$B$3:$B$5001,$A$59)))</f>
        <v>112</v>
      </c>
      <c r="T60" s="32">
        <f>IF(T$3="","",IF(COUNTIFS(Base!$A$3:$A$5001,T$3,Base!$B$3:$B$5001,$A$59,Base!$D$3:$D$5001,"&lt;&gt;")=0,"",SUMIFS(Base!$D$3:$D$5001,Base!$A$3:$A$5001,T$3,Base!$B$3:$B$5001,$A$59)))</f>
        <v>154</v>
      </c>
      <c r="U60" s="32">
        <f>IF(U$3="","",IF(COUNTIFS(Base!$A$3:$A$5001,U$3,Base!$B$3:$B$5001,$A$59,Base!$D$3:$D$5001,"&lt;&gt;")=0,"",SUMIFS(Base!$D$3:$D$5001,Base!$A$3:$A$5001,U$3,Base!$B$3:$B$5001,$A$59)))</f>
        <v>140</v>
      </c>
      <c r="V60" s="32">
        <f>IF(V$3="","",IF(COUNTIFS(Base!$A$3:$A$5001,V$3,Base!$B$3:$B$5001,$A$59,Base!$D$3:$D$5001,"&lt;&gt;")=0,"",SUMIFS(Base!$D$3:$D$5001,Base!$A$3:$A$5001,V$3,Base!$B$3:$B$5001,$A$59)))</f>
        <v>100</v>
      </c>
      <c r="W60" s="32">
        <f>IF(W$3="","",IF(COUNTIFS(Base!$A$3:$A$5001,W$3,Base!$B$3:$B$5001,$A$59,Base!$D$3:$D$5001,"&lt;&gt;")=0,"",SUMIFS(Base!$D$3:$D$5001,Base!$A$3:$A$5001,W$3,Base!$B$3:$B$5001,$A$59)))</f>
        <v>200</v>
      </c>
      <c r="X60" s="32" t="str">
        <f>IF(X$3="","",IF(COUNTIFS(Base!$A$3:$A$5001,X$3,Base!$B$3:$B$5001,$A$59,Base!$D$3:$D$5001,"&lt;&gt;")=0,"",SUMIFS(Base!$D$3:$D$5001,Base!$A$3:$A$5001,X$3,Base!$B$3:$B$5001,$A$59)))</f>
        <v/>
      </c>
      <c r="Y60" s="32" t="str">
        <f>IF(Y$3="","",IF(COUNTIFS(Base!$A$3:$A$5001,Y$3,Base!$B$3:$B$5001,$A$59,Base!$D$3:$D$5001,"&lt;&gt;")=0,"",SUMIFS(Base!$D$3:$D$5001,Base!$A$3:$A$5001,Y$3,Base!$B$3:$B$5001,$A$59)))</f>
        <v/>
      </c>
      <c r="Z60" s="32">
        <f>IF(Z$3="","",IF(COUNTIFS(Base!$A$3:$A$5001,Z$3,Base!$B$3:$B$5001,$A$59,Base!$D$3:$D$5001,"&lt;&gt;")=0,"",SUMIFS(Base!$D$3:$D$5001,Base!$A$3:$A$5001,Z$3,Base!$B$3:$B$5001,$A$59)))</f>
        <v>0</v>
      </c>
      <c r="AA60" s="32">
        <f>IF(AA$3="","",IF(COUNTIFS(Base!$A$3:$A$5001,AA$3,Base!$B$3:$B$5001,$A$59,Base!$D$3:$D$5001,"&lt;&gt;")=0,"",SUMIFS(Base!$D$3:$D$5001,Base!$A$3:$A$5001,AA$3,Base!$B$3:$B$5001,$A$59)))</f>
        <v>130</v>
      </c>
      <c r="AB60" s="32">
        <f>IF(AB$3="","",IF(COUNTIFS(Base!$A$3:$A$5001,AB$3,Base!$B$3:$B$5001,$A$59,Base!$D$3:$D$5001,"&lt;&gt;")=0,"",SUMIFS(Base!$D$3:$D$5001,Base!$A$3:$A$5001,AB$3,Base!$B$3:$B$5001,$A$59)))</f>
        <v>216</v>
      </c>
      <c r="AC60" s="32">
        <f>IF(AC$3="","",IF(COUNTIFS(Base!$A$3:$A$5001,AC$3,Base!$B$3:$B$5001,$A$59,Base!$D$3:$D$5001,"&lt;&gt;")=0,"",SUMIFS(Base!$D$3:$D$5001,Base!$A$3:$A$5001,AC$3,Base!$B$3:$B$5001,$A$59)))</f>
        <v>115</v>
      </c>
      <c r="AD60" s="32">
        <f>IF(AD$3="","",IF(COUNTIFS(Base!$A$3:$A$5001,AD$3,Base!$B$3:$B$5001,$A$59,Base!$D$3:$D$5001,"&lt;&gt;")=0,"",SUMIFS(Base!$D$3:$D$5001,Base!$A$3:$A$5001,AD$3,Base!$B$3:$B$5001,$A$59)))</f>
        <v>115</v>
      </c>
      <c r="AE60" s="32" t="str">
        <f>IF(AE$3="","",IF(COUNTIFS(Base!$A$3:$A$5001,AE$3,Base!$B$3:$B$5001,$A$59,Base!$D$3:$D$5001,"&lt;&gt;")=0,"",SUMIFS(Base!$D$3:$D$5001,Base!$A$3:$A$5001,AE$3,Base!$B$3:$B$5001,$A$59)))</f>
        <v/>
      </c>
      <c r="AF60" s="32" t="str">
        <f>IF(AF$3="","",IF(COUNTIFS(Base!$A$3:$A$5001,AF$3,Base!$B$3:$B$5001,$A$59,Base!$D$3:$D$5001,"&lt;&gt;")=0,"",SUMIFS(Base!$D$3:$D$5001,Base!$A$3:$A$5001,AF$3,Base!$B$3:$B$5001,$A$59)))</f>
        <v/>
      </c>
      <c r="AG60" s="32">
        <f>IF(AG$3="","",IF(COUNTIFS(Base!$A$3:$A$5001,AG$3,Base!$B$3:$B$5001,$A$59,Base!$D$3:$D$5001,"&lt;&gt;")=0,"",SUMIFS(Base!$D$3:$D$5001,Base!$A$3:$A$5001,AG$3,Base!$B$3:$B$5001,$A$59)))</f>
        <v>189</v>
      </c>
      <c r="AH60" s="32">
        <f>IF(AH$3="","",IF(COUNTIFS(Base!$A$3:$A$5001,AH$3,Base!$B$3:$B$5001,$A$59,Base!$D$3:$D$5001,"&lt;&gt;")=0,"",SUMIFS(Base!$D$3:$D$5001,Base!$A$3:$A$5001,AH$3,Base!$B$3:$B$5001,$A$59)))</f>
        <v>26</v>
      </c>
      <c r="AI60" s="32" t="str">
        <f>IF(AI$3="","",IF(COUNTIFS(Base!$A$3:$A$5001,AI$3,Base!$B$3:$B$5001,$A$59,Base!$D$3:$D$5001,"&lt;&gt;")=0,"",SUMIFS(Base!$D$3:$D$5001,Base!$A$3:$A$5001,AI$3,Base!$B$3:$B$5001,$A$59)))</f>
        <v/>
      </c>
      <c r="AJ60" s="33" t="str">
        <f>IF(AJ$3="","",IF(COUNTIFS(Base!$A$3:$A$5001,AJ$3,Base!$B$3:$B$5001,$A$59,Base!$D$3:$D$5001,"&lt;&gt;")=0,"",SUMIFS(Base!$D$3:$D$5001,Base!$A$3:$A$5001,AJ$3,Base!$B$3:$B$5001,$A$59)))</f>
        <v/>
      </c>
      <c r="AK60" s="34">
        <f>IF(COUNT(F60:AJ60)=0,"",SUM(F60:AJ60))</f>
        <v>2547</v>
      </c>
    </row>
    <row r="61" ht="15.75" customHeight="1">
      <c r="A61" s="118"/>
      <c r="B61" s="107"/>
      <c r="C61" s="35" t="inlineStr">
        <is>
          <t xml:space="preserve">Toneladas Movimentadas</t>
        </is>
      </c>
      <c r="D61" s="36"/>
      <c r="E61" s="37"/>
      <c r="F61" s="38">
        <f>IF(F$3="","",IF(COUNTIFS(Base!$A$3:$A$5001,F$3,Base!$B$3:$B$5001,$A$59,Base!$E$3:$E$5001,"&lt;&gt;")=0,"",SUMIFS(Base!$E$3:$E$5001,Base!$A$3:$A$5001,F$3,Base!$B$3:$B$5001,$A$59)))</f>
        <v>112.57</v>
      </c>
      <c r="G61" s="39">
        <f>IF(G$3="","",IF(COUNTIFS(Base!$A$3:$A$5001,G$3,Base!$B$3:$B$5001,$A$59,Base!$E$3:$E$5001,"&lt;&gt;")=0,"",SUMIFS(Base!$E$3:$E$5001,Base!$A$3:$A$5001,G$3,Base!$B$3:$B$5001,$A$59)))</f>
        <v>40.25</v>
      </c>
      <c r="H61" s="39">
        <f>IF(H$3="","",IF(COUNTIFS(Base!$A$3:$A$5001,H$3,Base!$B$3:$B$5001,$A$59,Base!$E$3:$E$5001,"&lt;&gt;")=0,"",SUMIFS(Base!$E$3:$E$5001,Base!$A$3:$A$5001,H$3,Base!$B$3:$B$5001,$A$59)))</f>
        <v>16.35</v>
      </c>
      <c r="I61" s="39">
        <f>IF(I$3="","",IF(COUNTIFS(Base!$A$3:$A$5001,I$3,Base!$B$3:$B$5001,$A$59,Base!$E$3:$E$5001,"&lt;&gt;")=0,"",SUMIFS(Base!$E$3:$E$5001,Base!$A$3:$A$5001,I$3,Base!$B$3:$B$5001,$A$59)))</f>
        <v>25.09</v>
      </c>
      <c r="J61" s="39">
        <f>IF(J$3="","",IF(COUNTIFS(Base!$A$3:$A$5001,J$3,Base!$B$3:$B$5001,$A$59,Base!$E$3:$E$5001,"&lt;&gt;")=0,"",SUMIFS(Base!$E$3:$E$5001,Base!$A$3:$A$5001,J$3,Base!$B$3:$B$5001,$A$59)))</f>
        <v>12.75</v>
      </c>
      <c r="K61" s="39" t="str">
        <f>IF(K$3="","",IF(COUNTIFS(Base!$A$3:$A$5001,K$3,Base!$B$3:$B$5001,$A$59,Base!$E$3:$E$5001,"&lt;&gt;")=0,"",SUMIFS(Base!$E$3:$E$5001,Base!$A$3:$A$5001,K$3,Base!$B$3:$B$5001,$A$59)))</f>
        <v/>
      </c>
      <c r="L61" s="39">
        <f>IF(L$3="","",IF(COUNTIFS(Base!$A$3:$A$5001,L$3,Base!$B$3:$B$5001,$A$59,Base!$E$3:$E$5001,"&lt;&gt;")=0,"",SUMIFS(Base!$E$3:$E$5001,Base!$A$3:$A$5001,L$3,Base!$B$3:$B$5001,$A$59)))</f>
        <v>45.88</v>
      </c>
      <c r="M61" s="39">
        <f>IF(M$3="","",IF(COUNTIFS(Base!$A$3:$A$5001,M$3,Base!$B$3:$B$5001,$A$59,Base!$E$3:$E$5001,"&lt;&gt;")=0,"",SUMIFS(Base!$E$3:$E$5001,Base!$A$3:$A$5001,M$3,Base!$B$3:$B$5001,$A$59)))</f>
        <v>51</v>
      </c>
      <c r="N61" s="39">
        <f>IF(N$3="","",IF(COUNTIFS(Base!$A$3:$A$5001,N$3,Base!$B$3:$B$5001,$A$59,Base!$E$3:$E$5001,"&lt;&gt;")=0,"",SUMIFS(Base!$E$3:$E$5001,Base!$A$3:$A$5001,N$3,Base!$B$3:$B$5001,$A$59)))</f>
        <v>144</v>
      </c>
      <c r="O61" s="39">
        <f>IF(O$3="","",IF(COUNTIFS(Base!$A$3:$A$5001,O$3,Base!$B$3:$B$5001,$A$59,Base!$E$3:$E$5001,"&lt;&gt;")=0,"",SUMIFS(Base!$E$3:$E$5001,Base!$A$3:$A$5001,O$3,Base!$B$3:$B$5001,$A$59)))</f>
        <v>178.27</v>
      </c>
      <c r="P61" s="39">
        <f>IF(P$3="","",IF(COUNTIFS(Base!$A$3:$A$5001,P$3,Base!$B$3:$B$5001,$A$59,Base!$E$3:$E$5001,"&lt;&gt;")=0,"",SUMIFS(Base!$E$3:$E$5001,Base!$A$3:$A$5001,P$3,Base!$B$3:$B$5001,$A$59)))</f>
        <v>70.06</v>
      </c>
      <c r="Q61" s="39" t="str">
        <f>IF(Q$3="","",IF(COUNTIFS(Base!$A$3:$A$5001,Q$3,Base!$B$3:$B$5001,$A$59,Base!$E$3:$E$5001,"&lt;&gt;")=0,"",SUMIFS(Base!$E$3:$E$5001,Base!$A$3:$A$5001,Q$3,Base!$B$3:$B$5001,$A$59)))</f>
        <v/>
      </c>
      <c r="R61" s="39">
        <f>IF(R$3="","",IF(COUNTIFS(Base!$A$3:$A$5001,R$3,Base!$B$3:$B$5001,$A$59,Base!$E$3:$E$5001,"&lt;&gt;")=0,"",SUMIFS(Base!$E$3:$E$5001,Base!$A$3:$A$5001,R$3,Base!$B$3:$B$5001,$A$59)))</f>
        <v>23.5</v>
      </c>
      <c r="S61" s="39">
        <f>IF(S$3="","",IF(COUNTIFS(Base!$A$3:$A$5001,S$3,Base!$B$3:$B$5001,$A$59,Base!$E$3:$E$5001,"&lt;&gt;")=0,"",SUMIFS(Base!$E$3:$E$5001,Base!$A$3:$A$5001,S$3,Base!$B$3:$B$5001,$A$59)))</f>
        <v>94.52</v>
      </c>
      <c r="T61" s="39">
        <f>IF(T$3="","",IF(COUNTIFS(Base!$A$3:$A$5001,T$3,Base!$B$3:$B$5001,$A$59,Base!$E$3:$E$5001,"&lt;&gt;")=0,"",SUMIFS(Base!$E$3:$E$5001,Base!$A$3:$A$5001,T$3,Base!$B$3:$B$5001,$A$59)))</f>
        <v>145.67</v>
      </c>
      <c r="U61" s="39">
        <f>IF(U$3="","",IF(COUNTIFS(Base!$A$3:$A$5001,U$3,Base!$B$3:$B$5001,$A$59,Base!$E$3:$E$5001,"&lt;&gt;")=0,"",SUMIFS(Base!$E$3:$E$5001,Base!$A$3:$A$5001,U$3,Base!$B$3:$B$5001,$A$59)))</f>
        <v>49.45</v>
      </c>
      <c r="V61" s="39">
        <f>IF(V$3="","",IF(COUNTIFS(Base!$A$3:$A$5001,V$3,Base!$B$3:$B$5001,$A$59,Base!$E$3:$E$5001,"&lt;&gt;")=0,"",SUMIFS(Base!$E$3:$E$5001,Base!$A$3:$A$5001,V$3,Base!$B$3:$B$5001,$A$59)))</f>
        <v>61.62</v>
      </c>
      <c r="W61" s="39">
        <f>IF(W$3="","",IF(COUNTIFS(Base!$A$3:$A$5001,W$3,Base!$B$3:$B$5001,$A$59,Base!$E$3:$E$5001,"&lt;&gt;")=0,"",SUMIFS(Base!$E$3:$E$5001,Base!$A$3:$A$5001,W$3,Base!$B$3:$B$5001,$A$59)))</f>
        <v>106.37</v>
      </c>
      <c r="X61" s="39" t="str">
        <f>IF(X$3="","",IF(COUNTIFS(Base!$A$3:$A$5001,X$3,Base!$B$3:$B$5001,$A$59,Base!$E$3:$E$5001,"&lt;&gt;")=0,"",SUMIFS(Base!$E$3:$E$5001,Base!$A$3:$A$5001,X$3,Base!$B$3:$B$5001,$A$59)))</f>
        <v/>
      </c>
      <c r="Y61" s="39" t="str">
        <f>IF(Y$3="","",IF(COUNTIFS(Base!$A$3:$A$5001,Y$3,Base!$B$3:$B$5001,$A$59,Base!$E$3:$E$5001,"&lt;&gt;")=0,"",SUMIFS(Base!$E$3:$E$5001,Base!$A$3:$A$5001,Y$3,Base!$B$3:$B$5001,$A$59)))</f>
        <v/>
      </c>
      <c r="Z61" s="39">
        <f>IF(Z$3="","",IF(COUNTIFS(Base!$A$3:$A$5001,Z$3,Base!$B$3:$B$5001,$A$59,Base!$E$3:$E$5001,"&lt;&gt;")=0,"",SUMIFS(Base!$E$3:$E$5001,Base!$A$3:$A$5001,Z$3,Base!$B$3:$B$5001,$A$59)))</f>
        <v>0</v>
      </c>
      <c r="AA61" s="39">
        <f>IF(AA$3="","",IF(COUNTIFS(Base!$A$3:$A$5001,AA$3,Base!$B$3:$B$5001,$A$59,Base!$E$3:$E$5001,"&lt;&gt;")=0,"",SUMIFS(Base!$E$3:$E$5001,Base!$A$3:$A$5001,AA$3,Base!$B$3:$B$5001,$A$59)))</f>
        <v>63.7</v>
      </c>
      <c r="AB61" s="39">
        <f>IF(AB$3="","",IF(COUNTIFS(Base!$A$3:$A$5001,AB$3,Base!$B$3:$B$5001,$A$59,Base!$E$3:$E$5001,"&lt;&gt;")=0,"",SUMIFS(Base!$E$3:$E$5001,Base!$A$3:$A$5001,AB$3,Base!$B$3:$B$5001,$A$59)))</f>
        <v>106.46</v>
      </c>
      <c r="AC61" s="39">
        <f>IF(AC$3="","",IF(COUNTIFS(Base!$A$3:$A$5001,AC$3,Base!$B$3:$B$5001,$A$59,Base!$E$3:$E$5001,"&lt;&gt;")=0,"",SUMIFS(Base!$E$3:$E$5001,Base!$A$3:$A$5001,AC$3,Base!$B$3:$B$5001,$A$59)))</f>
        <v>55.52</v>
      </c>
      <c r="AD61" s="39">
        <f>IF(AD$3="","",IF(COUNTIFS(Base!$A$3:$A$5001,AD$3,Base!$B$3:$B$5001,$A$59,Base!$E$3:$E$5001,"&lt;&gt;")=0,"",SUMIFS(Base!$E$3:$E$5001,Base!$A$3:$A$5001,AD$3,Base!$B$3:$B$5001,$A$59)))</f>
        <v>69.29</v>
      </c>
      <c r="AE61" s="39" t="str">
        <f>IF(AE$3="","",IF(COUNTIFS(Base!$A$3:$A$5001,AE$3,Base!$B$3:$B$5001,$A$59,Base!$E$3:$E$5001,"&lt;&gt;")=0,"",SUMIFS(Base!$E$3:$E$5001,Base!$A$3:$A$5001,AE$3,Base!$B$3:$B$5001,$A$59)))</f>
        <v/>
      </c>
      <c r="AF61" s="39" t="str">
        <f>IF(AF$3="","",IF(COUNTIFS(Base!$A$3:$A$5001,AF$3,Base!$B$3:$B$5001,$A$59,Base!$E$3:$E$5001,"&lt;&gt;")=0,"",SUMIFS(Base!$E$3:$E$5001,Base!$A$3:$A$5001,AF$3,Base!$B$3:$B$5001,$A$59)))</f>
        <v/>
      </c>
      <c r="AG61" s="39">
        <f>IF(AG$3="","",IF(COUNTIFS(Base!$A$3:$A$5001,AG$3,Base!$B$3:$B$5001,$A$59,Base!$E$3:$E$5001,"&lt;&gt;")=0,"",SUMIFS(Base!$E$3:$E$5001,Base!$A$3:$A$5001,AG$3,Base!$B$3:$B$5001,$A$59)))</f>
        <v>107.8</v>
      </c>
      <c r="AH61" s="39">
        <f>IF(AH$3="","",IF(COUNTIFS(Base!$A$3:$A$5001,AH$3,Base!$B$3:$B$5001,$A$59,Base!$E$3:$E$5001,"&lt;&gt;")=0,"",SUMIFS(Base!$E$3:$E$5001,Base!$A$3:$A$5001,AH$3,Base!$B$3:$B$5001,$A$59)))</f>
        <v>12.64</v>
      </c>
      <c r="AI61" s="39" t="str">
        <f>IF(AI$3="","",IF(COUNTIFS(Base!$A$3:$A$5001,AI$3,Base!$B$3:$B$5001,$A$59,Base!$E$3:$E$5001,"&lt;&gt;")=0,"",SUMIFS(Base!$E$3:$E$5001,Base!$A$3:$A$5001,AI$3,Base!$B$3:$B$5001,$A$59)))</f>
        <v/>
      </c>
      <c r="AJ61" s="40" t="str">
        <f>IF(AJ$3="","",IF(COUNTIFS(Base!$A$3:$A$5001,AJ$3,Base!$B$3:$B$5001,$A$59,Base!$E$3:$E$5001,"&lt;&gt;")=0,"",SUMIFS(Base!$E$3:$E$5001,Base!$A$3:$A$5001,AJ$3,Base!$B$3:$B$5001,$A$59)))</f>
        <v/>
      </c>
      <c r="AK61" s="36">
        <f>IF(COUNT(F61:AJ61)=0,"",SUM(F61:AJ61))</f>
        <v>1592.76</v>
      </c>
    </row>
    <row r="62" ht="15.75" customHeight="1">
      <c r="A62" s="118"/>
      <c r="B62" s="108" t="inlineStr">
        <is>
          <t xml:space="preserve">OUT</t>
        </is>
      </c>
      <c r="C62" s="41" t="inlineStr">
        <is>
          <t xml:space="preserve">Veículos Expedidos</t>
        </is>
      </c>
      <c r="D62" s="42"/>
      <c r="E62" s="43"/>
      <c r="F62" s="44">
        <f>IF(F$3="","",IF(COUNTIFS(Base!$A$3:$A$5001,F$3,Base!$B$3:$B$5001,$A$59,Base!$F$3:$F$5001,"&lt;&gt;")=0,"",SUMIFS(Base!$F$3:$F$5001,Base!$A$3:$A$5001,F$3,Base!$B$3:$B$5001,$A$59)))</f>
        <v>0</v>
      </c>
      <c r="G62" s="45">
        <f>IF(G$3="","",IF(COUNTIFS(Base!$A$3:$A$5001,G$3,Base!$B$3:$B$5001,$A$59,Base!$F$3:$F$5001,"&lt;&gt;")=0,"",SUMIFS(Base!$F$3:$F$5001,Base!$A$3:$A$5001,G$3,Base!$B$3:$B$5001,$A$59)))</f>
        <v>5</v>
      </c>
      <c r="H62" s="45">
        <f>IF(H$3="","",IF(COUNTIFS(Base!$A$3:$A$5001,H$3,Base!$B$3:$B$5001,$A$59,Base!$F$3:$F$5001,"&lt;&gt;")=0,"",SUMIFS(Base!$F$3:$F$5001,Base!$A$3:$A$5001,H$3,Base!$B$3:$B$5001,$A$59)))</f>
        <v>5</v>
      </c>
      <c r="I62" s="45">
        <f>IF(I$3="","",IF(COUNTIFS(Base!$A$3:$A$5001,I$3,Base!$B$3:$B$5001,$A$59,Base!$F$3:$F$5001,"&lt;&gt;")=0,"",SUMIFS(Base!$F$3:$F$5001,Base!$A$3:$A$5001,I$3,Base!$B$3:$B$5001,$A$59)))</f>
        <v>11</v>
      </c>
      <c r="J62" s="45">
        <f>IF(J$3="","",IF(COUNTIFS(Base!$A$3:$A$5001,J$3,Base!$B$3:$B$5001,$A$59,Base!$F$3:$F$5001,"&lt;&gt;")=0,"",SUMIFS(Base!$F$3:$F$5001,Base!$A$3:$A$5001,J$3,Base!$B$3:$B$5001,$A$59)))</f>
        <v>9</v>
      </c>
      <c r="K62" s="45" t="str">
        <f>IF(K$3="","",IF(COUNTIFS(Base!$A$3:$A$5001,K$3,Base!$B$3:$B$5001,$A$59,Base!$F$3:$F$5001,"&lt;&gt;")=0,"",SUMIFS(Base!$F$3:$F$5001,Base!$A$3:$A$5001,K$3,Base!$B$3:$B$5001,$A$59)))</f>
        <v/>
      </c>
      <c r="L62" s="45">
        <f>IF(L$3="","",IF(COUNTIFS(Base!$A$3:$A$5001,L$3,Base!$B$3:$B$5001,$A$59,Base!$F$3:$F$5001,"&lt;&gt;")=0,"",SUMIFS(Base!$F$3:$F$5001,Base!$A$3:$A$5001,L$3,Base!$B$3:$B$5001,$A$59)))</f>
        <v>3</v>
      </c>
      <c r="M62" s="45">
        <f>IF(M$3="","",IF(COUNTIFS(Base!$A$3:$A$5001,M$3,Base!$B$3:$B$5001,$A$59,Base!$F$3:$F$5001,"&lt;&gt;")=0,"",SUMIFS(Base!$F$3:$F$5001,Base!$A$3:$A$5001,M$3,Base!$B$3:$B$5001,$A$59)))</f>
        <v>3</v>
      </c>
      <c r="N62" s="45">
        <f>IF(N$3="","",IF(COUNTIFS(Base!$A$3:$A$5001,N$3,Base!$B$3:$B$5001,$A$59,Base!$F$3:$F$5001,"&lt;&gt;")=0,"",SUMIFS(Base!$F$3:$F$5001,Base!$A$3:$A$5001,N$3,Base!$B$3:$B$5001,$A$59)))</f>
        <v>10</v>
      </c>
      <c r="O62" s="45">
        <f>IF(O$3="","",IF(COUNTIFS(Base!$A$3:$A$5001,O$3,Base!$B$3:$B$5001,$A$59,Base!$F$3:$F$5001,"&lt;&gt;")=0,"",SUMIFS(Base!$F$3:$F$5001,Base!$A$3:$A$5001,O$3,Base!$B$3:$B$5001,$A$59)))</f>
        <v>4</v>
      </c>
      <c r="P62" s="45">
        <f>IF(P$3="","",IF(COUNTIFS(Base!$A$3:$A$5001,P$3,Base!$B$3:$B$5001,$A$59,Base!$F$3:$F$5001,"&lt;&gt;")=0,"",SUMIFS(Base!$F$3:$F$5001,Base!$A$3:$A$5001,P$3,Base!$B$3:$B$5001,$A$59)))</f>
        <v>10</v>
      </c>
      <c r="Q62" s="45" t="str">
        <f>IF(Q$3="","",IF(COUNTIFS(Base!$A$3:$A$5001,Q$3,Base!$B$3:$B$5001,$A$59,Base!$F$3:$F$5001,"&lt;&gt;")=0,"",SUMIFS(Base!$F$3:$F$5001,Base!$A$3:$A$5001,Q$3,Base!$B$3:$B$5001,$A$59)))</f>
        <v/>
      </c>
      <c r="R62" s="45">
        <f>IF(R$3="","",IF(COUNTIFS(Base!$A$3:$A$5001,R$3,Base!$B$3:$B$5001,$A$59,Base!$F$3:$F$5001,"&lt;&gt;")=0,"",SUMIFS(Base!$F$3:$F$5001,Base!$A$3:$A$5001,R$3,Base!$B$3:$B$5001,$A$59)))</f>
        <v>2</v>
      </c>
      <c r="S62" s="45">
        <f>IF(S$3="","",IF(COUNTIFS(Base!$A$3:$A$5001,S$3,Base!$B$3:$B$5001,$A$59,Base!$F$3:$F$5001,"&lt;&gt;")=0,"",SUMIFS(Base!$F$3:$F$5001,Base!$A$3:$A$5001,S$3,Base!$B$3:$B$5001,$A$59)))</f>
        <v>7</v>
      </c>
      <c r="T62" s="45">
        <f>IF(T$3="","",IF(COUNTIFS(Base!$A$3:$A$5001,T$3,Base!$B$3:$B$5001,$A$59,Base!$F$3:$F$5001,"&lt;&gt;")=0,"",SUMIFS(Base!$F$3:$F$5001,Base!$A$3:$A$5001,T$3,Base!$B$3:$B$5001,$A$59)))</f>
        <v>5</v>
      </c>
      <c r="U62" s="45">
        <f>IF(U$3="","",IF(COUNTIFS(Base!$A$3:$A$5001,U$3,Base!$B$3:$B$5001,$A$59,Base!$F$3:$F$5001,"&lt;&gt;")=0,"",SUMIFS(Base!$F$3:$F$5001,Base!$A$3:$A$5001,U$3,Base!$B$3:$B$5001,$A$59)))</f>
        <v>0</v>
      </c>
      <c r="V62" s="45">
        <f>IF(V$3="","",IF(COUNTIFS(Base!$A$3:$A$5001,V$3,Base!$B$3:$B$5001,$A$59,Base!$F$3:$F$5001,"&lt;&gt;")=0,"",SUMIFS(Base!$F$3:$F$5001,Base!$A$3:$A$5001,V$3,Base!$B$3:$B$5001,$A$59)))</f>
        <v>8</v>
      </c>
      <c r="W62" s="45">
        <f>IF(W$3="","",IF(COUNTIFS(Base!$A$3:$A$5001,W$3,Base!$B$3:$B$5001,$A$59,Base!$F$3:$F$5001,"&lt;&gt;")=0,"",SUMIFS(Base!$F$3:$F$5001,Base!$A$3:$A$5001,W$3,Base!$B$3:$B$5001,$A$59)))</f>
        <v>6</v>
      </c>
      <c r="X62" s="45" t="str">
        <f>IF(X$3="","",IF(COUNTIFS(Base!$A$3:$A$5001,X$3,Base!$B$3:$B$5001,$A$59,Base!$F$3:$F$5001,"&lt;&gt;")=0,"",SUMIFS(Base!$F$3:$F$5001,Base!$A$3:$A$5001,X$3,Base!$B$3:$B$5001,$A$59)))</f>
        <v/>
      </c>
      <c r="Y62" s="45" t="str">
        <f>IF(Y$3="","",IF(COUNTIFS(Base!$A$3:$A$5001,Y$3,Base!$B$3:$B$5001,$A$59,Base!$F$3:$F$5001,"&lt;&gt;")=0,"",SUMIFS(Base!$F$3:$F$5001,Base!$A$3:$A$5001,Y$3,Base!$B$3:$B$5001,$A$59)))</f>
        <v/>
      </c>
      <c r="Z62" s="45">
        <f>IF(Z$3="","",IF(COUNTIFS(Base!$A$3:$A$5001,Z$3,Base!$B$3:$B$5001,$A$59,Base!$F$3:$F$5001,"&lt;&gt;")=0,"",SUMIFS(Base!$F$3:$F$5001,Base!$A$3:$A$5001,Z$3,Base!$B$3:$B$5001,$A$59)))</f>
        <v>9</v>
      </c>
      <c r="AA62" s="45">
        <f>IF(AA$3="","",IF(COUNTIFS(Base!$A$3:$A$5001,AA$3,Base!$B$3:$B$5001,$A$59,Base!$F$3:$F$5001,"&lt;&gt;")=0,"",SUMIFS(Base!$F$3:$F$5001,Base!$A$3:$A$5001,AA$3,Base!$B$3:$B$5001,$A$59)))</f>
        <v>5</v>
      </c>
      <c r="AB62" s="45">
        <f>IF(AB$3="","",IF(COUNTIFS(Base!$A$3:$A$5001,AB$3,Base!$B$3:$B$5001,$A$59,Base!$F$3:$F$5001,"&lt;&gt;")=0,"",SUMIFS(Base!$F$3:$F$5001,Base!$A$3:$A$5001,AB$3,Base!$B$3:$B$5001,$A$59)))</f>
        <v>3</v>
      </c>
      <c r="AC62" s="45">
        <f>IF(AC$3="","",IF(COUNTIFS(Base!$A$3:$A$5001,AC$3,Base!$B$3:$B$5001,$A$59,Base!$F$3:$F$5001,"&lt;&gt;")=0,"",SUMIFS(Base!$F$3:$F$5001,Base!$A$3:$A$5001,AC$3,Base!$B$3:$B$5001,$A$59)))</f>
        <v>4</v>
      </c>
      <c r="AD62" s="45">
        <f>IF(AD$3="","",IF(COUNTIFS(Base!$A$3:$A$5001,AD$3,Base!$B$3:$B$5001,$A$59,Base!$F$3:$F$5001,"&lt;&gt;")=0,"",SUMIFS(Base!$F$3:$F$5001,Base!$A$3:$A$5001,AD$3,Base!$B$3:$B$5001,$A$59)))</f>
        <v>6</v>
      </c>
      <c r="AE62" s="45" t="str">
        <f>IF(AE$3="","",IF(COUNTIFS(Base!$A$3:$A$5001,AE$3,Base!$B$3:$B$5001,$A$59,Base!$F$3:$F$5001,"&lt;&gt;")=0,"",SUMIFS(Base!$F$3:$F$5001,Base!$A$3:$A$5001,AE$3,Base!$B$3:$B$5001,$A$59)))</f>
        <v/>
      </c>
      <c r="AF62" s="45" t="str">
        <f>IF(AF$3="","",IF(COUNTIFS(Base!$A$3:$A$5001,AF$3,Base!$B$3:$B$5001,$A$59,Base!$F$3:$F$5001,"&lt;&gt;")=0,"",SUMIFS(Base!$F$3:$F$5001,Base!$A$3:$A$5001,AF$3,Base!$B$3:$B$5001,$A$59)))</f>
        <v/>
      </c>
      <c r="AG62" s="45">
        <f>IF(AG$3="","",IF(COUNTIFS(Base!$A$3:$A$5001,AG$3,Base!$B$3:$B$5001,$A$59,Base!$F$3:$F$5001,"&lt;&gt;")=0,"",SUMIFS(Base!$F$3:$F$5001,Base!$A$3:$A$5001,AG$3,Base!$B$3:$B$5001,$A$59)))</f>
        <v>12</v>
      </c>
      <c r="AH62" s="45">
        <f>IF(AH$3="","",IF(COUNTIFS(Base!$A$3:$A$5001,AH$3,Base!$B$3:$B$5001,$A$59,Base!$F$3:$F$5001,"&lt;&gt;")=0,"",SUMIFS(Base!$F$3:$F$5001,Base!$A$3:$A$5001,AH$3,Base!$B$3:$B$5001,$A$59)))</f>
        <v>3</v>
      </c>
      <c r="AI62" s="45" t="str">
        <f>IF(AI$3="","",IF(COUNTIFS(Base!$A$3:$A$5001,AI$3,Base!$B$3:$B$5001,$A$59,Base!$F$3:$F$5001,"&lt;&gt;")=0,"",SUMIFS(Base!$F$3:$F$5001,Base!$A$3:$A$5001,AI$3,Base!$B$3:$B$5001,$A$59)))</f>
        <v/>
      </c>
      <c r="AJ62" s="46" t="str">
        <f>IF(AJ$3="","",IF(COUNTIFS(Base!$A$3:$A$5001,AJ$3,Base!$B$3:$B$5001,$A$59,Base!$F$3:$F$5001,"&lt;&gt;")=0,"",SUMIFS(Base!$F$3:$F$5001,Base!$A$3:$A$5001,AJ$3,Base!$B$3:$B$5001,$A$59)))</f>
        <v/>
      </c>
      <c r="AK62" s="47">
        <f>IF(COUNT(F62:AJ62)=0,"",SUM(F62:AJ62))</f>
        <v>130</v>
      </c>
    </row>
    <row r="63" ht="15.75" customHeight="1">
      <c r="A63" s="118"/>
      <c r="B63" s="109"/>
      <c r="C63" s="48" t="inlineStr">
        <is>
          <t xml:space="preserve">Pallets Movimentados</t>
        </is>
      </c>
      <c r="D63" s="49"/>
      <c r="E63" s="50"/>
      <c r="F63" s="51">
        <f>IF(F$3="","",IF(COUNTIFS(Base!$A$3:$A$5001,F$3,Base!$B$3:$B$5001,$A$59,Base!$G$3:$G$5001,"&lt;&gt;")=0,"",SUMIFS(Base!$G$3:$G$5001,Base!$A$3:$A$5001,F$3,Base!$B$3:$B$5001,$A$59)))</f>
        <v>0</v>
      </c>
      <c r="G63" s="52">
        <f>IF(G$3="","",IF(COUNTIFS(Base!$A$3:$A$5001,G$3,Base!$B$3:$B$5001,$A$59,Base!$G$3:$G$5001,"&lt;&gt;")=0,"",SUMIFS(Base!$G$3:$G$5001,Base!$A$3:$A$5001,G$3,Base!$B$3:$B$5001,$A$59)))</f>
        <v>90</v>
      </c>
      <c r="H63" s="52">
        <f>IF(H$3="","",IF(COUNTIFS(Base!$A$3:$A$5001,H$3,Base!$B$3:$B$5001,$A$59,Base!$G$3:$G$5001,"&lt;&gt;")=0,"",SUMIFS(Base!$G$3:$G$5001,Base!$A$3:$A$5001,H$3,Base!$B$3:$B$5001,$A$59)))</f>
        <v>90</v>
      </c>
      <c r="I63" s="52">
        <f>IF(I$3="","",IF(COUNTIFS(Base!$A$3:$A$5001,I$3,Base!$B$3:$B$5001,$A$59,Base!$G$3:$G$5001,"&lt;&gt;")=0,"",SUMIFS(Base!$G$3:$G$5001,Base!$A$3:$A$5001,I$3,Base!$B$3:$B$5001,$A$59)))</f>
        <v>198</v>
      </c>
      <c r="J63" s="52">
        <f>IF(J$3="","",IF(COUNTIFS(Base!$A$3:$A$5001,J$3,Base!$B$3:$B$5001,$A$59,Base!$G$3:$G$5001,"&lt;&gt;")=0,"",SUMIFS(Base!$G$3:$G$5001,Base!$A$3:$A$5001,J$3,Base!$B$3:$B$5001,$A$59)))</f>
        <v>162</v>
      </c>
      <c r="K63" s="52" t="str">
        <f>IF(K$3="","",IF(COUNTIFS(Base!$A$3:$A$5001,K$3,Base!$B$3:$B$5001,$A$59,Base!$G$3:$G$5001,"&lt;&gt;")=0,"",SUMIFS(Base!$G$3:$G$5001,Base!$A$3:$A$5001,K$3,Base!$B$3:$B$5001,$A$59)))</f>
        <v/>
      </c>
      <c r="L63" s="52">
        <f>IF(L$3="","",IF(COUNTIFS(Base!$A$3:$A$5001,L$3,Base!$B$3:$B$5001,$A$59,Base!$G$3:$G$5001,"&lt;&gt;")=0,"",SUMIFS(Base!$G$3:$G$5001,Base!$A$3:$A$5001,L$3,Base!$B$3:$B$5001,$A$59)))</f>
        <v>54</v>
      </c>
      <c r="M63" s="52">
        <f>IF(M$3="","",IF(COUNTIFS(Base!$A$3:$A$5001,M$3,Base!$B$3:$B$5001,$A$59,Base!$G$3:$G$5001,"&lt;&gt;")=0,"",SUMIFS(Base!$G$3:$G$5001,Base!$A$3:$A$5001,M$3,Base!$B$3:$B$5001,$A$59)))</f>
        <v>54</v>
      </c>
      <c r="N63" s="52">
        <f>IF(N$3="","",IF(COUNTIFS(Base!$A$3:$A$5001,N$3,Base!$B$3:$B$5001,$A$59,Base!$G$3:$G$5001,"&lt;&gt;")=0,"",SUMIFS(Base!$G$3:$G$5001,Base!$A$3:$A$5001,N$3,Base!$B$3:$B$5001,$A$59)))</f>
        <v>180</v>
      </c>
      <c r="O63" s="52">
        <f>IF(O$3="","",IF(COUNTIFS(Base!$A$3:$A$5001,O$3,Base!$B$3:$B$5001,$A$59,Base!$G$3:$G$5001,"&lt;&gt;")=0,"",SUMIFS(Base!$G$3:$G$5001,Base!$A$3:$A$5001,O$3,Base!$B$3:$B$5001,$A$59)))</f>
        <v>72</v>
      </c>
      <c r="P63" s="52">
        <f>IF(P$3="","",IF(COUNTIFS(Base!$A$3:$A$5001,P$3,Base!$B$3:$B$5001,$A$59,Base!$G$3:$G$5001,"&lt;&gt;")=0,"",SUMIFS(Base!$G$3:$G$5001,Base!$A$3:$A$5001,P$3,Base!$B$3:$B$5001,$A$59)))</f>
        <v>180</v>
      </c>
      <c r="Q63" s="52" t="str">
        <f>IF(Q$3="","",IF(COUNTIFS(Base!$A$3:$A$5001,Q$3,Base!$B$3:$B$5001,$A$59,Base!$G$3:$G$5001,"&lt;&gt;")=0,"",SUMIFS(Base!$G$3:$G$5001,Base!$A$3:$A$5001,Q$3,Base!$B$3:$B$5001,$A$59)))</f>
        <v/>
      </c>
      <c r="R63" s="52">
        <f>IF(R$3="","",IF(COUNTIFS(Base!$A$3:$A$5001,R$3,Base!$B$3:$B$5001,$A$59,Base!$G$3:$G$5001,"&lt;&gt;")=0,"",SUMIFS(Base!$G$3:$G$5001,Base!$A$3:$A$5001,R$3,Base!$B$3:$B$5001,$A$59)))</f>
        <v>36</v>
      </c>
      <c r="S63" s="52">
        <f>IF(S$3="","",IF(COUNTIFS(Base!$A$3:$A$5001,S$3,Base!$B$3:$B$5001,$A$59,Base!$G$3:$G$5001,"&lt;&gt;")=0,"",SUMIFS(Base!$G$3:$G$5001,Base!$A$3:$A$5001,S$3,Base!$B$3:$B$5001,$A$59)))</f>
        <v>126</v>
      </c>
      <c r="T63" s="52">
        <f>IF(T$3="","",IF(COUNTIFS(Base!$A$3:$A$5001,T$3,Base!$B$3:$B$5001,$A$59,Base!$G$3:$G$5001,"&lt;&gt;")=0,"",SUMIFS(Base!$G$3:$G$5001,Base!$A$3:$A$5001,T$3,Base!$B$3:$B$5001,$A$59)))</f>
        <v>90</v>
      </c>
      <c r="U63" s="52">
        <f>IF(U$3="","",IF(COUNTIFS(Base!$A$3:$A$5001,U$3,Base!$B$3:$B$5001,$A$59,Base!$G$3:$G$5001,"&lt;&gt;")=0,"",SUMIFS(Base!$G$3:$G$5001,Base!$A$3:$A$5001,U$3,Base!$B$3:$B$5001,$A$59)))</f>
        <v>0</v>
      </c>
      <c r="V63" s="52">
        <f>IF(V$3="","",IF(COUNTIFS(Base!$A$3:$A$5001,V$3,Base!$B$3:$B$5001,$A$59,Base!$G$3:$G$5001,"&lt;&gt;")=0,"",SUMIFS(Base!$G$3:$G$5001,Base!$A$3:$A$5001,V$3,Base!$B$3:$B$5001,$A$59)))</f>
        <v>144</v>
      </c>
      <c r="W63" s="52">
        <f>IF(W$3="","",IF(COUNTIFS(Base!$A$3:$A$5001,W$3,Base!$B$3:$B$5001,$A$59,Base!$G$3:$G$5001,"&lt;&gt;")=0,"",SUMIFS(Base!$G$3:$G$5001,Base!$A$3:$A$5001,W$3,Base!$B$3:$B$5001,$A$59)))</f>
        <v>108</v>
      </c>
      <c r="X63" s="52" t="str">
        <f>IF(X$3="","",IF(COUNTIFS(Base!$A$3:$A$5001,X$3,Base!$B$3:$B$5001,$A$59,Base!$G$3:$G$5001,"&lt;&gt;")=0,"",SUMIFS(Base!$G$3:$G$5001,Base!$A$3:$A$5001,X$3,Base!$B$3:$B$5001,$A$59)))</f>
        <v/>
      </c>
      <c r="Y63" s="52" t="str">
        <f>IF(Y$3="","",IF(COUNTIFS(Base!$A$3:$A$5001,Y$3,Base!$B$3:$B$5001,$A$59,Base!$G$3:$G$5001,"&lt;&gt;")=0,"",SUMIFS(Base!$G$3:$G$5001,Base!$A$3:$A$5001,Y$3,Base!$B$3:$B$5001,$A$59)))</f>
        <v/>
      </c>
      <c r="Z63" s="52">
        <f>IF(Z$3="","",IF(COUNTIFS(Base!$A$3:$A$5001,Z$3,Base!$B$3:$B$5001,$A$59,Base!$G$3:$G$5001,"&lt;&gt;")=0,"",SUMIFS(Base!$G$3:$G$5001,Base!$A$3:$A$5001,Z$3,Base!$B$3:$B$5001,$A$59)))</f>
        <v>162</v>
      </c>
      <c r="AA63" s="52">
        <f>IF(AA$3="","",IF(COUNTIFS(Base!$A$3:$A$5001,AA$3,Base!$B$3:$B$5001,$A$59,Base!$G$3:$G$5001,"&lt;&gt;")=0,"",SUMIFS(Base!$G$3:$G$5001,Base!$A$3:$A$5001,AA$3,Base!$B$3:$B$5001,$A$59)))</f>
        <v>90</v>
      </c>
      <c r="AB63" s="52">
        <f>IF(AB$3="","",IF(COUNTIFS(Base!$A$3:$A$5001,AB$3,Base!$B$3:$B$5001,$A$59,Base!$G$3:$G$5001,"&lt;&gt;")=0,"",SUMIFS(Base!$G$3:$G$5001,Base!$A$3:$A$5001,AB$3,Base!$B$3:$B$5001,$A$59)))</f>
        <v>54</v>
      </c>
      <c r="AC63" s="52">
        <f>IF(AC$3="","",IF(COUNTIFS(Base!$A$3:$A$5001,AC$3,Base!$B$3:$B$5001,$A$59,Base!$G$3:$G$5001,"&lt;&gt;")=0,"",SUMIFS(Base!$G$3:$G$5001,Base!$A$3:$A$5001,AC$3,Base!$B$3:$B$5001,$A$59)))</f>
        <v>72</v>
      </c>
      <c r="AD63" s="52">
        <f>IF(AD$3="","",IF(COUNTIFS(Base!$A$3:$A$5001,AD$3,Base!$B$3:$B$5001,$A$59,Base!$G$3:$G$5001,"&lt;&gt;")=0,"",SUMIFS(Base!$G$3:$G$5001,Base!$A$3:$A$5001,AD$3,Base!$B$3:$B$5001,$A$59)))</f>
        <v>108</v>
      </c>
      <c r="AE63" s="52" t="str">
        <f>IF(AE$3="","",IF(COUNTIFS(Base!$A$3:$A$5001,AE$3,Base!$B$3:$B$5001,$A$59,Base!$G$3:$G$5001,"&lt;&gt;")=0,"",SUMIFS(Base!$G$3:$G$5001,Base!$A$3:$A$5001,AE$3,Base!$B$3:$B$5001,$A$59)))</f>
        <v/>
      </c>
      <c r="AF63" s="52" t="str">
        <f>IF(AF$3="","",IF(COUNTIFS(Base!$A$3:$A$5001,AF$3,Base!$B$3:$B$5001,$A$59,Base!$G$3:$G$5001,"&lt;&gt;")=0,"",SUMIFS(Base!$G$3:$G$5001,Base!$A$3:$A$5001,AF$3,Base!$B$3:$B$5001,$A$59)))</f>
        <v/>
      </c>
      <c r="AG63" s="52">
        <f>IF(AG$3="","",IF(COUNTIFS(Base!$A$3:$A$5001,AG$3,Base!$B$3:$B$5001,$A$59,Base!$G$3:$G$5001,"&lt;&gt;")=0,"",SUMIFS(Base!$G$3:$G$5001,Base!$A$3:$A$5001,AG$3,Base!$B$3:$B$5001,$A$59)))</f>
        <v>216</v>
      </c>
      <c r="AH63" s="52">
        <f>IF(AH$3="","",IF(COUNTIFS(Base!$A$3:$A$5001,AH$3,Base!$B$3:$B$5001,$A$59,Base!$G$3:$G$5001,"&lt;&gt;")=0,"",SUMIFS(Base!$G$3:$G$5001,Base!$A$3:$A$5001,AH$3,Base!$B$3:$B$5001,$A$59)))</f>
        <v>54</v>
      </c>
      <c r="AI63" s="52" t="str">
        <f>IF(AI$3="","",IF(COUNTIFS(Base!$A$3:$A$5001,AI$3,Base!$B$3:$B$5001,$A$59,Base!$G$3:$G$5001,"&lt;&gt;")=0,"",SUMIFS(Base!$G$3:$G$5001,Base!$A$3:$A$5001,AI$3,Base!$B$3:$B$5001,$A$59)))</f>
        <v/>
      </c>
      <c r="AJ63" s="53" t="str">
        <f>IF(AJ$3="","",IF(COUNTIFS(Base!$A$3:$A$5001,AJ$3,Base!$B$3:$B$5001,$A$59,Base!$G$3:$G$5001,"&lt;&gt;")=0,"",SUMIFS(Base!$G$3:$G$5001,Base!$A$3:$A$5001,AJ$3,Base!$B$3:$B$5001,$A$59)))</f>
        <v/>
      </c>
      <c r="AK63" s="54">
        <f>IF(COUNT(F63:AJ63)=0,"",SUM(F63:AJ63))</f>
        <v>2340</v>
      </c>
    </row>
    <row r="64" ht="15.75" customHeight="1">
      <c r="A64" s="118"/>
      <c r="B64" s="110"/>
      <c r="C64" s="55" t="inlineStr">
        <is>
          <t xml:space="preserve">Toneladas Movimentadas</t>
        </is>
      </c>
      <c r="D64" s="56"/>
      <c r="E64" s="57"/>
      <c r="F64" s="58">
        <f>IF(F$3="","",IF(COUNTIFS(Base!$A$3:$A$5001,F$3,Base!$B$3:$B$5001,$A$59,Base!$H$3:$H$5001,"&lt;&gt;")=0,"",SUMIFS(Base!$H$3:$H$5001,Base!$A$3:$A$5001,F$3,Base!$B$3:$B$5001,$A$59)))</f>
        <v>0</v>
      </c>
      <c r="G64" s="59">
        <f>IF(G$3="","",IF(COUNTIFS(Base!$A$3:$A$5001,G$3,Base!$B$3:$B$5001,$A$59,Base!$H$3:$H$5001,"&lt;&gt;")=0,"",SUMIFS(Base!$H$3:$H$5001,Base!$A$3:$A$5001,G$3,Base!$B$3:$B$5001,$A$59)))</f>
        <v>46.19</v>
      </c>
      <c r="H64" s="59">
        <f>IF(H$3="","",IF(COUNTIFS(Base!$A$3:$A$5001,H$3,Base!$B$3:$B$5001,$A$59,Base!$H$3:$H$5001,"&lt;&gt;")=0,"",SUMIFS(Base!$H$3:$H$5001,Base!$A$3:$A$5001,H$3,Base!$B$3:$B$5001,$A$59)))</f>
        <v>55.1</v>
      </c>
      <c r="I64" s="59">
        <f>IF(I$3="","",IF(COUNTIFS(Base!$A$3:$A$5001,I$3,Base!$B$3:$B$5001,$A$59,Base!$H$3:$H$5001,"&lt;&gt;")=0,"",SUMIFS(Base!$H$3:$H$5001,Base!$A$3:$A$5001,I$3,Base!$B$3:$B$5001,$A$59)))</f>
        <v>82.16</v>
      </c>
      <c r="J64" s="59">
        <f>IF(J$3="","",IF(COUNTIFS(Base!$A$3:$A$5001,J$3,Base!$B$3:$B$5001,$A$59,Base!$H$3:$H$5001,"&lt;&gt;")=0,"",SUMIFS(Base!$H$3:$H$5001,Base!$A$3:$A$5001,J$3,Base!$B$3:$B$5001,$A$59)))</f>
        <v>114.96</v>
      </c>
      <c r="K64" s="59" t="str">
        <f>IF(K$3="","",IF(COUNTIFS(Base!$A$3:$A$5001,K$3,Base!$B$3:$B$5001,$A$59,Base!$H$3:$H$5001,"&lt;&gt;")=0,"",SUMIFS(Base!$H$3:$H$5001,Base!$A$3:$A$5001,K$3,Base!$B$3:$B$5001,$A$59)))</f>
        <v/>
      </c>
      <c r="L64" s="59">
        <f>IF(L$3="","",IF(COUNTIFS(Base!$A$3:$A$5001,L$3,Base!$B$3:$B$5001,$A$59,Base!$H$3:$H$5001,"&lt;&gt;")=0,"",SUMIFS(Base!$H$3:$H$5001,Base!$A$3:$A$5001,L$3,Base!$B$3:$B$5001,$A$59)))</f>
        <v>40.29</v>
      </c>
      <c r="M64" s="59">
        <f>IF(M$3="","",IF(COUNTIFS(Base!$A$3:$A$5001,M$3,Base!$B$3:$B$5001,$A$59,Base!$H$3:$H$5001,"&lt;&gt;")=0,"",SUMIFS(Base!$H$3:$H$5001,Base!$A$3:$A$5001,M$3,Base!$B$3:$B$5001,$A$59)))</f>
        <v>35.34</v>
      </c>
      <c r="N64" s="59">
        <f>IF(N$3="","",IF(COUNTIFS(Base!$A$3:$A$5001,N$3,Base!$B$3:$B$5001,$A$59,Base!$H$3:$H$5001,"&lt;&gt;")=0,"",SUMIFS(Base!$H$3:$H$5001,Base!$A$3:$A$5001,N$3,Base!$B$3:$B$5001,$A$59)))</f>
        <v>53.08</v>
      </c>
      <c r="O64" s="59">
        <f>IF(O$3="","",IF(COUNTIFS(Base!$A$3:$A$5001,O$3,Base!$B$3:$B$5001,$A$59,Base!$H$3:$H$5001,"&lt;&gt;")=0,"",SUMIFS(Base!$H$3:$H$5001,Base!$A$3:$A$5001,O$3,Base!$B$3:$B$5001,$A$59)))</f>
        <v>22.78</v>
      </c>
      <c r="P64" s="59">
        <f>IF(P$3="","",IF(COUNTIFS(Base!$A$3:$A$5001,P$3,Base!$B$3:$B$5001,$A$59,Base!$H$3:$H$5001,"&lt;&gt;")=0,"",SUMIFS(Base!$H$3:$H$5001,Base!$A$3:$A$5001,P$3,Base!$B$3:$B$5001,$A$59)))</f>
        <v>121.32</v>
      </c>
      <c r="Q64" s="59" t="str">
        <f>IF(Q$3="","",IF(COUNTIFS(Base!$A$3:$A$5001,Q$3,Base!$B$3:$B$5001,$A$59,Base!$H$3:$H$5001,"&lt;&gt;")=0,"",SUMIFS(Base!$H$3:$H$5001,Base!$A$3:$A$5001,Q$3,Base!$B$3:$B$5001,$A$59)))</f>
        <v/>
      </c>
      <c r="R64" s="59">
        <f>IF(R$3="","",IF(COUNTIFS(Base!$A$3:$A$5001,R$3,Base!$B$3:$B$5001,$A$59,Base!$H$3:$H$5001,"&lt;&gt;")=0,"",SUMIFS(Base!$H$3:$H$5001,Base!$A$3:$A$5001,R$3,Base!$B$3:$B$5001,$A$59)))</f>
        <v>22.54</v>
      </c>
      <c r="S64" s="59">
        <f>IF(S$3="","",IF(COUNTIFS(Base!$A$3:$A$5001,S$3,Base!$B$3:$B$5001,$A$59,Base!$H$3:$H$5001,"&lt;&gt;")=0,"",SUMIFS(Base!$H$3:$H$5001,Base!$A$3:$A$5001,S$3,Base!$B$3:$B$5001,$A$59)))</f>
        <v>43.93</v>
      </c>
      <c r="T64" s="59">
        <f>IF(T$3="","",IF(COUNTIFS(Base!$A$3:$A$5001,T$3,Base!$B$3:$B$5001,$A$59,Base!$H$3:$H$5001,"&lt;&gt;")=0,"",SUMIFS(Base!$H$3:$H$5001,Base!$A$3:$A$5001,T$3,Base!$B$3:$B$5001,$A$59)))</f>
        <v>70.54</v>
      </c>
      <c r="U64" s="59">
        <f>IF(U$3="","",IF(COUNTIFS(Base!$A$3:$A$5001,U$3,Base!$B$3:$B$5001,$A$59,Base!$H$3:$H$5001,"&lt;&gt;")=0,"",SUMIFS(Base!$H$3:$H$5001,Base!$A$3:$A$5001,U$3,Base!$B$3:$B$5001,$A$59)))</f>
        <v>0</v>
      </c>
      <c r="V64" s="59">
        <f>IF(V$3="","",IF(COUNTIFS(Base!$A$3:$A$5001,V$3,Base!$B$3:$B$5001,$A$59,Base!$H$3:$H$5001,"&lt;&gt;")=0,"",SUMIFS(Base!$H$3:$H$5001,Base!$A$3:$A$5001,V$3,Base!$B$3:$B$5001,$A$59)))</f>
        <v>92.68</v>
      </c>
      <c r="W64" s="59">
        <f>IF(W$3="","",IF(COUNTIFS(Base!$A$3:$A$5001,W$3,Base!$B$3:$B$5001,$A$59,Base!$H$3:$H$5001,"&lt;&gt;")=0,"",SUMIFS(Base!$H$3:$H$5001,Base!$A$3:$A$5001,W$3,Base!$B$3:$B$5001,$A$59)))</f>
        <v>81.42</v>
      </c>
      <c r="X64" s="59" t="str">
        <f>IF(X$3="","",IF(COUNTIFS(Base!$A$3:$A$5001,X$3,Base!$B$3:$B$5001,$A$59,Base!$H$3:$H$5001,"&lt;&gt;")=0,"",SUMIFS(Base!$H$3:$H$5001,Base!$A$3:$A$5001,X$3,Base!$B$3:$B$5001,$A$59)))</f>
        <v/>
      </c>
      <c r="Y64" s="59" t="str">
        <f>IF(Y$3="","",IF(COUNTIFS(Base!$A$3:$A$5001,Y$3,Base!$B$3:$B$5001,$A$59,Base!$H$3:$H$5001,"&lt;&gt;")=0,"",SUMIFS(Base!$H$3:$H$5001,Base!$A$3:$A$5001,Y$3,Base!$B$3:$B$5001,$A$59)))</f>
        <v/>
      </c>
      <c r="Z64" s="59">
        <f>IF(Z$3="","",IF(COUNTIFS(Base!$A$3:$A$5001,Z$3,Base!$B$3:$B$5001,$A$59,Base!$H$3:$H$5001,"&lt;&gt;")=0,"",SUMIFS(Base!$H$3:$H$5001,Base!$A$3:$A$5001,Z$3,Base!$B$3:$B$5001,$A$59)))</f>
        <v>107.63</v>
      </c>
      <c r="AA64" s="59">
        <f>IF(AA$3="","",IF(COUNTIFS(Base!$A$3:$A$5001,AA$3,Base!$B$3:$B$5001,$A$59,Base!$H$3:$H$5001,"&lt;&gt;")=0,"",SUMIFS(Base!$H$3:$H$5001,Base!$A$3:$A$5001,AA$3,Base!$B$3:$B$5001,$A$59)))</f>
        <v>39.06</v>
      </c>
      <c r="AB64" s="59">
        <f>IF(AB$3="","",IF(COUNTIFS(Base!$A$3:$A$5001,AB$3,Base!$B$3:$B$5001,$A$59,Base!$H$3:$H$5001,"&lt;&gt;")=0,"",SUMIFS(Base!$H$3:$H$5001,Base!$A$3:$A$5001,AB$3,Base!$B$3:$B$5001,$A$59)))</f>
        <v>24.05</v>
      </c>
      <c r="AC64" s="59">
        <f>IF(AC$3="","",IF(COUNTIFS(Base!$A$3:$A$5001,AC$3,Base!$B$3:$B$5001,$A$59,Base!$H$3:$H$5001,"&lt;&gt;")=0,"",SUMIFS(Base!$H$3:$H$5001,Base!$A$3:$A$5001,AC$3,Base!$B$3:$B$5001,$A$59)))</f>
        <v>51.07</v>
      </c>
      <c r="AD64" s="59">
        <f>IF(AD$3="","",IF(COUNTIFS(Base!$A$3:$A$5001,AD$3,Base!$B$3:$B$5001,$A$59,Base!$H$3:$H$5001,"&lt;&gt;")=0,"",SUMIFS(Base!$H$3:$H$5001,Base!$A$3:$A$5001,AD$3,Base!$B$3:$B$5001,$A$59)))</f>
        <v>116.03</v>
      </c>
      <c r="AE64" s="59" t="str">
        <f>IF(AE$3="","",IF(COUNTIFS(Base!$A$3:$A$5001,AE$3,Base!$B$3:$B$5001,$A$59,Base!$H$3:$H$5001,"&lt;&gt;")=0,"",SUMIFS(Base!$H$3:$H$5001,Base!$A$3:$A$5001,AE$3,Base!$B$3:$B$5001,$A$59)))</f>
        <v/>
      </c>
      <c r="AF64" s="59" t="str">
        <f>IF(AF$3="","",IF(COUNTIFS(Base!$A$3:$A$5001,AF$3,Base!$B$3:$B$5001,$A$59,Base!$H$3:$H$5001,"&lt;&gt;")=0,"",SUMIFS(Base!$H$3:$H$5001,Base!$A$3:$A$5001,AF$3,Base!$B$3:$B$5001,$A$59)))</f>
        <v/>
      </c>
      <c r="AG64" s="59">
        <f>IF(AG$3="","",IF(COUNTIFS(Base!$A$3:$A$5001,AG$3,Base!$B$3:$B$5001,$A$59,Base!$H$3:$H$5001,"&lt;&gt;")=0,"",SUMIFS(Base!$H$3:$H$5001,Base!$A$3:$A$5001,AG$3,Base!$B$3:$B$5001,$A$59)))</f>
        <v>65.23</v>
      </c>
      <c r="AH64" s="59">
        <f>IF(AH$3="","",IF(COUNTIFS(Base!$A$3:$A$5001,AH$3,Base!$B$3:$B$5001,$A$59,Base!$H$3:$H$5001,"&lt;&gt;")=0,"",SUMIFS(Base!$H$3:$H$5001,Base!$A$3:$A$5001,AH$3,Base!$B$3:$B$5001,$A$59)))</f>
        <v>32.94</v>
      </c>
      <c r="AI64" s="59" t="str">
        <f>IF(AI$3="","",IF(COUNTIFS(Base!$A$3:$A$5001,AI$3,Base!$B$3:$B$5001,$A$59,Base!$H$3:$H$5001,"&lt;&gt;")=0,"",SUMIFS(Base!$H$3:$H$5001,Base!$A$3:$A$5001,AI$3,Base!$B$3:$B$5001,$A$59)))</f>
        <v/>
      </c>
      <c r="AJ64" s="60" t="str">
        <f>IF(AJ$3="","",IF(COUNTIFS(Base!$A$3:$A$5001,AJ$3,Base!$B$3:$B$5001,$A$59,Base!$H$3:$H$5001,"&lt;&gt;")=0,"",SUMIFS(Base!$H$3:$H$5001,Base!$A$3:$A$5001,AJ$3,Base!$B$3:$B$5001,$A$59)))</f>
        <v/>
      </c>
      <c r="AK64" s="56">
        <f>IF(COUNT(F64:AJ64)=0,"",SUM(F64:AJ64))</f>
        <v>1318.34</v>
      </c>
    </row>
    <row r="65" ht="15.75" customHeight="1">
      <c r="A65" s="118"/>
      <c r="B65" s="111" t="inlineStr">
        <is>
          <t xml:space="preserve">NC</t>
        </is>
      </c>
      <c r="C65" s="61" t="inlineStr">
        <is>
          <t xml:space="preserve">Incidentes</t>
        </is>
      </c>
      <c r="D65" s="62"/>
      <c r="E65" s="63"/>
      <c r="F65" s="64">
        <f>IF(F$3="","",IF(COUNTIFS(Base!$A$3:$A$5001,F$3,Base!$B$3:$B$5001,$A$59,Base!$I$3:$I$5001,"&lt;&gt;")=0,"",SUMIFS(Base!$I$3:$I$5001,Base!$A$3:$A$5001,F$3,Base!$B$3:$B$5001,$A$59)))</f>
        <v>1</v>
      </c>
      <c r="G65" s="65">
        <f>IF(G$3="","",IF(COUNTIFS(Base!$A$3:$A$5001,G$3,Base!$B$3:$B$5001,$A$59,Base!$I$3:$I$5001,"&lt;&gt;")=0,"",SUMIFS(Base!$I$3:$I$5001,Base!$A$3:$A$5001,G$3,Base!$B$3:$B$5001,$A$59)))</f>
        <v>0</v>
      </c>
      <c r="H65" s="65">
        <f>IF(H$3="","",IF(COUNTIFS(Base!$A$3:$A$5001,H$3,Base!$B$3:$B$5001,$A$59,Base!$I$3:$I$5001,"&lt;&gt;")=0,"",SUMIFS(Base!$I$3:$I$5001,Base!$A$3:$A$5001,H$3,Base!$B$3:$B$5001,$A$59)))</f>
        <v>0</v>
      </c>
      <c r="I65" s="65">
        <f>IF(I$3="","",IF(COUNTIFS(Base!$A$3:$A$5001,I$3,Base!$B$3:$B$5001,$A$59,Base!$I$3:$I$5001,"&lt;&gt;")=0,"",SUMIFS(Base!$I$3:$I$5001,Base!$A$3:$A$5001,I$3,Base!$B$3:$B$5001,$A$59)))</f>
        <v>0</v>
      </c>
      <c r="J65" s="65">
        <f>IF(J$3="","",IF(COUNTIFS(Base!$A$3:$A$5001,J$3,Base!$B$3:$B$5001,$A$59,Base!$I$3:$I$5001,"&lt;&gt;")=0,"",SUMIFS(Base!$I$3:$I$5001,Base!$A$3:$A$5001,J$3,Base!$B$3:$B$5001,$A$59)))</f>
        <v>0</v>
      </c>
      <c r="K65" s="65" t="str">
        <f>IF(K$3="","",IF(COUNTIFS(Base!$A$3:$A$5001,K$3,Base!$B$3:$B$5001,$A$59,Base!$I$3:$I$5001,"&lt;&gt;")=0,"",SUMIFS(Base!$I$3:$I$5001,Base!$A$3:$A$5001,K$3,Base!$B$3:$B$5001,$A$59)))</f>
        <v/>
      </c>
      <c r="L65" s="65">
        <f>IF(L$3="","",IF(COUNTIFS(Base!$A$3:$A$5001,L$3,Base!$B$3:$B$5001,$A$59,Base!$I$3:$I$5001,"&lt;&gt;")=0,"",SUMIFS(Base!$I$3:$I$5001,Base!$A$3:$A$5001,L$3,Base!$B$3:$B$5001,$A$59)))</f>
        <v>0</v>
      </c>
      <c r="M65" s="65">
        <f>IF(M$3="","",IF(COUNTIFS(Base!$A$3:$A$5001,M$3,Base!$B$3:$B$5001,$A$59,Base!$I$3:$I$5001,"&lt;&gt;")=0,"",SUMIFS(Base!$I$3:$I$5001,Base!$A$3:$A$5001,M$3,Base!$B$3:$B$5001,$A$59)))</f>
        <v>0</v>
      </c>
      <c r="N65" s="65">
        <f>IF(N$3="","",IF(COUNTIFS(Base!$A$3:$A$5001,N$3,Base!$B$3:$B$5001,$A$59,Base!$I$3:$I$5001,"&lt;&gt;")=0,"",SUMIFS(Base!$I$3:$I$5001,Base!$A$3:$A$5001,N$3,Base!$B$3:$B$5001,$A$59)))</f>
        <v>0</v>
      </c>
      <c r="O65" s="65">
        <f>IF(O$3="","",IF(COUNTIFS(Base!$A$3:$A$5001,O$3,Base!$B$3:$B$5001,$A$59,Base!$I$3:$I$5001,"&lt;&gt;")=0,"",SUMIFS(Base!$I$3:$I$5001,Base!$A$3:$A$5001,O$3,Base!$B$3:$B$5001,$A$59)))</f>
        <v>2</v>
      </c>
      <c r="P65" s="65">
        <f>IF(P$3="","",IF(COUNTIFS(Base!$A$3:$A$5001,P$3,Base!$B$3:$B$5001,$A$59,Base!$I$3:$I$5001,"&lt;&gt;")=0,"",SUMIFS(Base!$I$3:$I$5001,Base!$A$3:$A$5001,P$3,Base!$B$3:$B$5001,$A$59)))</f>
        <v>0</v>
      </c>
      <c r="Q65" s="65" t="str">
        <f>IF(Q$3="","",IF(COUNTIFS(Base!$A$3:$A$5001,Q$3,Base!$B$3:$B$5001,$A$59,Base!$I$3:$I$5001,"&lt;&gt;")=0,"",SUMIFS(Base!$I$3:$I$5001,Base!$A$3:$A$5001,Q$3,Base!$B$3:$B$5001,$A$59)))</f>
        <v/>
      </c>
      <c r="R65" s="65">
        <f>IF(R$3="","",IF(COUNTIFS(Base!$A$3:$A$5001,R$3,Base!$B$3:$B$5001,$A$59,Base!$I$3:$I$5001,"&lt;&gt;")=0,"",SUMIFS(Base!$I$3:$I$5001,Base!$A$3:$A$5001,R$3,Base!$B$3:$B$5001,$A$59)))</f>
        <v>0</v>
      </c>
      <c r="S65" s="65">
        <f>IF(S$3="","",IF(COUNTIFS(Base!$A$3:$A$5001,S$3,Base!$B$3:$B$5001,$A$59,Base!$I$3:$I$5001,"&lt;&gt;")=0,"",SUMIFS(Base!$I$3:$I$5001,Base!$A$3:$A$5001,S$3,Base!$B$3:$B$5001,$A$59)))</f>
        <v>0</v>
      </c>
      <c r="T65" s="65">
        <f>IF(T$3="","",IF(COUNTIFS(Base!$A$3:$A$5001,T$3,Base!$B$3:$B$5001,$A$59,Base!$I$3:$I$5001,"&lt;&gt;")=0,"",SUMIFS(Base!$I$3:$I$5001,Base!$A$3:$A$5001,T$3,Base!$B$3:$B$5001,$A$59)))</f>
        <v>0</v>
      </c>
      <c r="U65" s="65">
        <f>IF(U$3="","",IF(COUNTIFS(Base!$A$3:$A$5001,U$3,Base!$B$3:$B$5001,$A$59,Base!$I$3:$I$5001,"&lt;&gt;")=0,"",SUMIFS(Base!$I$3:$I$5001,Base!$A$3:$A$5001,U$3,Base!$B$3:$B$5001,$A$59)))</f>
        <v>0</v>
      </c>
      <c r="V65" s="65">
        <f>IF(V$3="","",IF(COUNTIFS(Base!$A$3:$A$5001,V$3,Base!$B$3:$B$5001,$A$59,Base!$I$3:$I$5001,"&lt;&gt;")=0,"",SUMIFS(Base!$I$3:$I$5001,Base!$A$3:$A$5001,V$3,Base!$B$3:$B$5001,$A$59)))</f>
        <v>0</v>
      </c>
      <c r="W65" s="65">
        <f>IF(W$3="","",IF(COUNTIFS(Base!$A$3:$A$5001,W$3,Base!$B$3:$B$5001,$A$59,Base!$I$3:$I$5001,"&lt;&gt;")=0,"",SUMIFS(Base!$I$3:$I$5001,Base!$A$3:$A$5001,W$3,Base!$B$3:$B$5001,$A$59)))</f>
        <v>1</v>
      </c>
      <c r="X65" s="65" t="str">
        <f>IF(X$3="","",IF(COUNTIFS(Base!$A$3:$A$5001,X$3,Base!$B$3:$B$5001,$A$59,Base!$I$3:$I$5001,"&lt;&gt;")=0,"",SUMIFS(Base!$I$3:$I$5001,Base!$A$3:$A$5001,X$3,Base!$B$3:$B$5001,$A$59)))</f>
        <v/>
      </c>
      <c r="Y65" s="65" t="str">
        <f>IF(Y$3="","",IF(COUNTIFS(Base!$A$3:$A$5001,Y$3,Base!$B$3:$B$5001,$A$59,Base!$I$3:$I$5001,"&lt;&gt;")=0,"",SUMIFS(Base!$I$3:$I$5001,Base!$A$3:$A$5001,Y$3,Base!$B$3:$B$5001,$A$59)))</f>
        <v/>
      </c>
      <c r="Z65" s="65">
        <f>IF(Z$3="","",IF(COUNTIFS(Base!$A$3:$A$5001,Z$3,Base!$B$3:$B$5001,$A$59,Base!$I$3:$I$5001,"&lt;&gt;")=0,"",SUMIFS(Base!$I$3:$I$5001,Base!$A$3:$A$5001,Z$3,Base!$B$3:$B$5001,$A$59)))</f>
        <v>1</v>
      </c>
      <c r="AA65" s="65">
        <f>IF(AA$3="","",IF(COUNTIFS(Base!$A$3:$A$5001,AA$3,Base!$B$3:$B$5001,$A$59,Base!$I$3:$I$5001,"&lt;&gt;")=0,"",SUMIFS(Base!$I$3:$I$5001,Base!$A$3:$A$5001,AA$3,Base!$B$3:$B$5001,$A$59)))</f>
        <v>0</v>
      </c>
      <c r="AB65" s="65">
        <f>IF(AB$3="","",IF(COUNTIFS(Base!$A$3:$A$5001,AB$3,Base!$B$3:$B$5001,$A$59,Base!$I$3:$I$5001,"&lt;&gt;")=0,"",SUMIFS(Base!$I$3:$I$5001,Base!$A$3:$A$5001,AB$3,Base!$B$3:$B$5001,$A$59)))</f>
        <v>0</v>
      </c>
      <c r="AC65" s="65">
        <f>IF(AC$3="","",IF(COUNTIFS(Base!$A$3:$A$5001,AC$3,Base!$B$3:$B$5001,$A$59,Base!$I$3:$I$5001,"&lt;&gt;")=0,"",SUMIFS(Base!$I$3:$I$5001,Base!$A$3:$A$5001,AC$3,Base!$B$3:$B$5001,$A$59)))</f>
        <v>0</v>
      </c>
      <c r="AD65" s="65">
        <f>IF(AD$3="","",IF(COUNTIFS(Base!$A$3:$A$5001,AD$3,Base!$B$3:$B$5001,$A$59,Base!$I$3:$I$5001,"&lt;&gt;")=0,"",SUMIFS(Base!$I$3:$I$5001,Base!$A$3:$A$5001,AD$3,Base!$B$3:$B$5001,$A$59)))</f>
        <v>0</v>
      </c>
      <c r="AE65" s="65" t="str">
        <f>IF(AE$3="","",IF(COUNTIFS(Base!$A$3:$A$5001,AE$3,Base!$B$3:$B$5001,$A$59,Base!$I$3:$I$5001,"&lt;&gt;")=0,"",SUMIFS(Base!$I$3:$I$5001,Base!$A$3:$A$5001,AE$3,Base!$B$3:$B$5001,$A$59)))</f>
        <v/>
      </c>
      <c r="AF65" s="65" t="str">
        <f>IF(AF$3="","",IF(COUNTIFS(Base!$A$3:$A$5001,AF$3,Base!$B$3:$B$5001,$A$59,Base!$I$3:$I$5001,"&lt;&gt;")=0,"",SUMIFS(Base!$I$3:$I$5001,Base!$A$3:$A$5001,AF$3,Base!$B$3:$B$5001,$A$59)))</f>
        <v/>
      </c>
      <c r="AG65" s="65">
        <f>IF(AG$3="","",IF(COUNTIFS(Base!$A$3:$A$5001,AG$3,Base!$B$3:$B$5001,$A$59,Base!$I$3:$I$5001,"&lt;&gt;")=0,"",SUMIFS(Base!$I$3:$I$5001,Base!$A$3:$A$5001,AG$3,Base!$B$3:$B$5001,$A$59)))</f>
        <v>0</v>
      </c>
      <c r="AH65" s="65">
        <f>IF(AH$3="","",IF(COUNTIFS(Base!$A$3:$A$5001,AH$3,Base!$B$3:$B$5001,$A$59,Base!$I$3:$I$5001,"&lt;&gt;")=0,"",SUMIFS(Base!$I$3:$I$5001,Base!$A$3:$A$5001,AH$3,Base!$B$3:$B$5001,$A$59)))</f>
        <v>0</v>
      </c>
      <c r="AI65" s="65" t="str">
        <f>IF(AI$3="","",IF(COUNTIFS(Base!$A$3:$A$5001,AI$3,Base!$B$3:$B$5001,$A$59,Base!$I$3:$I$5001,"&lt;&gt;")=0,"",SUMIFS(Base!$I$3:$I$5001,Base!$A$3:$A$5001,AI$3,Base!$B$3:$B$5001,$A$59)))</f>
        <v/>
      </c>
      <c r="AJ65" s="66" t="str">
        <f>IF(AJ$3="","",IF(COUNTIFS(Base!$A$3:$A$5001,AJ$3,Base!$B$3:$B$5001,$A$59,Base!$I$3:$I$5001,"&lt;&gt;")=0,"",SUMIFS(Base!$I$3:$I$5001,Base!$A$3:$A$5001,AJ$3,Base!$B$3:$B$5001,$A$59)))</f>
        <v/>
      </c>
      <c r="AK65" s="67">
        <f>IF(COUNT(F65:AJ65)=0,"",SUM(F65:AJ65))</f>
        <v>5</v>
      </c>
    </row>
    <row r="66" ht="15.75" customHeight="1">
      <c r="A66" s="118"/>
      <c r="B66" s="112"/>
      <c r="C66" s="68" t="inlineStr">
        <is>
          <t xml:space="preserve">No show</t>
        </is>
      </c>
      <c r="D66" s="69"/>
      <c r="E66" s="70"/>
      <c r="F66" s="71" t="str">
        <f>IF(F$3="","",IF(COUNTIFS(Base!$A$3:$A$5001,F$3,Base!$B$3:$B$5001,$A$59,Base!$J$3:$J$5001,"&lt;&gt;")=0,"",SUMIFS(Base!$J$3:$J$5001,Base!$A$3:$A$5001,F$3,Base!$B$3:$B$5001,$A$59)))</f>
        <v/>
      </c>
      <c r="G66" s="72" t="str">
        <f>IF(G$3="","",IF(COUNTIFS(Base!$A$3:$A$5001,G$3,Base!$B$3:$B$5001,$A$59,Base!$J$3:$J$5001,"&lt;&gt;")=0,"",SUMIFS(Base!$J$3:$J$5001,Base!$A$3:$A$5001,G$3,Base!$B$3:$B$5001,$A$59)))</f>
        <v/>
      </c>
      <c r="H66" s="72" t="str">
        <f>IF(H$3="","",IF(COUNTIFS(Base!$A$3:$A$5001,H$3,Base!$B$3:$B$5001,$A$59,Base!$J$3:$J$5001,"&lt;&gt;")=0,"",SUMIFS(Base!$J$3:$J$5001,Base!$A$3:$A$5001,H$3,Base!$B$3:$B$5001,$A$59)))</f>
        <v/>
      </c>
      <c r="I66" s="72" t="str">
        <f>IF(I$3="","",IF(COUNTIFS(Base!$A$3:$A$5001,I$3,Base!$B$3:$B$5001,$A$59,Base!$J$3:$J$5001,"&lt;&gt;")=0,"",SUMIFS(Base!$J$3:$J$5001,Base!$A$3:$A$5001,I$3,Base!$B$3:$B$5001,$A$59)))</f>
        <v/>
      </c>
      <c r="J66" s="72" t="str">
        <f>IF(J$3="","",IF(COUNTIFS(Base!$A$3:$A$5001,J$3,Base!$B$3:$B$5001,$A$59,Base!$J$3:$J$5001,"&lt;&gt;")=0,"",SUMIFS(Base!$J$3:$J$5001,Base!$A$3:$A$5001,J$3,Base!$B$3:$B$5001,$A$59)))</f>
        <v/>
      </c>
      <c r="K66" s="72" t="str">
        <f>IF(K$3="","",IF(COUNTIFS(Base!$A$3:$A$5001,K$3,Base!$B$3:$B$5001,$A$59,Base!$J$3:$J$5001,"&lt;&gt;")=0,"",SUMIFS(Base!$J$3:$J$5001,Base!$A$3:$A$5001,K$3,Base!$B$3:$B$5001,$A$59)))</f>
        <v/>
      </c>
      <c r="L66" s="72" t="str">
        <f>IF(L$3="","",IF(COUNTIFS(Base!$A$3:$A$5001,L$3,Base!$B$3:$B$5001,$A$59,Base!$J$3:$J$5001,"&lt;&gt;")=0,"",SUMIFS(Base!$J$3:$J$5001,Base!$A$3:$A$5001,L$3,Base!$B$3:$B$5001,$A$59)))</f>
        <v/>
      </c>
      <c r="M66" s="72" t="str">
        <f>IF(M$3="","",IF(COUNTIFS(Base!$A$3:$A$5001,M$3,Base!$B$3:$B$5001,$A$59,Base!$J$3:$J$5001,"&lt;&gt;")=0,"",SUMIFS(Base!$J$3:$J$5001,Base!$A$3:$A$5001,M$3,Base!$B$3:$B$5001,$A$59)))</f>
        <v/>
      </c>
      <c r="N66" s="72" t="str">
        <f>IF(N$3="","",IF(COUNTIFS(Base!$A$3:$A$5001,N$3,Base!$B$3:$B$5001,$A$59,Base!$J$3:$J$5001,"&lt;&gt;")=0,"",SUMIFS(Base!$J$3:$J$5001,Base!$A$3:$A$5001,N$3,Base!$B$3:$B$5001,$A$59)))</f>
        <v/>
      </c>
      <c r="O66" s="72" t="str">
        <f>IF(O$3="","",IF(COUNTIFS(Base!$A$3:$A$5001,O$3,Base!$B$3:$B$5001,$A$59,Base!$J$3:$J$5001,"&lt;&gt;")=0,"",SUMIFS(Base!$J$3:$J$5001,Base!$A$3:$A$5001,O$3,Base!$B$3:$B$5001,$A$59)))</f>
        <v/>
      </c>
      <c r="P66" s="72" t="str">
        <f>IF(P$3="","",IF(COUNTIFS(Base!$A$3:$A$5001,P$3,Base!$B$3:$B$5001,$A$59,Base!$J$3:$J$5001,"&lt;&gt;")=0,"",SUMIFS(Base!$J$3:$J$5001,Base!$A$3:$A$5001,P$3,Base!$B$3:$B$5001,$A$59)))</f>
        <v/>
      </c>
      <c r="Q66" s="72" t="str">
        <f>IF(Q$3="","",IF(COUNTIFS(Base!$A$3:$A$5001,Q$3,Base!$B$3:$B$5001,$A$59,Base!$J$3:$J$5001,"&lt;&gt;")=0,"",SUMIFS(Base!$J$3:$J$5001,Base!$A$3:$A$5001,Q$3,Base!$B$3:$B$5001,$A$59)))</f>
        <v/>
      </c>
      <c r="R66" s="72" t="str">
        <f>IF(R$3="","",IF(COUNTIFS(Base!$A$3:$A$5001,R$3,Base!$B$3:$B$5001,$A$59,Base!$J$3:$J$5001,"&lt;&gt;")=0,"",SUMIFS(Base!$J$3:$J$5001,Base!$A$3:$A$5001,R$3,Base!$B$3:$B$5001,$A$59)))</f>
        <v/>
      </c>
      <c r="S66" s="72" t="str">
        <f>IF(S$3="","",IF(COUNTIFS(Base!$A$3:$A$5001,S$3,Base!$B$3:$B$5001,$A$59,Base!$J$3:$J$5001,"&lt;&gt;")=0,"",SUMIFS(Base!$J$3:$J$5001,Base!$A$3:$A$5001,S$3,Base!$B$3:$B$5001,$A$59)))</f>
        <v/>
      </c>
      <c r="T66" s="72" t="str">
        <f>IF(T$3="","",IF(COUNTIFS(Base!$A$3:$A$5001,T$3,Base!$B$3:$B$5001,$A$59,Base!$J$3:$J$5001,"&lt;&gt;")=0,"",SUMIFS(Base!$J$3:$J$5001,Base!$A$3:$A$5001,T$3,Base!$B$3:$B$5001,$A$59)))</f>
        <v/>
      </c>
      <c r="U66" s="72" t="str">
        <f>IF(U$3="","",IF(COUNTIFS(Base!$A$3:$A$5001,U$3,Base!$B$3:$B$5001,$A$59,Base!$J$3:$J$5001,"&lt;&gt;")=0,"",SUMIFS(Base!$J$3:$J$5001,Base!$A$3:$A$5001,U$3,Base!$B$3:$B$5001,$A$59)))</f>
        <v/>
      </c>
      <c r="V66" s="72" t="str">
        <f>IF(V$3="","",IF(COUNTIFS(Base!$A$3:$A$5001,V$3,Base!$B$3:$B$5001,$A$59,Base!$J$3:$J$5001,"&lt;&gt;")=0,"",SUMIFS(Base!$J$3:$J$5001,Base!$A$3:$A$5001,V$3,Base!$B$3:$B$5001,$A$59)))</f>
        <v/>
      </c>
      <c r="W66" s="72" t="str">
        <f>IF(W$3="","",IF(COUNTIFS(Base!$A$3:$A$5001,W$3,Base!$B$3:$B$5001,$A$59,Base!$J$3:$J$5001,"&lt;&gt;")=0,"",SUMIFS(Base!$J$3:$J$5001,Base!$A$3:$A$5001,W$3,Base!$B$3:$B$5001,$A$59)))</f>
        <v/>
      </c>
      <c r="X66" s="72" t="str">
        <f>IF(X$3="","",IF(COUNTIFS(Base!$A$3:$A$5001,X$3,Base!$B$3:$B$5001,$A$59,Base!$J$3:$J$5001,"&lt;&gt;")=0,"",SUMIFS(Base!$J$3:$J$5001,Base!$A$3:$A$5001,X$3,Base!$B$3:$B$5001,$A$59)))</f>
        <v/>
      </c>
      <c r="Y66" s="72" t="str">
        <f>IF(Y$3="","",IF(COUNTIFS(Base!$A$3:$A$5001,Y$3,Base!$B$3:$B$5001,$A$59,Base!$J$3:$J$5001,"&lt;&gt;")=0,"",SUMIFS(Base!$J$3:$J$5001,Base!$A$3:$A$5001,Y$3,Base!$B$3:$B$5001,$A$59)))</f>
        <v/>
      </c>
      <c r="Z66" s="72" t="str">
        <f>IF(Z$3="","",IF(COUNTIFS(Base!$A$3:$A$5001,Z$3,Base!$B$3:$B$5001,$A$59,Base!$J$3:$J$5001,"&lt;&gt;")=0,"",SUMIFS(Base!$J$3:$J$5001,Base!$A$3:$A$5001,Z$3,Base!$B$3:$B$5001,$A$59)))</f>
        <v/>
      </c>
      <c r="AA66" s="72" t="str">
        <f>IF(AA$3="","",IF(COUNTIFS(Base!$A$3:$A$5001,AA$3,Base!$B$3:$B$5001,$A$59,Base!$J$3:$J$5001,"&lt;&gt;")=0,"",SUMIFS(Base!$J$3:$J$5001,Base!$A$3:$A$5001,AA$3,Base!$B$3:$B$5001,$A$59)))</f>
        <v/>
      </c>
      <c r="AB66" s="72" t="str">
        <f>IF(AB$3="","",IF(COUNTIFS(Base!$A$3:$A$5001,AB$3,Base!$B$3:$B$5001,$A$59,Base!$J$3:$J$5001,"&lt;&gt;")=0,"",SUMIFS(Base!$J$3:$J$5001,Base!$A$3:$A$5001,AB$3,Base!$B$3:$B$5001,$A$59)))</f>
        <v/>
      </c>
      <c r="AC66" s="72" t="str">
        <f>IF(AC$3="","",IF(COUNTIFS(Base!$A$3:$A$5001,AC$3,Base!$B$3:$B$5001,$A$59,Base!$J$3:$J$5001,"&lt;&gt;")=0,"",SUMIFS(Base!$J$3:$J$5001,Base!$A$3:$A$5001,AC$3,Base!$B$3:$B$5001,$A$59)))</f>
        <v/>
      </c>
      <c r="AD66" s="72" t="str">
        <f>IF(AD$3="","",IF(COUNTIFS(Base!$A$3:$A$5001,AD$3,Base!$B$3:$B$5001,$A$59,Base!$J$3:$J$5001,"&lt;&gt;")=0,"",SUMIFS(Base!$J$3:$J$5001,Base!$A$3:$A$5001,AD$3,Base!$B$3:$B$5001,$A$59)))</f>
        <v/>
      </c>
      <c r="AE66" s="72" t="str">
        <f>IF(AE$3="","",IF(COUNTIFS(Base!$A$3:$A$5001,AE$3,Base!$B$3:$B$5001,$A$59,Base!$J$3:$J$5001,"&lt;&gt;")=0,"",SUMIFS(Base!$J$3:$J$5001,Base!$A$3:$A$5001,AE$3,Base!$B$3:$B$5001,$A$59)))</f>
        <v/>
      </c>
      <c r="AF66" s="72" t="str">
        <f>IF(AF$3="","",IF(COUNTIFS(Base!$A$3:$A$5001,AF$3,Base!$B$3:$B$5001,$A$59,Base!$J$3:$J$5001,"&lt;&gt;")=0,"",SUMIFS(Base!$J$3:$J$5001,Base!$A$3:$A$5001,AF$3,Base!$B$3:$B$5001,$A$59)))</f>
        <v/>
      </c>
      <c r="AG66" s="72" t="str">
        <f>IF(AG$3="","",IF(COUNTIFS(Base!$A$3:$A$5001,AG$3,Base!$B$3:$B$5001,$A$59,Base!$J$3:$J$5001,"&lt;&gt;")=0,"",SUMIFS(Base!$J$3:$J$5001,Base!$A$3:$A$5001,AG$3,Base!$B$3:$B$5001,$A$59)))</f>
        <v/>
      </c>
      <c r="AH66" s="72" t="str">
        <f>IF(AH$3="","",IF(COUNTIFS(Base!$A$3:$A$5001,AH$3,Base!$B$3:$B$5001,$A$59,Base!$J$3:$J$5001,"&lt;&gt;")=0,"",SUMIFS(Base!$J$3:$J$5001,Base!$A$3:$A$5001,AH$3,Base!$B$3:$B$5001,$A$59)))</f>
        <v/>
      </c>
      <c r="AI66" s="72" t="str">
        <f>IF(AI$3="","",IF(COUNTIFS(Base!$A$3:$A$5001,AI$3,Base!$B$3:$B$5001,$A$59,Base!$J$3:$J$5001,"&lt;&gt;")=0,"",SUMIFS(Base!$J$3:$J$5001,Base!$A$3:$A$5001,AI$3,Base!$B$3:$B$5001,$A$59)))</f>
        <v/>
      </c>
      <c r="AJ66" s="73" t="str">
        <f>IF(AJ$3="","",IF(COUNTIFS(Base!$A$3:$A$5001,AJ$3,Base!$B$3:$B$5001,$A$59,Base!$J$3:$J$5001,"&lt;&gt;")=0,"",SUMIFS(Base!$J$3:$J$5001,Base!$A$3:$A$5001,AJ$3,Base!$B$3:$B$5001,$A$59)))</f>
        <v/>
      </c>
      <c r="AK66" s="74" t="str">
        <f>IF(COUNT(F66:AJ66)=0,"",SUM(F66:AJ66))</f>
        <v/>
      </c>
    </row>
    <row r="67" ht="15.75" customHeight="1">
      <c r="A67" s="118"/>
      <c r="B67" s="113"/>
      <c r="C67" s="75" t="inlineStr">
        <is>
          <t xml:space="preserve">Backlog</t>
        </is>
      </c>
      <c r="D67" s="76"/>
      <c r="E67" s="77"/>
      <c r="F67" s="78" t="str">
        <f>IF(F$3="","",IF(COUNTIFS(Base!$A$3:$A$5001,F$3,Base!$B$3:$B$5001,$A$59,Base!$K$3:$K$5001,"&lt;&gt;")=0,"",SUMIFS(Base!$K$3:$K$5001,Base!$A$3:$A$5001,F$3,Base!$B$3:$B$5001,$A$59)))</f>
        <v/>
      </c>
      <c r="G67" s="79" t="str">
        <f>IF(G$3="","",IF(COUNTIFS(Base!$A$3:$A$5001,G$3,Base!$B$3:$B$5001,$A$59,Base!$K$3:$K$5001,"&lt;&gt;")=0,"",SUMIFS(Base!$K$3:$K$5001,Base!$A$3:$A$5001,G$3,Base!$B$3:$B$5001,$A$59)))</f>
        <v/>
      </c>
      <c r="H67" s="79" t="str">
        <f>IF(H$3="","",IF(COUNTIFS(Base!$A$3:$A$5001,H$3,Base!$B$3:$B$5001,$A$59,Base!$K$3:$K$5001,"&lt;&gt;")=0,"",SUMIFS(Base!$K$3:$K$5001,Base!$A$3:$A$5001,H$3,Base!$B$3:$B$5001,$A$59)))</f>
        <v/>
      </c>
      <c r="I67" s="79" t="str">
        <f>IF(I$3="","",IF(COUNTIFS(Base!$A$3:$A$5001,I$3,Base!$B$3:$B$5001,$A$59,Base!$K$3:$K$5001,"&lt;&gt;")=0,"",SUMIFS(Base!$K$3:$K$5001,Base!$A$3:$A$5001,I$3,Base!$B$3:$B$5001,$A$59)))</f>
        <v/>
      </c>
      <c r="J67" s="79" t="str">
        <f>IF(J$3="","",IF(COUNTIFS(Base!$A$3:$A$5001,J$3,Base!$B$3:$B$5001,$A$59,Base!$K$3:$K$5001,"&lt;&gt;")=0,"",SUMIFS(Base!$K$3:$K$5001,Base!$A$3:$A$5001,J$3,Base!$B$3:$B$5001,$A$59)))</f>
        <v/>
      </c>
      <c r="K67" s="79" t="str">
        <f>IF(K$3="","",IF(COUNTIFS(Base!$A$3:$A$5001,K$3,Base!$B$3:$B$5001,$A$59,Base!$K$3:$K$5001,"&lt;&gt;")=0,"",SUMIFS(Base!$K$3:$K$5001,Base!$A$3:$A$5001,K$3,Base!$B$3:$B$5001,$A$59)))</f>
        <v/>
      </c>
      <c r="L67" s="79" t="str">
        <f>IF(L$3="","",IF(COUNTIFS(Base!$A$3:$A$5001,L$3,Base!$B$3:$B$5001,$A$59,Base!$K$3:$K$5001,"&lt;&gt;")=0,"",SUMIFS(Base!$K$3:$K$5001,Base!$A$3:$A$5001,L$3,Base!$B$3:$B$5001,$A$59)))</f>
        <v/>
      </c>
      <c r="M67" s="79" t="str">
        <f>IF(M$3="","",IF(COUNTIFS(Base!$A$3:$A$5001,M$3,Base!$B$3:$B$5001,$A$59,Base!$K$3:$K$5001,"&lt;&gt;")=0,"",SUMIFS(Base!$K$3:$K$5001,Base!$A$3:$A$5001,M$3,Base!$B$3:$B$5001,$A$59)))</f>
        <v/>
      </c>
      <c r="N67" s="79" t="str">
        <f>IF(N$3="","",IF(COUNTIFS(Base!$A$3:$A$5001,N$3,Base!$B$3:$B$5001,$A$59,Base!$K$3:$K$5001,"&lt;&gt;")=0,"",SUMIFS(Base!$K$3:$K$5001,Base!$A$3:$A$5001,N$3,Base!$B$3:$B$5001,$A$59)))</f>
        <v/>
      </c>
      <c r="O67" s="79" t="str">
        <f>IF(O$3="","",IF(COUNTIFS(Base!$A$3:$A$5001,O$3,Base!$B$3:$B$5001,$A$59,Base!$K$3:$K$5001,"&lt;&gt;")=0,"",SUMIFS(Base!$K$3:$K$5001,Base!$A$3:$A$5001,O$3,Base!$B$3:$B$5001,$A$59)))</f>
        <v/>
      </c>
      <c r="P67" s="79" t="str">
        <f>IF(P$3="","",IF(COUNTIFS(Base!$A$3:$A$5001,P$3,Base!$B$3:$B$5001,$A$59,Base!$K$3:$K$5001,"&lt;&gt;")=0,"",SUMIFS(Base!$K$3:$K$5001,Base!$A$3:$A$5001,P$3,Base!$B$3:$B$5001,$A$59)))</f>
        <v/>
      </c>
      <c r="Q67" s="79" t="str">
        <f>IF(Q$3="","",IF(COUNTIFS(Base!$A$3:$A$5001,Q$3,Base!$B$3:$B$5001,$A$59,Base!$K$3:$K$5001,"&lt;&gt;")=0,"",SUMIFS(Base!$K$3:$K$5001,Base!$A$3:$A$5001,Q$3,Base!$B$3:$B$5001,$A$59)))</f>
        <v/>
      </c>
      <c r="R67" s="79" t="str">
        <f>IF(R$3="","",IF(COUNTIFS(Base!$A$3:$A$5001,R$3,Base!$B$3:$B$5001,$A$59,Base!$K$3:$K$5001,"&lt;&gt;")=0,"",SUMIFS(Base!$K$3:$K$5001,Base!$A$3:$A$5001,R$3,Base!$B$3:$B$5001,$A$59)))</f>
        <v/>
      </c>
      <c r="S67" s="79" t="str">
        <f>IF(S$3="","",IF(COUNTIFS(Base!$A$3:$A$5001,S$3,Base!$B$3:$B$5001,$A$59,Base!$K$3:$K$5001,"&lt;&gt;")=0,"",SUMIFS(Base!$K$3:$K$5001,Base!$A$3:$A$5001,S$3,Base!$B$3:$B$5001,$A$59)))</f>
        <v/>
      </c>
      <c r="T67" s="79" t="str">
        <f>IF(T$3="","",IF(COUNTIFS(Base!$A$3:$A$5001,T$3,Base!$B$3:$B$5001,$A$59,Base!$K$3:$K$5001,"&lt;&gt;")=0,"",SUMIFS(Base!$K$3:$K$5001,Base!$A$3:$A$5001,T$3,Base!$B$3:$B$5001,$A$59)))</f>
        <v/>
      </c>
      <c r="U67" s="79" t="str">
        <f>IF(U$3="","",IF(COUNTIFS(Base!$A$3:$A$5001,U$3,Base!$B$3:$B$5001,$A$59,Base!$K$3:$K$5001,"&lt;&gt;")=0,"",SUMIFS(Base!$K$3:$K$5001,Base!$A$3:$A$5001,U$3,Base!$B$3:$B$5001,$A$59)))</f>
        <v/>
      </c>
      <c r="V67" s="79" t="str">
        <f>IF(V$3="","",IF(COUNTIFS(Base!$A$3:$A$5001,V$3,Base!$B$3:$B$5001,$A$59,Base!$K$3:$K$5001,"&lt;&gt;")=0,"",SUMIFS(Base!$K$3:$K$5001,Base!$A$3:$A$5001,V$3,Base!$B$3:$B$5001,$A$59)))</f>
        <v/>
      </c>
      <c r="W67" s="79" t="str">
        <f>IF(W$3="","",IF(COUNTIFS(Base!$A$3:$A$5001,W$3,Base!$B$3:$B$5001,$A$59,Base!$K$3:$K$5001,"&lt;&gt;")=0,"",SUMIFS(Base!$K$3:$K$5001,Base!$A$3:$A$5001,W$3,Base!$B$3:$B$5001,$A$59)))</f>
        <v/>
      </c>
      <c r="X67" s="79" t="str">
        <f>IF(X$3="","",IF(COUNTIFS(Base!$A$3:$A$5001,X$3,Base!$B$3:$B$5001,$A$59,Base!$K$3:$K$5001,"&lt;&gt;")=0,"",SUMIFS(Base!$K$3:$K$5001,Base!$A$3:$A$5001,X$3,Base!$B$3:$B$5001,$A$59)))</f>
        <v/>
      </c>
      <c r="Y67" s="79" t="str">
        <f>IF(Y$3="","",IF(COUNTIFS(Base!$A$3:$A$5001,Y$3,Base!$B$3:$B$5001,$A$59,Base!$K$3:$K$5001,"&lt;&gt;")=0,"",SUMIFS(Base!$K$3:$K$5001,Base!$A$3:$A$5001,Y$3,Base!$B$3:$B$5001,$A$59)))</f>
        <v/>
      </c>
      <c r="Z67" s="79" t="str">
        <f>IF(Z$3="","",IF(COUNTIFS(Base!$A$3:$A$5001,Z$3,Base!$B$3:$B$5001,$A$59,Base!$K$3:$K$5001,"&lt;&gt;")=0,"",SUMIFS(Base!$K$3:$K$5001,Base!$A$3:$A$5001,Z$3,Base!$B$3:$B$5001,$A$59)))</f>
        <v/>
      </c>
      <c r="AA67" s="79" t="str">
        <f>IF(AA$3="","",IF(COUNTIFS(Base!$A$3:$A$5001,AA$3,Base!$B$3:$B$5001,$A$59,Base!$K$3:$K$5001,"&lt;&gt;")=0,"",SUMIFS(Base!$K$3:$K$5001,Base!$A$3:$A$5001,AA$3,Base!$B$3:$B$5001,$A$59)))</f>
        <v/>
      </c>
      <c r="AB67" s="79" t="str">
        <f>IF(AB$3="","",IF(COUNTIFS(Base!$A$3:$A$5001,AB$3,Base!$B$3:$B$5001,$A$59,Base!$K$3:$K$5001,"&lt;&gt;")=0,"",SUMIFS(Base!$K$3:$K$5001,Base!$A$3:$A$5001,AB$3,Base!$B$3:$B$5001,$A$59)))</f>
        <v/>
      </c>
      <c r="AC67" s="79" t="str">
        <f>IF(AC$3="","",IF(COUNTIFS(Base!$A$3:$A$5001,AC$3,Base!$B$3:$B$5001,$A$59,Base!$K$3:$K$5001,"&lt;&gt;")=0,"",SUMIFS(Base!$K$3:$K$5001,Base!$A$3:$A$5001,AC$3,Base!$B$3:$B$5001,$A$59)))</f>
        <v/>
      </c>
      <c r="AD67" s="79" t="str">
        <f>IF(AD$3="","",IF(COUNTIFS(Base!$A$3:$A$5001,AD$3,Base!$B$3:$B$5001,$A$59,Base!$K$3:$K$5001,"&lt;&gt;")=0,"",SUMIFS(Base!$K$3:$K$5001,Base!$A$3:$A$5001,AD$3,Base!$B$3:$B$5001,$A$59)))</f>
        <v/>
      </c>
      <c r="AE67" s="79" t="str">
        <f>IF(AE$3="","",IF(COUNTIFS(Base!$A$3:$A$5001,AE$3,Base!$B$3:$B$5001,$A$59,Base!$K$3:$K$5001,"&lt;&gt;")=0,"",SUMIFS(Base!$K$3:$K$5001,Base!$A$3:$A$5001,AE$3,Base!$B$3:$B$5001,$A$59)))</f>
        <v/>
      </c>
      <c r="AF67" s="79" t="str">
        <f>IF(AF$3="","",IF(COUNTIFS(Base!$A$3:$A$5001,AF$3,Base!$B$3:$B$5001,$A$59,Base!$K$3:$K$5001,"&lt;&gt;")=0,"",SUMIFS(Base!$K$3:$K$5001,Base!$A$3:$A$5001,AF$3,Base!$B$3:$B$5001,$A$59)))</f>
        <v/>
      </c>
      <c r="AG67" s="79" t="str">
        <f>IF(AG$3="","",IF(COUNTIFS(Base!$A$3:$A$5001,AG$3,Base!$B$3:$B$5001,$A$59,Base!$K$3:$K$5001,"&lt;&gt;")=0,"",SUMIFS(Base!$K$3:$K$5001,Base!$A$3:$A$5001,AG$3,Base!$B$3:$B$5001,$A$59)))</f>
        <v/>
      </c>
      <c r="AH67" s="79" t="str">
        <f>IF(AH$3="","",IF(COUNTIFS(Base!$A$3:$A$5001,AH$3,Base!$B$3:$B$5001,$A$59,Base!$K$3:$K$5001,"&lt;&gt;")=0,"",SUMIFS(Base!$K$3:$K$5001,Base!$A$3:$A$5001,AH$3,Base!$B$3:$B$5001,$A$59)))</f>
        <v/>
      </c>
      <c r="AI67" s="79" t="str">
        <f>IF(AI$3="","",IF(COUNTIFS(Base!$A$3:$A$5001,AI$3,Base!$B$3:$B$5001,$A$59,Base!$K$3:$K$5001,"&lt;&gt;")=0,"",SUMIFS(Base!$K$3:$K$5001,Base!$A$3:$A$5001,AI$3,Base!$B$3:$B$5001,$A$59)))</f>
        <v/>
      </c>
      <c r="AJ67" s="80" t="str">
        <f>IF(AJ$3="","",IF(COUNTIFS(Base!$A$3:$A$5001,AJ$3,Base!$B$3:$B$5001,$A$59,Base!$K$3:$K$5001,"&lt;&gt;")=0,"",SUMIFS(Base!$K$3:$K$5001,Base!$A$3:$A$5001,AJ$3,Base!$B$3:$B$5001,$A$59)))</f>
        <v/>
      </c>
      <c r="AK67" s="76" t="str">
        <f>IFERROR(LOOKUP(9.99E+307,F67:AJ67),"")</f>
        <v/>
      </c>
    </row>
    <row r="68" ht="15.75" customHeight="1">
      <c r="A68" s="118"/>
      <c r="B68" s="105" t="inlineStr">
        <is>
          <t xml:space="preserve">OCUPAÇÃO (P.P)</t>
        </is>
      </c>
      <c r="C68" s="21" t="inlineStr">
        <is>
          <t xml:space="preserve">Posições Disponíveis</t>
        </is>
      </c>
      <c r="D68" s="22"/>
      <c r="E68" s="23"/>
      <c r="F68" s="24">
        <f>IF(F$3="","",IF(COUNTIFS(Base!$A$3:$A$5001,F$3,Base!$B$3:$B$5001,$A$59,Base!$L$3:$L$5001,"&lt;&gt;")=0,"",SUMIFS(Base!$L$3:$L$5001,Base!$A$3:$A$5001,F$3,Base!$B$3:$B$5001,$A$59)))</f>
        <v>1400</v>
      </c>
      <c r="G68" s="25">
        <f>IF(G$3="","",IF(COUNTIFS(Base!$A$3:$A$5001,G$3,Base!$B$3:$B$5001,$A$59,Base!$L$3:$L$5001,"&lt;&gt;")=0,"",SUMIFS(Base!$L$3:$L$5001,Base!$A$3:$A$5001,G$3,Base!$B$3:$B$5001,$A$59)))</f>
        <v>1400</v>
      </c>
      <c r="H68" s="25">
        <f>IF(H$3="","",IF(COUNTIFS(Base!$A$3:$A$5001,H$3,Base!$B$3:$B$5001,$A$59,Base!$L$3:$L$5001,"&lt;&gt;")=0,"",SUMIFS(Base!$L$3:$L$5001,Base!$A$3:$A$5001,H$3,Base!$B$3:$B$5001,$A$59)))</f>
        <v>1400</v>
      </c>
      <c r="I68" s="25">
        <f>IF(I$3="","",IF(COUNTIFS(Base!$A$3:$A$5001,I$3,Base!$B$3:$B$5001,$A$59,Base!$L$3:$L$5001,"&lt;&gt;")=0,"",SUMIFS(Base!$L$3:$L$5001,Base!$A$3:$A$5001,I$3,Base!$B$3:$B$5001,$A$59)))</f>
        <v>1400</v>
      </c>
      <c r="J68" s="25">
        <f>IF(J$3="","",IF(COUNTIFS(Base!$A$3:$A$5001,J$3,Base!$B$3:$B$5001,$A$59,Base!$L$3:$L$5001,"&lt;&gt;")=0,"",SUMIFS(Base!$L$3:$L$5001,Base!$A$3:$A$5001,J$3,Base!$B$3:$B$5001,$A$59)))</f>
        <v>1400</v>
      </c>
      <c r="K68" s="25" t="str">
        <f>IF(K$3="","",IF(COUNTIFS(Base!$A$3:$A$5001,K$3,Base!$B$3:$B$5001,$A$59,Base!$L$3:$L$5001,"&lt;&gt;")=0,"",SUMIFS(Base!$L$3:$L$5001,Base!$A$3:$A$5001,K$3,Base!$B$3:$B$5001,$A$59)))</f>
        <v/>
      </c>
      <c r="L68" s="25">
        <f>IF(L$3="","",IF(COUNTIFS(Base!$A$3:$A$5001,L$3,Base!$B$3:$B$5001,$A$59,Base!$L$3:$L$5001,"&lt;&gt;")=0,"",SUMIFS(Base!$L$3:$L$5001,Base!$A$3:$A$5001,L$3,Base!$B$3:$B$5001,$A$59)))</f>
        <v>1400</v>
      </c>
      <c r="M68" s="25">
        <f>IF(M$3="","",IF(COUNTIFS(Base!$A$3:$A$5001,M$3,Base!$B$3:$B$5001,$A$59,Base!$L$3:$L$5001,"&lt;&gt;")=0,"",SUMIFS(Base!$L$3:$L$5001,Base!$A$3:$A$5001,M$3,Base!$B$3:$B$5001,$A$59)))</f>
        <v>1400</v>
      </c>
      <c r="N68" s="25">
        <f>IF(N$3="","",IF(COUNTIFS(Base!$A$3:$A$5001,N$3,Base!$B$3:$B$5001,$A$59,Base!$L$3:$L$5001,"&lt;&gt;")=0,"",SUMIFS(Base!$L$3:$L$5001,Base!$A$3:$A$5001,N$3,Base!$B$3:$B$5001,$A$59)))</f>
        <v>1400</v>
      </c>
      <c r="O68" s="25">
        <f>IF(O$3="","",IF(COUNTIFS(Base!$A$3:$A$5001,O$3,Base!$B$3:$B$5001,$A$59,Base!$L$3:$L$5001,"&lt;&gt;")=0,"",SUMIFS(Base!$L$3:$L$5001,Base!$A$3:$A$5001,O$3,Base!$B$3:$B$5001,$A$59)))</f>
        <v>1400</v>
      </c>
      <c r="P68" s="25">
        <f>IF(P$3="","",IF(COUNTIFS(Base!$A$3:$A$5001,P$3,Base!$B$3:$B$5001,$A$59,Base!$L$3:$L$5001,"&lt;&gt;")=0,"",SUMIFS(Base!$L$3:$L$5001,Base!$A$3:$A$5001,P$3,Base!$B$3:$B$5001,$A$59)))</f>
        <v>1400</v>
      </c>
      <c r="Q68" s="25" t="str">
        <f>IF(Q$3="","",IF(COUNTIFS(Base!$A$3:$A$5001,Q$3,Base!$B$3:$B$5001,$A$59,Base!$L$3:$L$5001,"&lt;&gt;")=0,"",SUMIFS(Base!$L$3:$L$5001,Base!$A$3:$A$5001,Q$3,Base!$B$3:$B$5001,$A$59)))</f>
        <v/>
      </c>
      <c r="R68" s="25">
        <f>IF(R$3="","",IF(COUNTIFS(Base!$A$3:$A$5001,R$3,Base!$B$3:$B$5001,$A$59,Base!$L$3:$L$5001,"&lt;&gt;")=0,"",SUMIFS(Base!$L$3:$L$5001,Base!$A$3:$A$5001,R$3,Base!$B$3:$B$5001,$A$59)))</f>
        <v>1400</v>
      </c>
      <c r="S68" s="25">
        <f>IF(S$3="","",IF(COUNTIFS(Base!$A$3:$A$5001,S$3,Base!$B$3:$B$5001,$A$59,Base!$L$3:$L$5001,"&lt;&gt;")=0,"",SUMIFS(Base!$L$3:$L$5001,Base!$A$3:$A$5001,S$3,Base!$B$3:$B$5001,$A$59)))</f>
        <v>1400</v>
      </c>
      <c r="T68" s="25">
        <f>IF(T$3="","",IF(COUNTIFS(Base!$A$3:$A$5001,T$3,Base!$B$3:$B$5001,$A$59,Base!$L$3:$L$5001,"&lt;&gt;")=0,"",SUMIFS(Base!$L$3:$L$5001,Base!$A$3:$A$5001,T$3,Base!$B$3:$B$5001,$A$59)))</f>
        <v>1400</v>
      </c>
      <c r="U68" s="25">
        <f>IF(U$3="","",IF(COUNTIFS(Base!$A$3:$A$5001,U$3,Base!$B$3:$B$5001,$A$59,Base!$L$3:$L$5001,"&lt;&gt;")=0,"",SUMIFS(Base!$L$3:$L$5001,Base!$A$3:$A$5001,U$3,Base!$B$3:$B$5001,$A$59)))</f>
        <v>1400</v>
      </c>
      <c r="V68" s="25">
        <f>IF(V$3="","",IF(COUNTIFS(Base!$A$3:$A$5001,V$3,Base!$B$3:$B$5001,$A$59,Base!$L$3:$L$5001,"&lt;&gt;")=0,"",SUMIFS(Base!$L$3:$L$5001,Base!$A$3:$A$5001,V$3,Base!$B$3:$B$5001,$A$59)))</f>
        <v>1400</v>
      </c>
      <c r="W68" s="25">
        <f>IF(W$3="","",IF(COUNTIFS(Base!$A$3:$A$5001,W$3,Base!$B$3:$B$5001,$A$59,Base!$L$3:$L$5001,"&lt;&gt;")=0,"",SUMIFS(Base!$L$3:$L$5001,Base!$A$3:$A$5001,W$3,Base!$B$3:$B$5001,$A$59)))</f>
        <v>1400</v>
      </c>
      <c r="X68" s="25" t="str">
        <f>IF(X$3="","",IF(COUNTIFS(Base!$A$3:$A$5001,X$3,Base!$B$3:$B$5001,$A$59,Base!$L$3:$L$5001,"&lt;&gt;")=0,"",SUMIFS(Base!$L$3:$L$5001,Base!$A$3:$A$5001,X$3,Base!$B$3:$B$5001,$A$59)))</f>
        <v/>
      </c>
      <c r="Y68" s="25" t="str">
        <f>IF(Y$3="","",IF(COUNTIFS(Base!$A$3:$A$5001,Y$3,Base!$B$3:$B$5001,$A$59,Base!$L$3:$L$5001,"&lt;&gt;")=0,"",SUMIFS(Base!$L$3:$L$5001,Base!$A$3:$A$5001,Y$3,Base!$B$3:$B$5001,$A$59)))</f>
        <v/>
      </c>
      <c r="Z68" s="25">
        <f>IF(Z$3="","",IF(COUNTIFS(Base!$A$3:$A$5001,Z$3,Base!$B$3:$B$5001,$A$59,Base!$L$3:$L$5001,"&lt;&gt;")=0,"",SUMIFS(Base!$L$3:$L$5001,Base!$A$3:$A$5001,Z$3,Base!$B$3:$B$5001,$A$59)))</f>
        <v>1400</v>
      </c>
      <c r="AA68" s="25">
        <f>IF(AA$3="","",IF(COUNTIFS(Base!$A$3:$A$5001,AA$3,Base!$B$3:$B$5001,$A$59,Base!$L$3:$L$5001,"&lt;&gt;")=0,"",SUMIFS(Base!$L$3:$L$5001,Base!$A$3:$A$5001,AA$3,Base!$B$3:$B$5001,$A$59)))</f>
        <v>1400</v>
      </c>
      <c r="AB68" s="25">
        <f>IF(AB$3="","",IF(COUNTIFS(Base!$A$3:$A$5001,AB$3,Base!$B$3:$B$5001,$A$59,Base!$L$3:$L$5001,"&lt;&gt;")=0,"",SUMIFS(Base!$L$3:$L$5001,Base!$A$3:$A$5001,AB$3,Base!$B$3:$B$5001,$A$59)))</f>
        <v>1400</v>
      </c>
      <c r="AC68" s="25">
        <f>IF(AC$3="","",IF(COUNTIFS(Base!$A$3:$A$5001,AC$3,Base!$B$3:$B$5001,$A$59,Base!$L$3:$L$5001,"&lt;&gt;")=0,"",SUMIFS(Base!$L$3:$L$5001,Base!$A$3:$A$5001,AC$3,Base!$B$3:$B$5001,$A$59)))</f>
        <v>1400</v>
      </c>
      <c r="AD68" s="25">
        <f>IF(AD$3="","",IF(COUNTIFS(Base!$A$3:$A$5001,AD$3,Base!$B$3:$B$5001,$A$59,Base!$L$3:$L$5001,"&lt;&gt;")=0,"",SUMIFS(Base!$L$3:$L$5001,Base!$A$3:$A$5001,AD$3,Base!$B$3:$B$5001,$A$59)))</f>
        <v>1400</v>
      </c>
      <c r="AE68" s="25" t="str">
        <f>IF(AE$3="","",IF(COUNTIFS(Base!$A$3:$A$5001,AE$3,Base!$B$3:$B$5001,$A$59,Base!$L$3:$L$5001,"&lt;&gt;")=0,"",SUMIFS(Base!$L$3:$L$5001,Base!$A$3:$A$5001,AE$3,Base!$B$3:$B$5001,$A$59)))</f>
        <v/>
      </c>
      <c r="AF68" s="25" t="str">
        <f>IF(AF$3="","",IF(COUNTIFS(Base!$A$3:$A$5001,AF$3,Base!$B$3:$B$5001,$A$59,Base!$L$3:$L$5001,"&lt;&gt;")=0,"",SUMIFS(Base!$L$3:$L$5001,Base!$A$3:$A$5001,AF$3,Base!$B$3:$B$5001,$A$59)))</f>
        <v/>
      </c>
      <c r="AG68" s="25">
        <f>IF(AG$3="","",IF(COUNTIFS(Base!$A$3:$A$5001,AG$3,Base!$B$3:$B$5001,$A$59,Base!$L$3:$L$5001,"&lt;&gt;")=0,"",SUMIFS(Base!$L$3:$L$5001,Base!$A$3:$A$5001,AG$3,Base!$B$3:$B$5001,$A$59)))</f>
        <v>1400</v>
      </c>
      <c r="AH68" s="25">
        <f>IF(AH$3="","",IF(COUNTIFS(Base!$A$3:$A$5001,AH$3,Base!$B$3:$B$5001,$A$59,Base!$L$3:$L$5001,"&lt;&gt;")=0,"",SUMIFS(Base!$L$3:$L$5001,Base!$A$3:$A$5001,AH$3,Base!$B$3:$B$5001,$A$59)))</f>
        <v>1400</v>
      </c>
      <c r="AI68" s="25" t="str">
        <f>IF(AI$3="","",IF(COUNTIFS(Base!$A$3:$A$5001,AI$3,Base!$B$3:$B$5001,$A$59,Base!$L$3:$L$5001,"&lt;&gt;")=0,"",SUMIFS(Base!$L$3:$L$5001,Base!$A$3:$A$5001,AI$3,Base!$B$3:$B$5001,$A$59)))</f>
        <v/>
      </c>
      <c r="AJ68" s="26" t="str">
        <f>IF(AJ$3="","",IF(COUNTIFS(Base!$A$3:$A$5001,AJ$3,Base!$B$3:$B$5001,$A$59,Base!$L$3:$L$5001,"&lt;&gt;")=0,"",SUMIFS(Base!$L$3:$L$5001,Base!$A$3:$A$5001,AJ$3,Base!$B$3:$B$5001,$A$59)))</f>
        <v/>
      </c>
      <c r="AK68" s="27">
        <f>IFERROR(LOOKUP(9.99E+307,F68:AJ68),"")</f>
        <v>1400</v>
      </c>
    </row>
    <row r="69" ht="15.75" customHeight="1">
      <c r="A69" s="118"/>
      <c r="B69" s="106"/>
      <c r="C69" s="28" t="inlineStr">
        <is>
          <t xml:space="preserve">Posições Ocupadas</t>
        </is>
      </c>
      <c r="D69" s="29"/>
      <c r="E69" s="30"/>
      <c r="F69" s="31">
        <f>IF(F$3="","",IF(COUNTIFS(Base!$A$3:$A$5001,F$3,Base!$B$3:$B$5001,$A$59,Base!$M$3:$M$5001,"&lt;&gt;")=0,"",SUMIFS(Base!$M$3:$M$5001,Base!$A$3:$A$5001,F$3,Base!$B$3:$B$5001,$A$59)))</f>
        <v>1284</v>
      </c>
      <c r="G69" s="32">
        <f>IF(G$3="","",IF(COUNTIFS(Base!$A$3:$A$5001,G$3,Base!$B$3:$B$5001,$A$59,Base!$M$3:$M$5001,"&lt;&gt;")=0,"",SUMIFS(Base!$M$3:$M$5001,Base!$A$3:$A$5001,G$3,Base!$B$3:$B$5001,$A$59)))</f>
        <v>1076</v>
      </c>
      <c r="H69" s="32">
        <f>IF(H$3="","",IF(COUNTIFS(Base!$A$3:$A$5001,H$3,Base!$B$3:$B$5001,$A$59,Base!$M$3:$M$5001,"&lt;&gt;")=0,"",SUMIFS(Base!$M$3:$M$5001,Base!$A$3:$A$5001,H$3,Base!$B$3:$B$5001,$A$59)))</f>
        <v>1104</v>
      </c>
      <c r="I69" s="32">
        <f>IF(I$3="","",IF(COUNTIFS(Base!$A$3:$A$5001,I$3,Base!$B$3:$B$5001,$A$59,Base!$M$3:$M$5001,"&lt;&gt;")=0,"",SUMIFS(Base!$M$3:$M$5001,Base!$A$3:$A$5001,I$3,Base!$B$3:$B$5001,$A$59)))</f>
        <v>804</v>
      </c>
      <c r="J69" s="32">
        <f>IF(J$3="","",IF(COUNTIFS(Base!$A$3:$A$5001,J$3,Base!$B$3:$B$5001,$A$59,Base!$M$3:$M$5001,"&lt;&gt;")=0,"",SUMIFS(Base!$M$3:$M$5001,Base!$A$3:$A$5001,J$3,Base!$B$3:$B$5001,$A$59)))</f>
        <v>887</v>
      </c>
      <c r="K69" s="32" t="str">
        <f>IF(K$3="","",IF(COUNTIFS(Base!$A$3:$A$5001,K$3,Base!$B$3:$B$5001,$A$59,Base!$M$3:$M$5001,"&lt;&gt;")=0,"",SUMIFS(Base!$M$3:$M$5001,Base!$A$3:$A$5001,K$3,Base!$B$3:$B$5001,$A$59)))</f>
        <v/>
      </c>
      <c r="L69" s="32">
        <f>IF(L$3="","",IF(COUNTIFS(Base!$A$3:$A$5001,L$3,Base!$B$3:$B$5001,$A$59,Base!$M$3:$M$5001,"&lt;&gt;")=0,"",SUMIFS(Base!$M$3:$M$5001,Base!$A$3:$A$5001,L$3,Base!$B$3:$B$5001,$A$59)))</f>
        <v>931</v>
      </c>
      <c r="M69" s="32">
        <f>IF(M$3="","",IF(COUNTIFS(Base!$A$3:$A$5001,M$3,Base!$B$3:$B$5001,$A$59,Base!$M$3:$M$5001,"&lt;&gt;")=0,"",SUMIFS(Base!$M$3:$M$5001,Base!$A$3:$A$5001,M$3,Base!$B$3:$B$5001,$A$59)))</f>
        <v>856</v>
      </c>
      <c r="N69" s="32">
        <f>IF(N$3="","",IF(COUNTIFS(Base!$A$3:$A$5001,N$3,Base!$B$3:$B$5001,$A$59,Base!$M$3:$M$5001,"&lt;&gt;")=0,"",SUMIFS(Base!$M$3:$M$5001,Base!$A$3:$A$5001,N$3,Base!$B$3:$B$5001,$A$59)))</f>
        <v>746</v>
      </c>
      <c r="O69" s="32">
        <f>IF(O$3="","",IF(COUNTIFS(Base!$A$3:$A$5001,O$3,Base!$B$3:$B$5001,$A$59,Base!$M$3:$M$5001,"&lt;&gt;")=0,"",SUMIFS(Base!$M$3:$M$5001,Base!$A$3:$A$5001,O$3,Base!$B$3:$B$5001,$A$59)))</f>
        <v>1186</v>
      </c>
      <c r="P69" s="32">
        <f>IF(P$3="","",IF(COUNTIFS(Base!$A$3:$A$5001,P$3,Base!$B$3:$B$5001,$A$59,Base!$M$3:$M$5001,"&lt;&gt;")=0,"",SUMIFS(Base!$M$3:$M$5001,Base!$A$3:$A$5001,P$3,Base!$B$3:$B$5001,$A$59)))</f>
        <v>1122</v>
      </c>
      <c r="Q69" s="32" t="str">
        <f>IF(Q$3="","",IF(COUNTIFS(Base!$A$3:$A$5001,Q$3,Base!$B$3:$B$5001,$A$59,Base!$M$3:$M$5001,"&lt;&gt;")=0,"",SUMIFS(Base!$M$3:$M$5001,Base!$A$3:$A$5001,Q$3,Base!$B$3:$B$5001,$A$59)))</f>
        <v/>
      </c>
      <c r="R69" s="32">
        <f>IF(R$3="","",IF(COUNTIFS(Base!$A$3:$A$5001,R$3,Base!$B$3:$B$5001,$A$59,Base!$M$3:$M$5001,"&lt;&gt;")=0,"",SUMIFS(Base!$M$3:$M$5001,Base!$A$3:$A$5001,R$3,Base!$B$3:$B$5001,$A$59)))</f>
        <v>1094</v>
      </c>
      <c r="S69" s="32">
        <f>IF(S$3="","",IF(COUNTIFS(Base!$A$3:$A$5001,S$3,Base!$B$3:$B$5001,$A$59,Base!$M$3:$M$5001,"&lt;&gt;")=0,"",SUMIFS(Base!$M$3:$M$5001,Base!$A$3:$A$5001,S$3,Base!$B$3:$B$5001,$A$59)))</f>
        <v>1266</v>
      </c>
      <c r="T69" s="32">
        <f>IF(T$3="","",IF(COUNTIFS(Base!$A$3:$A$5001,T$3,Base!$B$3:$B$5001,$A$59,Base!$M$3:$M$5001,"&lt;&gt;")=0,"",SUMIFS(Base!$M$3:$M$5001,Base!$A$3:$A$5001,T$3,Base!$B$3:$B$5001,$A$59)))</f>
        <v>796</v>
      </c>
      <c r="U69" s="32">
        <f>IF(U$3="","",IF(COUNTIFS(Base!$A$3:$A$5001,U$3,Base!$B$3:$B$5001,$A$59,Base!$M$3:$M$5001,"&lt;&gt;")=0,"",SUMIFS(Base!$M$3:$M$5001,Base!$A$3:$A$5001,U$3,Base!$B$3:$B$5001,$A$59)))</f>
        <v>1195</v>
      </c>
      <c r="V69" s="32">
        <f>IF(V$3="","",IF(COUNTIFS(Base!$A$3:$A$5001,V$3,Base!$B$3:$B$5001,$A$59,Base!$M$3:$M$5001,"&lt;&gt;")=0,"",SUMIFS(Base!$M$3:$M$5001,Base!$A$3:$A$5001,V$3,Base!$B$3:$B$5001,$A$59)))</f>
        <v>852</v>
      </c>
      <c r="W69" s="32">
        <f>IF(W$3="","",IF(COUNTIFS(Base!$A$3:$A$5001,W$3,Base!$B$3:$B$5001,$A$59,Base!$M$3:$M$5001,"&lt;&gt;")=0,"",SUMIFS(Base!$M$3:$M$5001,Base!$A$3:$A$5001,W$3,Base!$B$3:$B$5001,$A$59)))</f>
        <v>841</v>
      </c>
      <c r="X69" s="32" t="str">
        <f>IF(X$3="","",IF(COUNTIFS(Base!$A$3:$A$5001,X$3,Base!$B$3:$B$5001,$A$59,Base!$M$3:$M$5001,"&lt;&gt;")=0,"",SUMIFS(Base!$M$3:$M$5001,Base!$A$3:$A$5001,X$3,Base!$B$3:$B$5001,$A$59)))</f>
        <v/>
      </c>
      <c r="Y69" s="32" t="str">
        <f>IF(Y$3="","",IF(COUNTIFS(Base!$A$3:$A$5001,Y$3,Base!$B$3:$B$5001,$A$59,Base!$M$3:$M$5001,"&lt;&gt;")=0,"",SUMIFS(Base!$M$3:$M$5001,Base!$A$3:$A$5001,Y$3,Base!$B$3:$B$5001,$A$59)))</f>
        <v/>
      </c>
      <c r="Z69" s="32">
        <f>IF(Z$3="","",IF(COUNTIFS(Base!$A$3:$A$5001,Z$3,Base!$B$3:$B$5001,$A$59,Base!$M$3:$M$5001,"&lt;&gt;")=0,"",SUMIFS(Base!$M$3:$M$5001,Base!$A$3:$A$5001,Z$3,Base!$B$3:$B$5001,$A$59)))</f>
        <v>944</v>
      </c>
      <c r="AA69" s="32">
        <f>IF(AA$3="","",IF(COUNTIFS(Base!$A$3:$A$5001,AA$3,Base!$B$3:$B$5001,$A$59,Base!$M$3:$M$5001,"&lt;&gt;")=0,"",SUMIFS(Base!$M$3:$M$5001,Base!$A$3:$A$5001,AA$3,Base!$B$3:$B$5001,$A$59)))</f>
        <v>1032</v>
      </c>
      <c r="AB69" s="32">
        <f>IF(AB$3="","",IF(COUNTIFS(Base!$A$3:$A$5001,AB$3,Base!$B$3:$B$5001,$A$59,Base!$M$3:$M$5001,"&lt;&gt;")=0,"",SUMIFS(Base!$M$3:$M$5001,Base!$A$3:$A$5001,AB$3,Base!$B$3:$B$5001,$A$59)))</f>
        <v>1075</v>
      </c>
      <c r="AC69" s="32">
        <f>IF(AC$3="","",IF(COUNTIFS(Base!$A$3:$A$5001,AC$3,Base!$B$3:$B$5001,$A$59,Base!$M$3:$M$5001,"&lt;&gt;")=0,"",SUMIFS(Base!$M$3:$M$5001,Base!$A$3:$A$5001,AC$3,Base!$B$3:$B$5001,$A$59)))</f>
        <v>1186</v>
      </c>
      <c r="AD69" s="32">
        <f>IF(AD$3="","",IF(COUNTIFS(Base!$A$3:$A$5001,AD$3,Base!$B$3:$B$5001,$A$59,Base!$M$3:$M$5001,"&lt;&gt;")=0,"",SUMIFS(Base!$M$3:$M$5001,Base!$A$3:$A$5001,AD$3,Base!$B$3:$B$5001,$A$59)))</f>
        <v>726</v>
      </c>
      <c r="AE69" s="32" t="str">
        <f>IF(AE$3="","",IF(COUNTIFS(Base!$A$3:$A$5001,AE$3,Base!$B$3:$B$5001,$A$59,Base!$M$3:$M$5001,"&lt;&gt;")=0,"",SUMIFS(Base!$M$3:$M$5001,Base!$A$3:$A$5001,AE$3,Base!$B$3:$B$5001,$A$59)))</f>
        <v/>
      </c>
      <c r="AF69" s="32" t="str">
        <f>IF(AF$3="","",IF(COUNTIFS(Base!$A$3:$A$5001,AF$3,Base!$B$3:$B$5001,$A$59,Base!$M$3:$M$5001,"&lt;&gt;")=0,"",SUMIFS(Base!$M$3:$M$5001,Base!$A$3:$A$5001,AF$3,Base!$B$3:$B$5001,$A$59)))</f>
        <v/>
      </c>
      <c r="AG69" s="32">
        <f>IF(AG$3="","",IF(COUNTIFS(Base!$A$3:$A$5001,AG$3,Base!$B$3:$B$5001,$A$59,Base!$M$3:$M$5001,"&lt;&gt;")=0,"",SUMIFS(Base!$M$3:$M$5001,Base!$A$3:$A$5001,AG$3,Base!$B$3:$B$5001,$A$59)))</f>
        <v>777</v>
      </c>
      <c r="AH69" s="32">
        <f>IF(AH$3="","",IF(COUNTIFS(Base!$A$3:$A$5001,AH$3,Base!$B$3:$B$5001,$A$59,Base!$M$3:$M$5001,"&lt;&gt;")=0,"",SUMIFS(Base!$M$3:$M$5001,Base!$A$3:$A$5001,AH$3,Base!$B$3:$B$5001,$A$59)))</f>
        <v>1196</v>
      </c>
      <c r="AI69" s="32" t="str">
        <f>IF(AI$3="","",IF(COUNTIFS(Base!$A$3:$A$5001,AI$3,Base!$B$3:$B$5001,$A$59,Base!$M$3:$M$5001,"&lt;&gt;")=0,"",SUMIFS(Base!$M$3:$M$5001,Base!$A$3:$A$5001,AI$3,Base!$B$3:$B$5001,$A$59)))</f>
        <v/>
      </c>
      <c r="AJ69" s="33" t="str">
        <f>IF(AJ$3="","",IF(COUNTIFS(Base!$A$3:$A$5001,AJ$3,Base!$B$3:$B$5001,$A$59,Base!$M$3:$M$5001,"&lt;&gt;")=0,"",SUMIFS(Base!$M$3:$M$5001,Base!$A$3:$A$5001,AJ$3,Base!$B$3:$B$5001,$A$59)))</f>
        <v/>
      </c>
      <c r="AK69" s="34">
        <f>IFERROR(LOOKUP(9.99E+307,F69:AJ69),"")</f>
        <v>1196</v>
      </c>
    </row>
    <row r="70" ht="15.75" customHeight="1">
      <c r="A70" s="118"/>
      <c r="B70" s="107"/>
      <c r="C70" s="35" t="inlineStr">
        <is>
          <t xml:space="preserve">Taxa de Ocupação</t>
        </is>
      </c>
      <c r="D70" s="81"/>
      <c r="E70" s="37"/>
      <c r="F70" s="82">
        <f>IF(AND(ISNUMBER(F68),ISNUMBER(F69)),IF(F68&gt;0,F69/F68,""),"")</f>
        <v>0.917142857142857</v>
      </c>
      <c r="G70" s="83">
        <f>IF(AND(ISNUMBER(G68),ISNUMBER(G69)),IF(G68&gt;0,G69/G68,""),"")</f>
        <v>0.768571428571429</v>
      </c>
      <c r="H70" s="83">
        <f>IF(AND(ISNUMBER(H68),ISNUMBER(H69)),IF(H68&gt;0,H69/H68,""),"")</f>
        <v>0.788571428571429</v>
      </c>
      <c r="I70" s="83">
        <f>IF(AND(ISNUMBER(I68),ISNUMBER(I69)),IF(I68&gt;0,I69/I68,""),"")</f>
        <v>0.574285714285714</v>
      </c>
      <c r="J70" s="83">
        <f>IF(AND(ISNUMBER(J68),ISNUMBER(J69)),IF(J68&gt;0,J69/J68,""),"")</f>
        <v>0.633571428571429</v>
      </c>
      <c r="K70" s="83" t="str">
        <f>IF(AND(ISNUMBER(K68),ISNUMBER(K69)),IF(K68&gt;0,K69/K68,""),"")</f>
        <v/>
      </c>
      <c r="L70" s="83">
        <f>IF(AND(ISNUMBER(L68),ISNUMBER(L69)),IF(L68&gt;0,L69/L68,""),"")</f>
        <v>0.665</v>
      </c>
      <c r="M70" s="83">
        <f>IF(AND(ISNUMBER(M68),ISNUMBER(M69)),IF(M68&gt;0,M69/M68,""),"")</f>
        <v>0.611428571428571</v>
      </c>
      <c r="N70" s="83">
        <f>IF(AND(ISNUMBER(N68),ISNUMBER(N69)),IF(N68&gt;0,N69/N68,""),"")</f>
        <v>0.532857142857143</v>
      </c>
      <c r="O70" s="83">
        <f>IF(AND(ISNUMBER(O68),ISNUMBER(O69)),IF(O68&gt;0,O69/O68,""),"")</f>
        <v>0.847142857142857</v>
      </c>
      <c r="P70" s="83">
        <f>IF(AND(ISNUMBER(P68),ISNUMBER(P69)),IF(P68&gt;0,P69/P68,""),"")</f>
        <v>0.801428571428571</v>
      </c>
      <c r="Q70" s="83" t="str">
        <f>IF(AND(ISNUMBER(Q68),ISNUMBER(Q69)),IF(Q68&gt;0,Q69/Q68,""),"")</f>
        <v/>
      </c>
      <c r="R70" s="83">
        <f>IF(AND(ISNUMBER(R68),ISNUMBER(R69)),IF(R68&gt;0,R69/R68,""),"")</f>
        <v>0.781428571428572</v>
      </c>
      <c r="S70" s="83">
        <f>IF(AND(ISNUMBER(S68),ISNUMBER(S69)),IF(S68&gt;0,S69/S68,""),"")</f>
        <v>0.904285714285714</v>
      </c>
      <c r="T70" s="83">
        <f>IF(AND(ISNUMBER(T68),ISNUMBER(T69)),IF(T68&gt;0,T69/T68,""),"")</f>
        <v>0.568571428571429</v>
      </c>
      <c r="U70" s="83">
        <f>IF(AND(ISNUMBER(U68),ISNUMBER(U69)),IF(U68&gt;0,U69/U68,""),"")</f>
        <v>0.853571428571429</v>
      </c>
      <c r="V70" s="83">
        <f>IF(AND(ISNUMBER(V68),ISNUMBER(V69)),IF(V68&gt;0,V69/V68,""),"")</f>
        <v>0.608571428571429</v>
      </c>
      <c r="W70" s="83">
        <f>IF(AND(ISNUMBER(W68),ISNUMBER(W69)),IF(W68&gt;0,W69/W68,""),"")</f>
        <v>0.600714285714286</v>
      </c>
      <c r="X70" s="83" t="str">
        <f>IF(AND(ISNUMBER(X68),ISNUMBER(X69)),IF(X68&gt;0,X69/X68,""),"")</f>
        <v/>
      </c>
      <c r="Y70" s="83" t="str">
        <f>IF(AND(ISNUMBER(Y68),ISNUMBER(Y69)),IF(Y68&gt;0,Y69/Y68,""),"")</f>
        <v/>
      </c>
      <c r="Z70" s="83">
        <f>IF(AND(ISNUMBER(Z68),ISNUMBER(Z69)),IF(Z68&gt;0,Z69/Z68,""),"")</f>
        <v>0.674285714285714</v>
      </c>
      <c r="AA70" s="83">
        <f>IF(AND(ISNUMBER(AA68),ISNUMBER(AA69)),IF(AA68&gt;0,AA69/AA68,""),"")</f>
        <v>0.737142857142857</v>
      </c>
      <c r="AB70" s="83">
        <f>IF(AND(ISNUMBER(AB68),ISNUMBER(AB69)),IF(AB68&gt;0,AB69/AB68,""),"")</f>
        <v>0.767857142857143</v>
      </c>
      <c r="AC70" s="83">
        <f>IF(AND(ISNUMBER(AC68),ISNUMBER(AC69)),IF(AC68&gt;0,AC69/AC68,""),"")</f>
        <v>0.847142857142857</v>
      </c>
      <c r="AD70" s="83">
        <f>IF(AND(ISNUMBER(AD68),ISNUMBER(AD69)),IF(AD68&gt;0,AD69/AD68,""),"")</f>
        <v>0.518571428571429</v>
      </c>
      <c r="AE70" s="83" t="str">
        <f>IF(AND(ISNUMBER(AE68),ISNUMBER(AE69)),IF(AE68&gt;0,AE69/AE68,""),"")</f>
        <v/>
      </c>
      <c r="AF70" s="83" t="str">
        <f>IF(AND(ISNUMBER(AF68),ISNUMBER(AF69)),IF(AF68&gt;0,AF69/AF68,""),"")</f>
        <v/>
      </c>
      <c r="AG70" s="83">
        <f>IF(AND(ISNUMBER(AG68),ISNUMBER(AG69)),IF(AG68&gt;0,AG69/AG68,""),"")</f>
        <v>0.555</v>
      </c>
      <c r="AH70" s="83">
        <f>IF(AND(ISNUMBER(AH68),ISNUMBER(AH69)),IF(AH68&gt;0,AH69/AH68,""),"")</f>
        <v>0.854285714285714</v>
      </c>
      <c r="AI70" s="83" t="str">
        <f>IF(AND(ISNUMBER(AI68),ISNUMBER(AI69)),IF(AI68&gt;0,AI69/AI68,""),"")</f>
        <v/>
      </c>
      <c r="AJ70" s="84" t="str">
        <f>IF(AND(ISNUMBER(AJ68),ISNUMBER(AJ69)),IF(AJ68&gt;0,AJ69/AJ68,""),"")</f>
        <v/>
      </c>
      <c r="AK70" s="81">
        <f>IF(AND(ISNUMBER(AK68),ISNUMBER(AK69)),IF(AK68&gt;0,AK69/AK68,""),"")</f>
        <v>0.854285714285714</v>
      </c>
    </row>
    <row r="71" ht="15.75" customHeight="1">
      <c r="A71" s="118"/>
      <c r="B71" s="114" t="inlineStr">
        <is>
          <t xml:space="preserve">GENTE</t>
        </is>
      </c>
      <c r="C71" s="85" t="inlineStr">
        <is>
          <t xml:space="preserve">Efetivo Op.</t>
        </is>
      </c>
      <c r="D71" s="86"/>
      <c r="E71" s="87"/>
      <c r="F71" s="88">
        <f>IF(F$3="","",IF(COUNTIFS(Base!$A$3:$A$5001,F$3,Base!$B$3:$B$5001,$A$59,Base!$N$3:$N$5001,"&lt;&gt;")=0,"",SUMIFS(Base!$N$3:$N$5001,Base!$A$3:$A$5001,F$3,Base!$B$3:$B$5001,$A$59)))</f>
        <v>8</v>
      </c>
      <c r="G71" s="89">
        <f>IF(G$3="","",IF(COUNTIFS(Base!$A$3:$A$5001,G$3,Base!$B$3:$B$5001,$A$59,Base!$N$3:$N$5001,"&lt;&gt;")=0,"",SUMIFS(Base!$N$3:$N$5001,Base!$A$3:$A$5001,G$3,Base!$B$3:$B$5001,$A$59)))</f>
        <v>6</v>
      </c>
      <c r="H71" s="89">
        <f>IF(H$3="","",IF(COUNTIFS(Base!$A$3:$A$5001,H$3,Base!$B$3:$B$5001,$A$59,Base!$N$3:$N$5001,"&lt;&gt;")=0,"",SUMIFS(Base!$N$3:$N$5001,Base!$A$3:$A$5001,H$3,Base!$B$3:$B$5001,$A$59)))</f>
        <v>9</v>
      </c>
      <c r="I71" s="89">
        <f>IF(I$3="","",IF(COUNTIFS(Base!$A$3:$A$5001,I$3,Base!$B$3:$B$5001,$A$59,Base!$N$3:$N$5001,"&lt;&gt;")=0,"",SUMIFS(Base!$N$3:$N$5001,Base!$A$3:$A$5001,I$3,Base!$B$3:$B$5001,$A$59)))</f>
        <v>5</v>
      </c>
      <c r="J71" s="89">
        <f>IF(J$3="","",IF(COUNTIFS(Base!$A$3:$A$5001,J$3,Base!$B$3:$B$5001,$A$59,Base!$N$3:$N$5001,"&lt;&gt;")=0,"",SUMIFS(Base!$N$3:$N$5001,Base!$A$3:$A$5001,J$3,Base!$B$3:$B$5001,$A$59)))</f>
        <v>6</v>
      </c>
      <c r="K71" s="89" t="str">
        <f>IF(K$3="","",IF(COUNTIFS(Base!$A$3:$A$5001,K$3,Base!$B$3:$B$5001,$A$59,Base!$N$3:$N$5001,"&lt;&gt;")=0,"",SUMIFS(Base!$N$3:$N$5001,Base!$A$3:$A$5001,K$3,Base!$B$3:$B$5001,$A$59)))</f>
        <v/>
      </c>
      <c r="L71" s="89">
        <f>IF(L$3="","",IF(COUNTIFS(Base!$A$3:$A$5001,L$3,Base!$B$3:$B$5001,$A$59,Base!$N$3:$N$5001,"&lt;&gt;")=0,"",SUMIFS(Base!$N$3:$N$5001,Base!$A$3:$A$5001,L$3,Base!$B$3:$B$5001,$A$59)))</f>
        <v>9</v>
      </c>
      <c r="M71" s="89">
        <f>IF(M$3="","",IF(COUNTIFS(Base!$A$3:$A$5001,M$3,Base!$B$3:$B$5001,$A$59,Base!$N$3:$N$5001,"&lt;&gt;")=0,"",SUMIFS(Base!$N$3:$N$5001,Base!$A$3:$A$5001,M$3,Base!$B$3:$B$5001,$A$59)))</f>
        <v>7</v>
      </c>
      <c r="N71" s="89">
        <f>IF(N$3="","",IF(COUNTIFS(Base!$A$3:$A$5001,N$3,Base!$B$3:$B$5001,$A$59,Base!$N$3:$N$5001,"&lt;&gt;")=0,"",SUMIFS(Base!$N$3:$N$5001,Base!$A$3:$A$5001,N$3,Base!$B$3:$B$5001,$A$59)))</f>
        <v>4</v>
      </c>
      <c r="O71" s="89">
        <f>IF(O$3="","",IF(COUNTIFS(Base!$A$3:$A$5001,O$3,Base!$B$3:$B$5001,$A$59,Base!$N$3:$N$5001,"&lt;&gt;")=0,"",SUMIFS(Base!$N$3:$N$5001,Base!$A$3:$A$5001,O$3,Base!$B$3:$B$5001,$A$59)))</f>
        <v>7</v>
      </c>
      <c r="P71" s="89">
        <f>IF(P$3="","",IF(COUNTIFS(Base!$A$3:$A$5001,P$3,Base!$B$3:$B$5001,$A$59,Base!$N$3:$N$5001,"&lt;&gt;")=0,"",SUMIFS(Base!$N$3:$N$5001,Base!$A$3:$A$5001,P$3,Base!$B$3:$B$5001,$A$59)))</f>
        <v>7</v>
      </c>
      <c r="Q71" s="89" t="str">
        <f>IF(Q$3="","",IF(COUNTIFS(Base!$A$3:$A$5001,Q$3,Base!$B$3:$B$5001,$A$59,Base!$N$3:$N$5001,"&lt;&gt;")=0,"",SUMIFS(Base!$N$3:$N$5001,Base!$A$3:$A$5001,Q$3,Base!$B$3:$B$5001,$A$59)))</f>
        <v/>
      </c>
      <c r="R71" s="89">
        <f>IF(R$3="","",IF(COUNTIFS(Base!$A$3:$A$5001,R$3,Base!$B$3:$B$5001,$A$59,Base!$N$3:$N$5001,"&lt;&gt;")=0,"",SUMIFS(Base!$N$3:$N$5001,Base!$A$3:$A$5001,R$3,Base!$B$3:$B$5001,$A$59)))</f>
        <v>5</v>
      </c>
      <c r="S71" s="89">
        <f>IF(S$3="","",IF(COUNTIFS(Base!$A$3:$A$5001,S$3,Base!$B$3:$B$5001,$A$59,Base!$N$3:$N$5001,"&lt;&gt;")=0,"",SUMIFS(Base!$N$3:$N$5001,Base!$A$3:$A$5001,S$3,Base!$B$3:$B$5001,$A$59)))</f>
        <v>8</v>
      </c>
      <c r="T71" s="89">
        <f>IF(T$3="","",IF(COUNTIFS(Base!$A$3:$A$5001,T$3,Base!$B$3:$B$5001,$A$59,Base!$N$3:$N$5001,"&lt;&gt;")=0,"",SUMIFS(Base!$N$3:$N$5001,Base!$A$3:$A$5001,T$3,Base!$B$3:$B$5001,$A$59)))</f>
        <v>5</v>
      </c>
      <c r="U71" s="89">
        <f>IF(U$3="","",IF(COUNTIFS(Base!$A$3:$A$5001,U$3,Base!$B$3:$B$5001,$A$59,Base!$N$3:$N$5001,"&lt;&gt;")=0,"",SUMIFS(Base!$N$3:$N$5001,Base!$A$3:$A$5001,U$3,Base!$B$3:$B$5001,$A$59)))</f>
        <v>3</v>
      </c>
      <c r="V71" s="89">
        <f>IF(V$3="","",IF(COUNTIFS(Base!$A$3:$A$5001,V$3,Base!$B$3:$B$5001,$A$59,Base!$N$3:$N$5001,"&lt;&gt;")=0,"",SUMIFS(Base!$N$3:$N$5001,Base!$A$3:$A$5001,V$3,Base!$B$3:$B$5001,$A$59)))</f>
        <v>4</v>
      </c>
      <c r="W71" s="89">
        <f>IF(W$3="","",IF(COUNTIFS(Base!$A$3:$A$5001,W$3,Base!$B$3:$B$5001,$A$59,Base!$N$3:$N$5001,"&lt;&gt;")=0,"",SUMIFS(Base!$N$3:$N$5001,Base!$A$3:$A$5001,W$3,Base!$B$3:$B$5001,$A$59)))</f>
        <v>6</v>
      </c>
      <c r="X71" s="89" t="str">
        <f>IF(X$3="","",IF(COUNTIFS(Base!$A$3:$A$5001,X$3,Base!$B$3:$B$5001,$A$59,Base!$N$3:$N$5001,"&lt;&gt;")=0,"",SUMIFS(Base!$N$3:$N$5001,Base!$A$3:$A$5001,X$3,Base!$B$3:$B$5001,$A$59)))</f>
        <v/>
      </c>
      <c r="Y71" s="89" t="str">
        <f>IF(Y$3="","",IF(COUNTIFS(Base!$A$3:$A$5001,Y$3,Base!$B$3:$B$5001,$A$59,Base!$N$3:$N$5001,"&lt;&gt;")=0,"",SUMIFS(Base!$N$3:$N$5001,Base!$A$3:$A$5001,Y$3,Base!$B$3:$B$5001,$A$59)))</f>
        <v/>
      </c>
      <c r="Z71" s="89">
        <f>IF(Z$3="","",IF(COUNTIFS(Base!$A$3:$A$5001,Z$3,Base!$B$3:$B$5001,$A$59,Base!$N$3:$N$5001,"&lt;&gt;")=0,"",SUMIFS(Base!$N$3:$N$5001,Base!$A$3:$A$5001,Z$3,Base!$B$3:$B$5001,$A$59)))</f>
        <v>5</v>
      </c>
      <c r="AA71" s="89">
        <f>IF(AA$3="","",IF(COUNTIFS(Base!$A$3:$A$5001,AA$3,Base!$B$3:$B$5001,$A$59,Base!$N$3:$N$5001,"&lt;&gt;")=0,"",SUMIFS(Base!$N$3:$N$5001,Base!$A$3:$A$5001,AA$3,Base!$B$3:$B$5001,$A$59)))</f>
        <v>8</v>
      </c>
      <c r="AB71" s="89">
        <f>IF(AB$3="","",IF(COUNTIFS(Base!$A$3:$A$5001,AB$3,Base!$B$3:$B$5001,$A$59,Base!$N$3:$N$5001,"&lt;&gt;")=0,"",SUMIFS(Base!$N$3:$N$5001,Base!$A$3:$A$5001,AB$3,Base!$B$3:$B$5001,$A$59)))</f>
        <v>7</v>
      </c>
      <c r="AC71" s="89">
        <f>IF(AC$3="","",IF(COUNTIFS(Base!$A$3:$A$5001,AC$3,Base!$B$3:$B$5001,$A$59,Base!$N$3:$N$5001,"&lt;&gt;")=0,"",SUMIFS(Base!$N$3:$N$5001,Base!$A$3:$A$5001,AC$3,Base!$B$3:$B$5001,$A$59)))</f>
        <v>7</v>
      </c>
      <c r="AD71" s="89">
        <f>IF(AD$3="","",IF(COUNTIFS(Base!$A$3:$A$5001,AD$3,Base!$B$3:$B$5001,$A$59,Base!$N$3:$N$5001,"&lt;&gt;")=0,"",SUMIFS(Base!$N$3:$N$5001,Base!$A$3:$A$5001,AD$3,Base!$B$3:$B$5001,$A$59)))</f>
        <v>5</v>
      </c>
      <c r="AE71" s="89" t="str">
        <f>IF(AE$3="","",IF(COUNTIFS(Base!$A$3:$A$5001,AE$3,Base!$B$3:$B$5001,$A$59,Base!$N$3:$N$5001,"&lt;&gt;")=0,"",SUMIFS(Base!$N$3:$N$5001,Base!$A$3:$A$5001,AE$3,Base!$B$3:$B$5001,$A$59)))</f>
        <v/>
      </c>
      <c r="AF71" s="89" t="str">
        <f>IF(AF$3="","",IF(COUNTIFS(Base!$A$3:$A$5001,AF$3,Base!$B$3:$B$5001,$A$59,Base!$N$3:$N$5001,"&lt;&gt;")=0,"",SUMIFS(Base!$N$3:$N$5001,Base!$A$3:$A$5001,AF$3,Base!$B$3:$B$5001,$A$59)))</f>
        <v/>
      </c>
      <c r="AG71" s="89">
        <f>IF(AG$3="","",IF(COUNTIFS(Base!$A$3:$A$5001,AG$3,Base!$B$3:$B$5001,$A$59,Base!$N$3:$N$5001,"&lt;&gt;")=0,"",SUMIFS(Base!$N$3:$N$5001,Base!$A$3:$A$5001,AG$3,Base!$B$3:$B$5001,$A$59)))</f>
        <v>4</v>
      </c>
      <c r="AH71" s="89">
        <f>IF(AH$3="","",IF(COUNTIFS(Base!$A$3:$A$5001,AH$3,Base!$B$3:$B$5001,$A$59,Base!$N$3:$N$5001,"&lt;&gt;")=0,"",SUMIFS(Base!$N$3:$N$5001,Base!$A$3:$A$5001,AH$3,Base!$B$3:$B$5001,$A$59)))</f>
        <v>8</v>
      </c>
      <c r="AI71" s="89" t="str">
        <f>IF(AI$3="","",IF(COUNTIFS(Base!$A$3:$A$5001,AI$3,Base!$B$3:$B$5001,$A$59,Base!$N$3:$N$5001,"&lt;&gt;")=0,"",SUMIFS(Base!$N$3:$N$5001,Base!$A$3:$A$5001,AI$3,Base!$B$3:$B$5001,$A$59)))</f>
        <v/>
      </c>
      <c r="AJ71" s="90" t="str">
        <f>IF(AJ$3="","",IF(COUNTIFS(Base!$A$3:$A$5001,AJ$3,Base!$B$3:$B$5001,$A$59,Base!$N$3:$N$5001,"&lt;&gt;")=0,"",SUMIFS(Base!$N$3:$N$5001,Base!$A$3:$A$5001,AJ$3,Base!$B$3:$B$5001,$A$59)))</f>
        <v/>
      </c>
      <c r="AK71" s="91">
        <f>IFERROR(LOOKUP(9.99E+307,F71:AJ71),"")</f>
        <v>8</v>
      </c>
    </row>
    <row r="72" ht="15.75" customHeight="1">
      <c r="A72" s="118"/>
      <c r="B72" s="115"/>
      <c r="C72" s="92" t="inlineStr">
        <is>
          <t xml:space="preserve">Falta</t>
        </is>
      </c>
      <c r="D72" s="93"/>
      <c r="E72" s="94"/>
      <c r="F72" s="95" t="str">
        <f>IF(F$3="","",IF(COUNTIFS(Base!$A$3:$A$5001,F$3,Base!$B$3:$B$5001,$A$59,Base!$O$3:$O$5001,"&lt;&gt;")=0,"",SUMIFS(Base!$O$3:$O$5001,Base!$A$3:$A$5001,F$3,Base!$B$3:$B$5001,$A$59)))</f>
        <v/>
      </c>
      <c r="G72" s="96" t="str">
        <f>IF(G$3="","",IF(COUNTIFS(Base!$A$3:$A$5001,G$3,Base!$B$3:$B$5001,$A$59,Base!$O$3:$O$5001,"&lt;&gt;")=0,"",SUMIFS(Base!$O$3:$O$5001,Base!$A$3:$A$5001,G$3,Base!$B$3:$B$5001,$A$59)))</f>
        <v/>
      </c>
      <c r="H72" s="96" t="str">
        <f>IF(H$3="","",IF(COUNTIFS(Base!$A$3:$A$5001,H$3,Base!$B$3:$B$5001,$A$59,Base!$O$3:$O$5001,"&lt;&gt;")=0,"",SUMIFS(Base!$O$3:$O$5001,Base!$A$3:$A$5001,H$3,Base!$B$3:$B$5001,$A$59)))</f>
        <v/>
      </c>
      <c r="I72" s="96" t="str">
        <f>IF(I$3="","",IF(COUNTIFS(Base!$A$3:$A$5001,I$3,Base!$B$3:$B$5001,$A$59,Base!$O$3:$O$5001,"&lt;&gt;")=0,"",SUMIFS(Base!$O$3:$O$5001,Base!$A$3:$A$5001,I$3,Base!$B$3:$B$5001,$A$59)))</f>
        <v/>
      </c>
      <c r="J72" s="96" t="str">
        <f>IF(J$3="","",IF(COUNTIFS(Base!$A$3:$A$5001,J$3,Base!$B$3:$B$5001,$A$59,Base!$O$3:$O$5001,"&lt;&gt;")=0,"",SUMIFS(Base!$O$3:$O$5001,Base!$A$3:$A$5001,J$3,Base!$B$3:$B$5001,$A$59)))</f>
        <v/>
      </c>
      <c r="K72" s="96" t="str">
        <f>IF(K$3="","",IF(COUNTIFS(Base!$A$3:$A$5001,K$3,Base!$B$3:$B$5001,$A$59,Base!$O$3:$O$5001,"&lt;&gt;")=0,"",SUMIFS(Base!$O$3:$O$5001,Base!$A$3:$A$5001,K$3,Base!$B$3:$B$5001,$A$59)))</f>
        <v/>
      </c>
      <c r="L72" s="96" t="str">
        <f>IF(L$3="","",IF(COUNTIFS(Base!$A$3:$A$5001,L$3,Base!$B$3:$B$5001,$A$59,Base!$O$3:$O$5001,"&lt;&gt;")=0,"",SUMIFS(Base!$O$3:$O$5001,Base!$A$3:$A$5001,L$3,Base!$B$3:$B$5001,$A$59)))</f>
        <v/>
      </c>
      <c r="M72" s="96" t="str">
        <f>IF(M$3="","",IF(COUNTIFS(Base!$A$3:$A$5001,M$3,Base!$B$3:$B$5001,$A$59,Base!$O$3:$O$5001,"&lt;&gt;")=0,"",SUMIFS(Base!$O$3:$O$5001,Base!$A$3:$A$5001,M$3,Base!$B$3:$B$5001,$A$59)))</f>
        <v/>
      </c>
      <c r="N72" s="96" t="str">
        <f>IF(N$3="","",IF(COUNTIFS(Base!$A$3:$A$5001,N$3,Base!$B$3:$B$5001,$A$59,Base!$O$3:$O$5001,"&lt;&gt;")=0,"",SUMIFS(Base!$O$3:$O$5001,Base!$A$3:$A$5001,N$3,Base!$B$3:$B$5001,$A$59)))</f>
        <v/>
      </c>
      <c r="O72" s="96" t="str">
        <f>IF(O$3="","",IF(COUNTIFS(Base!$A$3:$A$5001,O$3,Base!$B$3:$B$5001,$A$59,Base!$O$3:$O$5001,"&lt;&gt;")=0,"",SUMIFS(Base!$O$3:$O$5001,Base!$A$3:$A$5001,O$3,Base!$B$3:$B$5001,$A$59)))</f>
        <v/>
      </c>
      <c r="P72" s="96" t="str">
        <f>IF(P$3="","",IF(COUNTIFS(Base!$A$3:$A$5001,P$3,Base!$B$3:$B$5001,$A$59,Base!$O$3:$O$5001,"&lt;&gt;")=0,"",SUMIFS(Base!$O$3:$O$5001,Base!$A$3:$A$5001,P$3,Base!$B$3:$B$5001,$A$59)))</f>
        <v/>
      </c>
      <c r="Q72" s="96" t="str">
        <f>IF(Q$3="","",IF(COUNTIFS(Base!$A$3:$A$5001,Q$3,Base!$B$3:$B$5001,$A$59,Base!$O$3:$O$5001,"&lt;&gt;")=0,"",SUMIFS(Base!$O$3:$O$5001,Base!$A$3:$A$5001,Q$3,Base!$B$3:$B$5001,$A$59)))</f>
        <v/>
      </c>
      <c r="R72" s="96" t="str">
        <f>IF(R$3="","",IF(COUNTIFS(Base!$A$3:$A$5001,R$3,Base!$B$3:$B$5001,$A$59,Base!$O$3:$O$5001,"&lt;&gt;")=0,"",SUMIFS(Base!$O$3:$O$5001,Base!$A$3:$A$5001,R$3,Base!$B$3:$B$5001,$A$59)))</f>
        <v/>
      </c>
      <c r="S72" s="96" t="str">
        <f>IF(S$3="","",IF(COUNTIFS(Base!$A$3:$A$5001,S$3,Base!$B$3:$B$5001,$A$59,Base!$O$3:$O$5001,"&lt;&gt;")=0,"",SUMIFS(Base!$O$3:$O$5001,Base!$A$3:$A$5001,S$3,Base!$B$3:$B$5001,$A$59)))</f>
        <v/>
      </c>
      <c r="T72" s="96" t="str">
        <f>IF(T$3="","",IF(COUNTIFS(Base!$A$3:$A$5001,T$3,Base!$B$3:$B$5001,$A$59,Base!$O$3:$O$5001,"&lt;&gt;")=0,"",SUMIFS(Base!$O$3:$O$5001,Base!$A$3:$A$5001,T$3,Base!$B$3:$B$5001,$A$59)))</f>
        <v/>
      </c>
      <c r="U72" s="96" t="str">
        <f>IF(U$3="","",IF(COUNTIFS(Base!$A$3:$A$5001,U$3,Base!$B$3:$B$5001,$A$59,Base!$O$3:$O$5001,"&lt;&gt;")=0,"",SUMIFS(Base!$O$3:$O$5001,Base!$A$3:$A$5001,U$3,Base!$B$3:$B$5001,$A$59)))</f>
        <v/>
      </c>
      <c r="V72" s="96" t="str">
        <f>IF(V$3="","",IF(COUNTIFS(Base!$A$3:$A$5001,V$3,Base!$B$3:$B$5001,$A$59,Base!$O$3:$O$5001,"&lt;&gt;")=0,"",SUMIFS(Base!$O$3:$O$5001,Base!$A$3:$A$5001,V$3,Base!$B$3:$B$5001,$A$59)))</f>
        <v/>
      </c>
      <c r="W72" s="96" t="str">
        <f>IF(W$3="","",IF(COUNTIFS(Base!$A$3:$A$5001,W$3,Base!$B$3:$B$5001,$A$59,Base!$O$3:$O$5001,"&lt;&gt;")=0,"",SUMIFS(Base!$O$3:$O$5001,Base!$A$3:$A$5001,W$3,Base!$B$3:$B$5001,$A$59)))</f>
        <v/>
      </c>
      <c r="X72" s="96" t="str">
        <f>IF(X$3="","",IF(COUNTIFS(Base!$A$3:$A$5001,X$3,Base!$B$3:$B$5001,$A$59,Base!$O$3:$O$5001,"&lt;&gt;")=0,"",SUMIFS(Base!$O$3:$O$5001,Base!$A$3:$A$5001,X$3,Base!$B$3:$B$5001,$A$59)))</f>
        <v/>
      </c>
      <c r="Y72" s="96" t="str">
        <f>IF(Y$3="","",IF(COUNTIFS(Base!$A$3:$A$5001,Y$3,Base!$B$3:$B$5001,$A$59,Base!$O$3:$O$5001,"&lt;&gt;")=0,"",SUMIFS(Base!$O$3:$O$5001,Base!$A$3:$A$5001,Y$3,Base!$B$3:$B$5001,$A$59)))</f>
        <v/>
      </c>
      <c r="Z72" s="96" t="str">
        <f>IF(Z$3="","",IF(COUNTIFS(Base!$A$3:$A$5001,Z$3,Base!$B$3:$B$5001,$A$59,Base!$O$3:$O$5001,"&lt;&gt;")=0,"",SUMIFS(Base!$O$3:$O$5001,Base!$A$3:$A$5001,Z$3,Base!$B$3:$B$5001,$A$59)))</f>
        <v/>
      </c>
      <c r="AA72" s="96" t="str">
        <f>IF(AA$3="","",IF(COUNTIFS(Base!$A$3:$A$5001,AA$3,Base!$B$3:$B$5001,$A$59,Base!$O$3:$O$5001,"&lt;&gt;")=0,"",SUMIFS(Base!$O$3:$O$5001,Base!$A$3:$A$5001,AA$3,Base!$B$3:$B$5001,$A$59)))</f>
        <v/>
      </c>
      <c r="AB72" s="96" t="str">
        <f>IF(AB$3="","",IF(COUNTIFS(Base!$A$3:$A$5001,AB$3,Base!$B$3:$B$5001,$A$59,Base!$O$3:$O$5001,"&lt;&gt;")=0,"",SUMIFS(Base!$O$3:$O$5001,Base!$A$3:$A$5001,AB$3,Base!$B$3:$B$5001,$A$59)))</f>
        <v/>
      </c>
      <c r="AC72" s="96" t="str">
        <f>IF(AC$3="","",IF(COUNTIFS(Base!$A$3:$A$5001,AC$3,Base!$B$3:$B$5001,$A$59,Base!$O$3:$O$5001,"&lt;&gt;")=0,"",SUMIFS(Base!$O$3:$O$5001,Base!$A$3:$A$5001,AC$3,Base!$B$3:$B$5001,$A$59)))</f>
        <v/>
      </c>
      <c r="AD72" s="96" t="str">
        <f>IF(AD$3="","",IF(COUNTIFS(Base!$A$3:$A$5001,AD$3,Base!$B$3:$B$5001,$A$59,Base!$O$3:$O$5001,"&lt;&gt;")=0,"",SUMIFS(Base!$O$3:$O$5001,Base!$A$3:$A$5001,AD$3,Base!$B$3:$B$5001,$A$59)))</f>
        <v/>
      </c>
      <c r="AE72" s="96" t="str">
        <f>IF(AE$3="","",IF(COUNTIFS(Base!$A$3:$A$5001,AE$3,Base!$B$3:$B$5001,$A$59,Base!$O$3:$O$5001,"&lt;&gt;")=0,"",SUMIFS(Base!$O$3:$O$5001,Base!$A$3:$A$5001,AE$3,Base!$B$3:$B$5001,$A$59)))</f>
        <v/>
      </c>
      <c r="AF72" s="96" t="str">
        <f>IF(AF$3="","",IF(COUNTIFS(Base!$A$3:$A$5001,AF$3,Base!$B$3:$B$5001,$A$59,Base!$O$3:$O$5001,"&lt;&gt;")=0,"",SUMIFS(Base!$O$3:$O$5001,Base!$A$3:$A$5001,AF$3,Base!$B$3:$B$5001,$A$59)))</f>
        <v/>
      </c>
      <c r="AG72" s="96" t="str">
        <f>IF(AG$3="","",IF(COUNTIFS(Base!$A$3:$A$5001,AG$3,Base!$B$3:$B$5001,$A$59,Base!$O$3:$O$5001,"&lt;&gt;")=0,"",SUMIFS(Base!$O$3:$O$5001,Base!$A$3:$A$5001,AG$3,Base!$B$3:$B$5001,$A$59)))</f>
        <v/>
      </c>
      <c r="AH72" s="96" t="str">
        <f>IF(AH$3="","",IF(COUNTIFS(Base!$A$3:$A$5001,AH$3,Base!$B$3:$B$5001,$A$59,Base!$O$3:$O$5001,"&lt;&gt;")=0,"",SUMIFS(Base!$O$3:$O$5001,Base!$A$3:$A$5001,AH$3,Base!$B$3:$B$5001,$A$59)))</f>
        <v/>
      </c>
      <c r="AI72" s="96" t="str">
        <f>IF(AI$3="","",IF(COUNTIFS(Base!$A$3:$A$5001,AI$3,Base!$B$3:$B$5001,$A$59,Base!$O$3:$O$5001,"&lt;&gt;")=0,"",SUMIFS(Base!$O$3:$O$5001,Base!$A$3:$A$5001,AI$3,Base!$B$3:$B$5001,$A$59)))</f>
        <v/>
      </c>
      <c r="AJ72" s="97" t="str">
        <f>IF(AJ$3="","",IF(COUNTIFS(Base!$A$3:$A$5001,AJ$3,Base!$B$3:$B$5001,$A$59,Base!$O$3:$O$5001,"&lt;&gt;")=0,"",SUMIFS(Base!$O$3:$O$5001,Base!$A$3:$A$5001,AJ$3,Base!$B$3:$B$5001,$A$59)))</f>
        <v/>
      </c>
      <c r="AK72" s="98" t="str">
        <f>IF(COUNT(F72:AJ72)=0,"",SUM(F72:AJ72))</f>
        <v/>
      </c>
    </row>
    <row r="73" ht="15.75" customHeight="1">
      <c r="A73" s="118"/>
      <c r="B73" s="115"/>
      <c r="C73" s="92" t="inlineStr">
        <is>
          <t xml:space="preserve">Folga</t>
        </is>
      </c>
      <c r="D73" s="93"/>
      <c r="E73" s="94"/>
      <c r="F73" s="95" t="str">
        <f>IF(F$3="","",IF(COUNTIFS(Base!$A$3:$A$5001,F$3,Base!$B$3:$B$5001,$A$59,Base!$P$3:$P$5001,"&lt;&gt;")=0,"",SUMIFS(Base!$P$3:$P$5001,Base!$A$3:$A$5001,F$3,Base!$B$3:$B$5001,$A$59)))</f>
        <v/>
      </c>
      <c r="G73" s="96" t="str">
        <f>IF(G$3="","",IF(COUNTIFS(Base!$A$3:$A$5001,G$3,Base!$B$3:$B$5001,$A$59,Base!$P$3:$P$5001,"&lt;&gt;")=0,"",SUMIFS(Base!$P$3:$P$5001,Base!$A$3:$A$5001,G$3,Base!$B$3:$B$5001,$A$59)))</f>
        <v/>
      </c>
      <c r="H73" s="96" t="str">
        <f>IF(H$3="","",IF(COUNTIFS(Base!$A$3:$A$5001,H$3,Base!$B$3:$B$5001,$A$59,Base!$P$3:$P$5001,"&lt;&gt;")=0,"",SUMIFS(Base!$P$3:$P$5001,Base!$A$3:$A$5001,H$3,Base!$B$3:$B$5001,$A$59)))</f>
        <v/>
      </c>
      <c r="I73" s="96" t="str">
        <f>IF(I$3="","",IF(COUNTIFS(Base!$A$3:$A$5001,I$3,Base!$B$3:$B$5001,$A$59,Base!$P$3:$P$5001,"&lt;&gt;")=0,"",SUMIFS(Base!$P$3:$P$5001,Base!$A$3:$A$5001,I$3,Base!$B$3:$B$5001,$A$59)))</f>
        <v/>
      </c>
      <c r="J73" s="96" t="str">
        <f>IF(J$3="","",IF(COUNTIFS(Base!$A$3:$A$5001,J$3,Base!$B$3:$B$5001,$A$59,Base!$P$3:$P$5001,"&lt;&gt;")=0,"",SUMIFS(Base!$P$3:$P$5001,Base!$A$3:$A$5001,J$3,Base!$B$3:$B$5001,$A$59)))</f>
        <v/>
      </c>
      <c r="K73" s="96" t="str">
        <f>IF(K$3="","",IF(COUNTIFS(Base!$A$3:$A$5001,K$3,Base!$B$3:$B$5001,$A$59,Base!$P$3:$P$5001,"&lt;&gt;")=0,"",SUMIFS(Base!$P$3:$P$5001,Base!$A$3:$A$5001,K$3,Base!$B$3:$B$5001,$A$59)))</f>
        <v/>
      </c>
      <c r="L73" s="96" t="str">
        <f>IF(L$3="","",IF(COUNTIFS(Base!$A$3:$A$5001,L$3,Base!$B$3:$B$5001,$A$59,Base!$P$3:$P$5001,"&lt;&gt;")=0,"",SUMIFS(Base!$P$3:$P$5001,Base!$A$3:$A$5001,L$3,Base!$B$3:$B$5001,$A$59)))</f>
        <v/>
      </c>
      <c r="M73" s="96" t="str">
        <f>IF(M$3="","",IF(COUNTIFS(Base!$A$3:$A$5001,M$3,Base!$B$3:$B$5001,$A$59,Base!$P$3:$P$5001,"&lt;&gt;")=0,"",SUMIFS(Base!$P$3:$P$5001,Base!$A$3:$A$5001,M$3,Base!$B$3:$B$5001,$A$59)))</f>
        <v/>
      </c>
      <c r="N73" s="96" t="str">
        <f>IF(N$3="","",IF(COUNTIFS(Base!$A$3:$A$5001,N$3,Base!$B$3:$B$5001,$A$59,Base!$P$3:$P$5001,"&lt;&gt;")=0,"",SUMIFS(Base!$P$3:$P$5001,Base!$A$3:$A$5001,N$3,Base!$B$3:$B$5001,$A$59)))</f>
        <v/>
      </c>
      <c r="O73" s="96" t="str">
        <f>IF(O$3="","",IF(COUNTIFS(Base!$A$3:$A$5001,O$3,Base!$B$3:$B$5001,$A$59,Base!$P$3:$P$5001,"&lt;&gt;")=0,"",SUMIFS(Base!$P$3:$P$5001,Base!$A$3:$A$5001,O$3,Base!$B$3:$B$5001,$A$59)))</f>
        <v/>
      </c>
      <c r="P73" s="96" t="str">
        <f>IF(P$3="","",IF(COUNTIFS(Base!$A$3:$A$5001,P$3,Base!$B$3:$B$5001,$A$59,Base!$P$3:$P$5001,"&lt;&gt;")=0,"",SUMIFS(Base!$P$3:$P$5001,Base!$A$3:$A$5001,P$3,Base!$B$3:$B$5001,$A$59)))</f>
        <v/>
      </c>
      <c r="Q73" s="96" t="str">
        <f>IF(Q$3="","",IF(COUNTIFS(Base!$A$3:$A$5001,Q$3,Base!$B$3:$B$5001,$A$59,Base!$P$3:$P$5001,"&lt;&gt;")=0,"",SUMIFS(Base!$P$3:$P$5001,Base!$A$3:$A$5001,Q$3,Base!$B$3:$B$5001,$A$59)))</f>
        <v/>
      </c>
      <c r="R73" s="96" t="str">
        <f>IF(R$3="","",IF(COUNTIFS(Base!$A$3:$A$5001,R$3,Base!$B$3:$B$5001,$A$59,Base!$P$3:$P$5001,"&lt;&gt;")=0,"",SUMIFS(Base!$P$3:$P$5001,Base!$A$3:$A$5001,R$3,Base!$B$3:$B$5001,$A$59)))</f>
        <v/>
      </c>
      <c r="S73" s="96" t="str">
        <f>IF(S$3="","",IF(COUNTIFS(Base!$A$3:$A$5001,S$3,Base!$B$3:$B$5001,$A$59,Base!$P$3:$P$5001,"&lt;&gt;")=0,"",SUMIFS(Base!$P$3:$P$5001,Base!$A$3:$A$5001,S$3,Base!$B$3:$B$5001,$A$59)))</f>
        <v/>
      </c>
      <c r="T73" s="96" t="str">
        <f>IF(T$3="","",IF(COUNTIFS(Base!$A$3:$A$5001,T$3,Base!$B$3:$B$5001,$A$59,Base!$P$3:$P$5001,"&lt;&gt;")=0,"",SUMIFS(Base!$P$3:$P$5001,Base!$A$3:$A$5001,T$3,Base!$B$3:$B$5001,$A$59)))</f>
        <v/>
      </c>
      <c r="U73" s="96" t="str">
        <f>IF(U$3="","",IF(COUNTIFS(Base!$A$3:$A$5001,U$3,Base!$B$3:$B$5001,$A$59,Base!$P$3:$P$5001,"&lt;&gt;")=0,"",SUMIFS(Base!$P$3:$P$5001,Base!$A$3:$A$5001,U$3,Base!$B$3:$B$5001,$A$59)))</f>
        <v/>
      </c>
      <c r="V73" s="96" t="str">
        <f>IF(V$3="","",IF(COUNTIFS(Base!$A$3:$A$5001,V$3,Base!$B$3:$B$5001,$A$59,Base!$P$3:$P$5001,"&lt;&gt;")=0,"",SUMIFS(Base!$P$3:$P$5001,Base!$A$3:$A$5001,V$3,Base!$B$3:$B$5001,$A$59)))</f>
        <v/>
      </c>
      <c r="W73" s="96" t="str">
        <f>IF(W$3="","",IF(COUNTIFS(Base!$A$3:$A$5001,W$3,Base!$B$3:$B$5001,$A$59,Base!$P$3:$P$5001,"&lt;&gt;")=0,"",SUMIFS(Base!$P$3:$P$5001,Base!$A$3:$A$5001,W$3,Base!$B$3:$B$5001,$A$59)))</f>
        <v/>
      </c>
      <c r="X73" s="96" t="str">
        <f>IF(X$3="","",IF(COUNTIFS(Base!$A$3:$A$5001,X$3,Base!$B$3:$B$5001,$A$59,Base!$P$3:$P$5001,"&lt;&gt;")=0,"",SUMIFS(Base!$P$3:$P$5001,Base!$A$3:$A$5001,X$3,Base!$B$3:$B$5001,$A$59)))</f>
        <v/>
      </c>
      <c r="Y73" s="96" t="str">
        <f>IF(Y$3="","",IF(COUNTIFS(Base!$A$3:$A$5001,Y$3,Base!$B$3:$B$5001,$A$59,Base!$P$3:$P$5001,"&lt;&gt;")=0,"",SUMIFS(Base!$P$3:$P$5001,Base!$A$3:$A$5001,Y$3,Base!$B$3:$B$5001,$A$59)))</f>
        <v/>
      </c>
      <c r="Z73" s="96" t="str">
        <f>IF(Z$3="","",IF(COUNTIFS(Base!$A$3:$A$5001,Z$3,Base!$B$3:$B$5001,$A$59,Base!$P$3:$P$5001,"&lt;&gt;")=0,"",SUMIFS(Base!$P$3:$P$5001,Base!$A$3:$A$5001,Z$3,Base!$B$3:$B$5001,$A$59)))</f>
        <v/>
      </c>
      <c r="AA73" s="96" t="str">
        <f>IF(AA$3="","",IF(COUNTIFS(Base!$A$3:$A$5001,AA$3,Base!$B$3:$B$5001,$A$59,Base!$P$3:$P$5001,"&lt;&gt;")=0,"",SUMIFS(Base!$P$3:$P$5001,Base!$A$3:$A$5001,AA$3,Base!$B$3:$B$5001,$A$59)))</f>
        <v/>
      </c>
      <c r="AB73" s="96" t="str">
        <f>IF(AB$3="","",IF(COUNTIFS(Base!$A$3:$A$5001,AB$3,Base!$B$3:$B$5001,$A$59,Base!$P$3:$P$5001,"&lt;&gt;")=0,"",SUMIFS(Base!$P$3:$P$5001,Base!$A$3:$A$5001,AB$3,Base!$B$3:$B$5001,$A$59)))</f>
        <v/>
      </c>
      <c r="AC73" s="96" t="str">
        <f>IF(AC$3="","",IF(COUNTIFS(Base!$A$3:$A$5001,AC$3,Base!$B$3:$B$5001,$A$59,Base!$P$3:$P$5001,"&lt;&gt;")=0,"",SUMIFS(Base!$P$3:$P$5001,Base!$A$3:$A$5001,AC$3,Base!$B$3:$B$5001,$A$59)))</f>
        <v/>
      </c>
      <c r="AD73" s="96" t="str">
        <f>IF(AD$3="","",IF(COUNTIFS(Base!$A$3:$A$5001,AD$3,Base!$B$3:$B$5001,$A$59,Base!$P$3:$P$5001,"&lt;&gt;")=0,"",SUMIFS(Base!$P$3:$P$5001,Base!$A$3:$A$5001,AD$3,Base!$B$3:$B$5001,$A$59)))</f>
        <v/>
      </c>
      <c r="AE73" s="96" t="str">
        <f>IF(AE$3="","",IF(COUNTIFS(Base!$A$3:$A$5001,AE$3,Base!$B$3:$B$5001,$A$59,Base!$P$3:$P$5001,"&lt;&gt;")=0,"",SUMIFS(Base!$P$3:$P$5001,Base!$A$3:$A$5001,AE$3,Base!$B$3:$B$5001,$A$59)))</f>
        <v/>
      </c>
      <c r="AF73" s="96" t="str">
        <f>IF(AF$3="","",IF(COUNTIFS(Base!$A$3:$A$5001,AF$3,Base!$B$3:$B$5001,$A$59,Base!$P$3:$P$5001,"&lt;&gt;")=0,"",SUMIFS(Base!$P$3:$P$5001,Base!$A$3:$A$5001,AF$3,Base!$B$3:$B$5001,$A$59)))</f>
        <v/>
      </c>
      <c r="AG73" s="96" t="str">
        <f>IF(AG$3="","",IF(COUNTIFS(Base!$A$3:$A$5001,AG$3,Base!$B$3:$B$5001,$A$59,Base!$P$3:$P$5001,"&lt;&gt;")=0,"",SUMIFS(Base!$P$3:$P$5001,Base!$A$3:$A$5001,AG$3,Base!$B$3:$B$5001,$A$59)))</f>
        <v/>
      </c>
      <c r="AH73" s="96" t="str">
        <f>IF(AH$3="","",IF(COUNTIFS(Base!$A$3:$A$5001,AH$3,Base!$B$3:$B$5001,$A$59,Base!$P$3:$P$5001,"&lt;&gt;")=0,"",SUMIFS(Base!$P$3:$P$5001,Base!$A$3:$A$5001,AH$3,Base!$B$3:$B$5001,$A$59)))</f>
        <v/>
      </c>
      <c r="AI73" s="96" t="str">
        <f>IF(AI$3="","",IF(COUNTIFS(Base!$A$3:$A$5001,AI$3,Base!$B$3:$B$5001,$A$59,Base!$P$3:$P$5001,"&lt;&gt;")=0,"",SUMIFS(Base!$P$3:$P$5001,Base!$A$3:$A$5001,AI$3,Base!$B$3:$B$5001,$A$59)))</f>
        <v/>
      </c>
      <c r="AJ73" s="97" t="str">
        <f>IF(AJ$3="","",IF(COUNTIFS(Base!$A$3:$A$5001,AJ$3,Base!$B$3:$B$5001,$A$59,Base!$P$3:$P$5001,"&lt;&gt;")=0,"",SUMIFS(Base!$P$3:$P$5001,Base!$A$3:$A$5001,AJ$3,Base!$B$3:$B$5001,$A$59)))</f>
        <v/>
      </c>
      <c r="AK73" s="98" t="str">
        <f>IF(COUNT(F73:AJ73)=0,"",SUM(F73:AJ73))</f>
        <v/>
      </c>
    </row>
    <row r="74" ht="15.75" customHeight="1">
      <c r="A74" s="118"/>
      <c r="B74" s="115"/>
      <c r="C74" s="92" t="inlineStr">
        <is>
          <t xml:space="preserve">Férias</t>
        </is>
      </c>
      <c r="D74" s="93"/>
      <c r="E74" s="94"/>
      <c r="F74" s="95" t="str">
        <f>IF(F$3="","",IF(COUNTIFS(Base!$A$3:$A$5001,F$3,Base!$B$3:$B$5001,$A$59,Base!$Q$3:$Q$5001,"&lt;&gt;")=0,"",SUMIFS(Base!$Q$3:$Q$5001,Base!$A$3:$A$5001,F$3,Base!$B$3:$B$5001,$A$59)))</f>
        <v/>
      </c>
      <c r="G74" s="96" t="str">
        <f>IF(G$3="","",IF(COUNTIFS(Base!$A$3:$A$5001,G$3,Base!$B$3:$B$5001,$A$59,Base!$Q$3:$Q$5001,"&lt;&gt;")=0,"",SUMIFS(Base!$Q$3:$Q$5001,Base!$A$3:$A$5001,G$3,Base!$B$3:$B$5001,$A$59)))</f>
        <v/>
      </c>
      <c r="H74" s="96" t="str">
        <f>IF(H$3="","",IF(COUNTIFS(Base!$A$3:$A$5001,H$3,Base!$B$3:$B$5001,$A$59,Base!$Q$3:$Q$5001,"&lt;&gt;")=0,"",SUMIFS(Base!$Q$3:$Q$5001,Base!$A$3:$A$5001,H$3,Base!$B$3:$B$5001,$A$59)))</f>
        <v/>
      </c>
      <c r="I74" s="96" t="str">
        <f>IF(I$3="","",IF(COUNTIFS(Base!$A$3:$A$5001,I$3,Base!$B$3:$B$5001,$A$59,Base!$Q$3:$Q$5001,"&lt;&gt;")=0,"",SUMIFS(Base!$Q$3:$Q$5001,Base!$A$3:$A$5001,I$3,Base!$B$3:$B$5001,$A$59)))</f>
        <v/>
      </c>
      <c r="J74" s="96" t="str">
        <f>IF(J$3="","",IF(COUNTIFS(Base!$A$3:$A$5001,J$3,Base!$B$3:$B$5001,$A$59,Base!$Q$3:$Q$5001,"&lt;&gt;")=0,"",SUMIFS(Base!$Q$3:$Q$5001,Base!$A$3:$A$5001,J$3,Base!$B$3:$B$5001,$A$59)))</f>
        <v/>
      </c>
      <c r="K74" s="96" t="str">
        <f>IF(K$3="","",IF(COUNTIFS(Base!$A$3:$A$5001,K$3,Base!$B$3:$B$5001,$A$59,Base!$Q$3:$Q$5001,"&lt;&gt;")=0,"",SUMIFS(Base!$Q$3:$Q$5001,Base!$A$3:$A$5001,K$3,Base!$B$3:$B$5001,$A$59)))</f>
        <v/>
      </c>
      <c r="L74" s="96" t="str">
        <f>IF(L$3="","",IF(COUNTIFS(Base!$A$3:$A$5001,L$3,Base!$B$3:$B$5001,$A$59,Base!$Q$3:$Q$5001,"&lt;&gt;")=0,"",SUMIFS(Base!$Q$3:$Q$5001,Base!$A$3:$A$5001,L$3,Base!$B$3:$B$5001,$A$59)))</f>
        <v/>
      </c>
      <c r="M74" s="96" t="str">
        <f>IF(M$3="","",IF(COUNTIFS(Base!$A$3:$A$5001,M$3,Base!$B$3:$B$5001,$A$59,Base!$Q$3:$Q$5001,"&lt;&gt;")=0,"",SUMIFS(Base!$Q$3:$Q$5001,Base!$A$3:$A$5001,M$3,Base!$B$3:$B$5001,$A$59)))</f>
        <v/>
      </c>
      <c r="N74" s="96" t="str">
        <f>IF(N$3="","",IF(COUNTIFS(Base!$A$3:$A$5001,N$3,Base!$B$3:$B$5001,$A$59,Base!$Q$3:$Q$5001,"&lt;&gt;")=0,"",SUMIFS(Base!$Q$3:$Q$5001,Base!$A$3:$A$5001,N$3,Base!$B$3:$B$5001,$A$59)))</f>
        <v/>
      </c>
      <c r="O74" s="96" t="str">
        <f>IF(O$3="","",IF(COUNTIFS(Base!$A$3:$A$5001,O$3,Base!$B$3:$B$5001,$A$59,Base!$Q$3:$Q$5001,"&lt;&gt;")=0,"",SUMIFS(Base!$Q$3:$Q$5001,Base!$A$3:$A$5001,O$3,Base!$B$3:$B$5001,$A$59)))</f>
        <v/>
      </c>
      <c r="P74" s="96" t="str">
        <f>IF(P$3="","",IF(COUNTIFS(Base!$A$3:$A$5001,P$3,Base!$B$3:$B$5001,$A$59,Base!$Q$3:$Q$5001,"&lt;&gt;")=0,"",SUMIFS(Base!$Q$3:$Q$5001,Base!$A$3:$A$5001,P$3,Base!$B$3:$B$5001,$A$59)))</f>
        <v/>
      </c>
      <c r="Q74" s="96" t="str">
        <f>IF(Q$3="","",IF(COUNTIFS(Base!$A$3:$A$5001,Q$3,Base!$B$3:$B$5001,$A$59,Base!$Q$3:$Q$5001,"&lt;&gt;")=0,"",SUMIFS(Base!$Q$3:$Q$5001,Base!$A$3:$A$5001,Q$3,Base!$B$3:$B$5001,$A$59)))</f>
        <v/>
      </c>
      <c r="R74" s="96" t="str">
        <f>IF(R$3="","",IF(COUNTIFS(Base!$A$3:$A$5001,R$3,Base!$B$3:$B$5001,$A$59,Base!$Q$3:$Q$5001,"&lt;&gt;")=0,"",SUMIFS(Base!$Q$3:$Q$5001,Base!$A$3:$A$5001,R$3,Base!$B$3:$B$5001,$A$59)))</f>
        <v/>
      </c>
      <c r="S74" s="96" t="str">
        <f>IF(S$3="","",IF(COUNTIFS(Base!$A$3:$A$5001,S$3,Base!$B$3:$B$5001,$A$59,Base!$Q$3:$Q$5001,"&lt;&gt;")=0,"",SUMIFS(Base!$Q$3:$Q$5001,Base!$A$3:$A$5001,S$3,Base!$B$3:$B$5001,$A$59)))</f>
        <v/>
      </c>
      <c r="T74" s="96" t="str">
        <f>IF(T$3="","",IF(COUNTIFS(Base!$A$3:$A$5001,T$3,Base!$B$3:$B$5001,$A$59,Base!$Q$3:$Q$5001,"&lt;&gt;")=0,"",SUMIFS(Base!$Q$3:$Q$5001,Base!$A$3:$A$5001,T$3,Base!$B$3:$B$5001,$A$59)))</f>
        <v/>
      </c>
      <c r="U74" s="96" t="str">
        <f>IF(U$3="","",IF(COUNTIFS(Base!$A$3:$A$5001,U$3,Base!$B$3:$B$5001,$A$59,Base!$Q$3:$Q$5001,"&lt;&gt;")=0,"",SUMIFS(Base!$Q$3:$Q$5001,Base!$A$3:$A$5001,U$3,Base!$B$3:$B$5001,$A$59)))</f>
        <v/>
      </c>
      <c r="V74" s="96" t="str">
        <f>IF(V$3="","",IF(COUNTIFS(Base!$A$3:$A$5001,V$3,Base!$B$3:$B$5001,$A$59,Base!$Q$3:$Q$5001,"&lt;&gt;")=0,"",SUMIFS(Base!$Q$3:$Q$5001,Base!$A$3:$A$5001,V$3,Base!$B$3:$B$5001,$A$59)))</f>
        <v/>
      </c>
      <c r="W74" s="96" t="str">
        <f>IF(W$3="","",IF(COUNTIFS(Base!$A$3:$A$5001,W$3,Base!$B$3:$B$5001,$A$59,Base!$Q$3:$Q$5001,"&lt;&gt;")=0,"",SUMIFS(Base!$Q$3:$Q$5001,Base!$A$3:$A$5001,W$3,Base!$B$3:$B$5001,$A$59)))</f>
        <v/>
      </c>
      <c r="X74" s="96" t="str">
        <f>IF(X$3="","",IF(COUNTIFS(Base!$A$3:$A$5001,X$3,Base!$B$3:$B$5001,$A$59,Base!$Q$3:$Q$5001,"&lt;&gt;")=0,"",SUMIFS(Base!$Q$3:$Q$5001,Base!$A$3:$A$5001,X$3,Base!$B$3:$B$5001,$A$59)))</f>
        <v/>
      </c>
      <c r="Y74" s="96" t="str">
        <f>IF(Y$3="","",IF(COUNTIFS(Base!$A$3:$A$5001,Y$3,Base!$B$3:$B$5001,$A$59,Base!$Q$3:$Q$5001,"&lt;&gt;")=0,"",SUMIFS(Base!$Q$3:$Q$5001,Base!$A$3:$A$5001,Y$3,Base!$B$3:$B$5001,$A$59)))</f>
        <v/>
      </c>
      <c r="Z74" s="96" t="str">
        <f>IF(Z$3="","",IF(COUNTIFS(Base!$A$3:$A$5001,Z$3,Base!$B$3:$B$5001,$A$59,Base!$Q$3:$Q$5001,"&lt;&gt;")=0,"",SUMIFS(Base!$Q$3:$Q$5001,Base!$A$3:$A$5001,Z$3,Base!$B$3:$B$5001,$A$59)))</f>
        <v/>
      </c>
      <c r="AA74" s="96" t="str">
        <f>IF(AA$3="","",IF(COUNTIFS(Base!$A$3:$A$5001,AA$3,Base!$B$3:$B$5001,$A$59,Base!$Q$3:$Q$5001,"&lt;&gt;")=0,"",SUMIFS(Base!$Q$3:$Q$5001,Base!$A$3:$A$5001,AA$3,Base!$B$3:$B$5001,$A$59)))</f>
        <v/>
      </c>
      <c r="AB74" s="96" t="str">
        <f>IF(AB$3="","",IF(COUNTIFS(Base!$A$3:$A$5001,AB$3,Base!$B$3:$B$5001,$A$59,Base!$Q$3:$Q$5001,"&lt;&gt;")=0,"",SUMIFS(Base!$Q$3:$Q$5001,Base!$A$3:$A$5001,AB$3,Base!$B$3:$B$5001,$A$59)))</f>
        <v/>
      </c>
      <c r="AC74" s="96" t="str">
        <f>IF(AC$3="","",IF(COUNTIFS(Base!$A$3:$A$5001,AC$3,Base!$B$3:$B$5001,$A$59,Base!$Q$3:$Q$5001,"&lt;&gt;")=0,"",SUMIFS(Base!$Q$3:$Q$5001,Base!$A$3:$A$5001,AC$3,Base!$B$3:$B$5001,$A$59)))</f>
        <v/>
      </c>
      <c r="AD74" s="96" t="str">
        <f>IF(AD$3="","",IF(COUNTIFS(Base!$A$3:$A$5001,AD$3,Base!$B$3:$B$5001,$A$59,Base!$Q$3:$Q$5001,"&lt;&gt;")=0,"",SUMIFS(Base!$Q$3:$Q$5001,Base!$A$3:$A$5001,AD$3,Base!$B$3:$B$5001,$A$59)))</f>
        <v/>
      </c>
      <c r="AE74" s="96" t="str">
        <f>IF(AE$3="","",IF(COUNTIFS(Base!$A$3:$A$5001,AE$3,Base!$B$3:$B$5001,$A$59,Base!$Q$3:$Q$5001,"&lt;&gt;")=0,"",SUMIFS(Base!$Q$3:$Q$5001,Base!$A$3:$A$5001,AE$3,Base!$B$3:$B$5001,$A$59)))</f>
        <v/>
      </c>
      <c r="AF74" s="96" t="str">
        <f>IF(AF$3="","",IF(COUNTIFS(Base!$A$3:$A$5001,AF$3,Base!$B$3:$B$5001,$A$59,Base!$Q$3:$Q$5001,"&lt;&gt;")=0,"",SUMIFS(Base!$Q$3:$Q$5001,Base!$A$3:$A$5001,AF$3,Base!$B$3:$B$5001,$A$59)))</f>
        <v/>
      </c>
      <c r="AG74" s="96" t="str">
        <f>IF(AG$3="","",IF(COUNTIFS(Base!$A$3:$A$5001,AG$3,Base!$B$3:$B$5001,$A$59,Base!$Q$3:$Q$5001,"&lt;&gt;")=0,"",SUMIFS(Base!$Q$3:$Q$5001,Base!$A$3:$A$5001,AG$3,Base!$B$3:$B$5001,$A$59)))</f>
        <v/>
      </c>
      <c r="AH74" s="96" t="str">
        <f>IF(AH$3="","",IF(COUNTIFS(Base!$A$3:$A$5001,AH$3,Base!$B$3:$B$5001,$A$59,Base!$Q$3:$Q$5001,"&lt;&gt;")=0,"",SUMIFS(Base!$Q$3:$Q$5001,Base!$A$3:$A$5001,AH$3,Base!$B$3:$B$5001,$A$59)))</f>
        <v/>
      </c>
      <c r="AI74" s="96" t="str">
        <f>IF(AI$3="","",IF(COUNTIFS(Base!$A$3:$A$5001,AI$3,Base!$B$3:$B$5001,$A$59,Base!$Q$3:$Q$5001,"&lt;&gt;")=0,"",SUMIFS(Base!$Q$3:$Q$5001,Base!$A$3:$A$5001,AI$3,Base!$B$3:$B$5001,$A$59)))</f>
        <v/>
      </c>
      <c r="AJ74" s="97" t="str">
        <f>IF(AJ$3="","",IF(COUNTIFS(Base!$A$3:$A$5001,AJ$3,Base!$B$3:$B$5001,$A$59,Base!$Q$3:$Q$5001,"&lt;&gt;")=0,"",SUMIFS(Base!$Q$3:$Q$5001,Base!$A$3:$A$5001,AJ$3,Base!$B$3:$B$5001,$A$59)))</f>
        <v/>
      </c>
      <c r="AK74" s="98" t="str">
        <f>IF(COUNT(F74:AJ74)=0,"",SUM(F74:AJ74))</f>
        <v/>
      </c>
    </row>
    <row r="75" ht="15.75" customHeight="1">
      <c r="A75" s="119"/>
      <c r="B75" s="116"/>
      <c r="C75" s="99" t="inlineStr">
        <is>
          <t xml:space="preserve">Desligamento</t>
        </is>
      </c>
      <c r="D75" s="100"/>
      <c r="E75" s="101"/>
      <c r="F75" s="102" t="str">
        <f>IF(F$3="","",IF(COUNTIFS(Base!$A$3:$A$5001,F$3,Base!$B$3:$B$5001,$A$59,Base!$R$3:$R$5001,"&lt;&gt;")=0,"",SUMIFS(Base!$R$3:$R$5001,Base!$A$3:$A$5001,F$3,Base!$B$3:$B$5001,$A$59)))</f>
        <v/>
      </c>
      <c r="G75" s="103" t="str">
        <f>IF(G$3="","",IF(COUNTIFS(Base!$A$3:$A$5001,G$3,Base!$B$3:$B$5001,$A$59,Base!$R$3:$R$5001,"&lt;&gt;")=0,"",SUMIFS(Base!$R$3:$R$5001,Base!$A$3:$A$5001,G$3,Base!$B$3:$B$5001,$A$59)))</f>
        <v/>
      </c>
      <c r="H75" s="103" t="str">
        <f>IF(H$3="","",IF(COUNTIFS(Base!$A$3:$A$5001,H$3,Base!$B$3:$B$5001,$A$59,Base!$R$3:$R$5001,"&lt;&gt;")=0,"",SUMIFS(Base!$R$3:$R$5001,Base!$A$3:$A$5001,H$3,Base!$B$3:$B$5001,$A$59)))</f>
        <v/>
      </c>
      <c r="I75" s="103" t="str">
        <f>IF(I$3="","",IF(COUNTIFS(Base!$A$3:$A$5001,I$3,Base!$B$3:$B$5001,$A$59,Base!$R$3:$R$5001,"&lt;&gt;")=0,"",SUMIFS(Base!$R$3:$R$5001,Base!$A$3:$A$5001,I$3,Base!$B$3:$B$5001,$A$59)))</f>
        <v/>
      </c>
      <c r="J75" s="103" t="str">
        <f>IF(J$3="","",IF(COUNTIFS(Base!$A$3:$A$5001,J$3,Base!$B$3:$B$5001,$A$59,Base!$R$3:$R$5001,"&lt;&gt;")=0,"",SUMIFS(Base!$R$3:$R$5001,Base!$A$3:$A$5001,J$3,Base!$B$3:$B$5001,$A$59)))</f>
        <v/>
      </c>
      <c r="K75" s="103" t="str">
        <f>IF(K$3="","",IF(COUNTIFS(Base!$A$3:$A$5001,K$3,Base!$B$3:$B$5001,$A$59,Base!$R$3:$R$5001,"&lt;&gt;")=0,"",SUMIFS(Base!$R$3:$R$5001,Base!$A$3:$A$5001,K$3,Base!$B$3:$B$5001,$A$59)))</f>
        <v/>
      </c>
      <c r="L75" s="103" t="str">
        <f>IF(L$3="","",IF(COUNTIFS(Base!$A$3:$A$5001,L$3,Base!$B$3:$B$5001,$A$59,Base!$R$3:$R$5001,"&lt;&gt;")=0,"",SUMIFS(Base!$R$3:$R$5001,Base!$A$3:$A$5001,L$3,Base!$B$3:$B$5001,$A$59)))</f>
        <v/>
      </c>
      <c r="M75" s="103" t="str">
        <f>IF(M$3="","",IF(COUNTIFS(Base!$A$3:$A$5001,M$3,Base!$B$3:$B$5001,$A$59,Base!$R$3:$R$5001,"&lt;&gt;")=0,"",SUMIFS(Base!$R$3:$R$5001,Base!$A$3:$A$5001,M$3,Base!$B$3:$B$5001,$A$59)))</f>
        <v/>
      </c>
      <c r="N75" s="103" t="str">
        <f>IF(N$3="","",IF(COUNTIFS(Base!$A$3:$A$5001,N$3,Base!$B$3:$B$5001,$A$59,Base!$R$3:$R$5001,"&lt;&gt;")=0,"",SUMIFS(Base!$R$3:$R$5001,Base!$A$3:$A$5001,N$3,Base!$B$3:$B$5001,$A$59)))</f>
        <v/>
      </c>
      <c r="O75" s="103" t="str">
        <f>IF(O$3="","",IF(COUNTIFS(Base!$A$3:$A$5001,O$3,Base!$B$3:$B$5001,$A$59,Base!$R$3:$R$5001,"&lt;&gt;")=0,"",SUMIFS(Base!$R$3:$R$5001,Base!$A$3:$A$5001,O$3,Base!$B$3:$B$5001,$A$59)))</f>
        <v/>
      </c>
      <c r="P75" s="103" t="str">
        <f>IF(P$3="","",IF(COUNTIFS(Base!$A$3:$A$5001,P$3,Base!$B$3:$B$5001,$A$59,Base!$R$3:$R$5001,"&lt;&gt;")=0,"",SUMIFS(Base!$R$3:$R$5001,Base!$A$3:$A$5001,P$3,Base!$B$3:$B$5001,$A$59)))</f>
        <v/>
      </c>
      <c r="Q75" s="103" t="str">
        <f>IF(Q$3="","",IF(COUNTIFS(Base!$A$3:$A$5001,Q$3,Base!$B$3:$B$5001,$A$59,Base!$R$3:$R$5001,"&lt;&gt;")=0,"",SUMIFS(Base!$R$3:$R$5001,Base!$A$3:$A$5001,Q$3,Base!$B$3:$B$5001,$A$59)))</f>
        <v/>
      </c>
      <c r="R75" s="103" t="str">
        <f>IF(R$3="","",IF(COUNTIFS(Base!$A$3:$A$5001,R$3,Base!$B$3:$B$5001,$A$59,Base!$R$3:$R$5001,"&lt;&gt;")=0,"",SUMIFS(Base!$R$3:$R$5001,Base!$A$3:$A$5001,R$3,Base!$B$3:$B$5001,$A$59)))</f>
        <v/>
      </c>
      <c r="S75" s="103" t="str">
        <f>IF(S$3="","",IF(COUNTIFS(Base!$A$3:$A$5001,S$3,Base!$B$3:$B$5001,$A$59,Base!$R$3:$R$5001,"&lt;&gt;")=0,"",SUMIFS(Base!$R$3:$R$5001,Base!$A$3:$A$5001,S$3,Base!$B$3:$B$5001,$A$59)))</f>
        <v/>
      </c>
      <c r="T75" s="103" t="str">
        <f>IF(T$3="","",IF(COUNTIFS(Base!$A$3:$A$5001,T$3,Base!$B$3:$B$5001,$A$59,Base!$R$3:$R$5001,"&lt;&gt;")=0,"",SUMIFS(Base!$R$3:$R$5001,Base!$A$3:$A$5001,T$3,Base!$B$3:$B$5001,$A$59)))</f>
        <v/>
      </c>
      <c r="U75" s="103" t="str">
        <f>IF(U$3="","",IF(COUNTIFS(Base!$A$3:$A$5001,U$3,Base!$B$3:$B$5001,$A$59,Base!$R$3:$R$5001,"&lt;&gt;")=0,"",SUMIFS(Base!$R$3:$R$5001,Base!$A$3:$A$5001,U$3,Base!$B$3:$B$5001,$A$59)))</f>
        <v/>
      </c>
      <c r="V75" s="103" t="str">
        <f>IF(V$3="","",IF(COUNTIFS(Base!$A$3:$A$5001,V$3,Base!$B$3:$B$5001,$A$59,Base!$R$3:$R$5001,"&lt;&gt;")=0,"",SUMIFS(Base!$R$3:$R$5001,Base!$A$3:$A$5001,V$3,Base!$B$3:$B$5001,$A$59)))</f>
        <v/>
      </c>
      <c r="W75" s="103" t="str">
        <f>IF(W$3="","",IF(COUNTIFS(Base!$A$3:$A$5001,W$3,Base!$B$3:$B$5001,$A$59,Base!$R$3:$R$5001,"&lt;&gt;")=0,"",SUMIFS(Base!$R$3:$R$5001,Base!$A$3:$A$5001,W$3,Base!$B$3:$B$5001,$A$59)))</f>
        <v/>
      </c>
      <c r="X75" s="103" t="str">
        <f>IF(X$3="","",IF(COUNTIFS(Base!$A$3:$A$5001,X$3,Base!$B$3:$B$5001,$A$59,Base!$R$3:$R$5001,"&lt;&gt;")=0,"",SUMIFS(Base!$R$3:$R$5001,Base!$A$3:$A$5001,X$3,Base!$B$3:$B$5001,$A$59)))</f>
        <v/>
      </c>
      <c r="Y75" s="103" t="str">
        <f>IF(Y$3="","",IF(COUNTIFS(Base!$A$3:$A$5001,Y$3,Base!$B$3:$B$5001,$A$59,Base!$R$3:$R$5001,"&lt;&gt;")=0,"",SUMIFS(Base!$R$3:$R$5001,Base!$A$3:$A$5001,Y$3,Base!$B$3:$B$5001,$A$59)))</f>
        <v/>
      </c>
      <c r="Z75" s="103" t="str">
        <f>IF(Z$3="","",IF(COUNTIFS(Base!$A$3:$A$5001,Z$3,Base!$B$3:$B$5001,$A$59,Base!$R$3:$R$5001,"&lt;&gt;")=0,"",SUMIFS(Base!$R$3:$R$5001,Base!$A$3:$A$5001,Z$3,Base!$B$3:$B$5001,$A$59)))</f>
        <v/>
      </c>
      <c r="AA75" s="103" t="str">
        <f>IF(AA$3="","",IF(COUNTIFS(Base!$A$3:$A$5001,AA$3,Base!$B$3:$B$5001,$A$59,Base!$R$3:$R$5001,"&lt;&gt;")=0,"",SUMIFS(Base!$R$3:$R$5001,Base!$A$3:$A$5001,AA$3,Base!$B$3:$B$5001,$A$59)))</f>
        <v/>
      </c>
      <c r="AB75" s="103" t="str">
        <f>IF(AB$3="","",IF(COUNTIFS(Base!$A$3:$A$5001,AB$3,Base!$B$3:$B$5001,$A$59,Base!$R$3:$R$5001,"&lt;&gt;")=0,"",SUMIFS(Base!$R$3:$R$5001,Base!$A$3:$A$5001,AB$3,Base!$B$3:$B$5001,$A$59)))</f>
        <v/>
      </c>
      <c r="AC75" s="103" t="str">
        <f>IF(AC$3="","",IF(COUNTIFS(Base!$A$3:$A$5001,AC$3,Base!$B$3:$B$5001,$A$59,Base!$R$3:$R$5001,"&lt;&gt;")=0,"",SUMIFS(Base!$R$3:$R$5001,Base!$A$3:$A$5001,AC$3,Base!$B$3:$B$5001,$A$59)))</f>
        <v/>
      </c>
      <c r="AD75" s="103" t="str">
        <f>IF(AD$3="","",IF(COUNTIFS(Base!$A$3:$A$5001,AD$3,Base!$B$3:$B$5001,$A$59,Base!$R$3:$R$5001,"&lt;&gt;")=0,"",SUMIFS(Base!$R$3:$R$5001,Base!$A$3:$A$5001,AD$3,Base!$B$3:$B$5001,$A$59)))</f>
        <v/>
      </c>
      <c r="AE75" s="103" t="str">
        <f>IF(AE$3="","",IF(COUNTIFS(Base!$A$3:$A$5001,AE$3,Base!$B$3:$B$5001,$A$59,Base!$R$3:$R$5001,"&lt;&gt;")=0,"",SUMIFS(Base!$R$3:$R$5001,Base!$A$3:$A$5001,AE$3,Base!$B$3:$B$5001,$A$59)))</f>
        <v/>
      </c>
      <c r="AF75" s="103" t="str">
        <f>IF(AF$3="","",IF(COUNTIFS(Base!$A$3:$A$5001,AF$3,Base!$B$3:$B$5001,$A$59,Base!$R$3:$R$5001,"&lt;&gt;")=0,"",SUMIFS(Base!$R$3:$R$5001,Base!$A$3:$A$5001,AF$3,Base!$B$3:$B$5001,$A$59)))</f>
        <v/>
      </c>
      <c r="AG75" s="103" t="str">
        <f>IF(AG$3="","",IF(COUNTIFS(Base!$A$3:$A$5001,AG$3,Base!$B$3:$B$5001,$A$59,Base!$R$3:$R$5001,"&lt;&gt;")=0,"",SUMIFS(Base!$R$3:$R$5001,Base!$A$3:$A$5001,AG$3,Base!$B$3:$B$5001,$A$59)))</f>
        <v/>
      </c>
      <c r="AH75" s="103" t="str">
        <f>IF(AH$3="","",IF(COUNTIFS(Base!$A$3:$A$5001,AH$3,Base!$B$3:$B$5001,$A$59,Base!$R$3:$R$5001,"&lt;&gt;")=0,"",SUMIFS(Base!$R$3:$R$5001,Base!$A$3:$A$5001,AH$3,Base!$B$3:$B$5001,$A$59)))</f>
        <v/>
      </c>
      <c r="AI75" s="103" t="str">
        <f>IF(AI$3="","",IF(COUNTIFS(Base!$A$3:$A$5001,AI$3,Base!$B$3:$B$5001,$A$59,Base!$R$3:$R$5001,"&lt;&gt;")=0,"",SUMIFS(Base!$R$3:$R$5001,Base!$A$3:$A$5001,AI$3,Base!$B$3:$B$5001,$A$59)))</f>
        <v/>
      </c>
      <c r="AJ75" s="104" t="str">
        <f>IF(AJ$3="","",IF(COUNTIFS(Base!$A$3:$A$5001,AJ$3,Base!$B$3:$B$5001,$A$59,Base!$R$3:$R$5001,"&lt;&gt;")=0,"",SUMIFS(Base!$R$3:$R$5001,Base!$A$3:$A$5001,AJ$3,Base!$B$3:$B$5001,$A$59)))</f>
        <v/>
      </c>
      <c r="AK75" s="100" t="str">
        <f>IF(COUNT(F75:AJ75)=0,"",SUM(F75:AJ75))</f>
        <v/>
      </c>
    </row>
    <row r="77" ht="15.75" customHeight="1">
      <c r="A77" s="117" t="inlineStr">
        <is>
          <t xml:space="preserve">PMB</t>
        </is>
      </c>
      <c r="B77" s="105" t="inlineStr">
        <is>
          <t xml:space="preserve">IN</t>
        </is>
      </c>
      <c r="C77" s="21" t="inlineStr">
        <is>
          <t xml:space="preserve">Veículos Recebidos</t>
        </is>
      </c>
      <c r="D77" s="22"/>
      <c r="E77" s="23"/>
      <c r="F77" s="24">
        <f>IF(F$3="","",IF(COUNTIFS(Base!$A$3:$A$5001,F$3,Base!$B$3:$B$5001,$A$77,Base!$C$3:$C$5001,"&lt;&gt;")=0,"",SUMIFS(Base!$C$3:$C$5001,Base!$A$3:$A$5001,F$3,Base!$B$3:$B$5001,$A$77)))</f>
        <v>5</v>
      </c>
      <c r="G77" s="25">
        <f>IF(G$3="","",IF(COUNTIFS(Base!$A$3:$A$5001,G$3,Base!$B$3:$B$5001,$A$77,Base!$C$3:$C$5001,"&lt;&gt;")=0,"",SUMIFS(Base!$C$3:$C$5001,Base!$A$3:$A$5001,G$3,Base!$B$3:$B$5001,$A$77)))</f>
        <v>7</v>
      </c>
      <c r="H77" s="25">
        <f>IF(H$3="","",IF(COUNTIFS(Base!$A$3:$A$5001,H$3,Base!$B$3:$B$5001,$A$77,Base!$C$3:$C$5001,"&lt;&gt;")=0,"",SUMIFS(Base!$C$3:$C$5001,Base!$A$3:$A$5001,H$3,Base!$B$3:$B$5001,$A$77)))</f>
        <v>7</v>
      </c>
      <c r="I77" s="25">
        <f>IF(I$3="","",IF(COUNTIFS(Base!$A$3:$A$5001,I$3,Base!$B$3:$B$5001,$A$77,Base!$C$3:$C$5001,"&lt;&gt;")=0,"",SUMIFS(Base!$C$3:$C$5001,Base!$A$3:$A$5001,I$3,Base!$B$3:$B$5001,$A$77)))</f>
        <v>4</v>
      </c>
      <c r="J77" s="25" t="str">
        <f>IF(J$3="","",IF(COUNTIFS(Base!$A$3:$A$5001,J$3,Base!$B$3:$B$5001,$A$77,Base!$C$3:$C$5001,"&lt;&gt;")=0,"",SUMIFS(Base!$C$3:$C$5001,Base!$A$3:$A$5001,J$3,Base!$B$3:$B$5001,$A$77)))</f>
        <v/>
      </c>
      <c r="K77" s="25">
        <f>IF(K$3="","",IF(COUNTIFS(Base!$A$3:$A$5001,K$3,Base!$B$3:$B$5001,$A$77,Base!$C$3:$C$5001,"&lt;&gt;")=0,"",SUMIFS(Base!$C$3:$C$5001,Base!$A$3:$A$5001,K$3,Base!$B$3:$B$5001,$A$77)))</f>
        <v>0</v>
      </c>
      <c r="L77" s="25">
        <f>IF(L$3="","",IF(COUNTIFS(Base!$A$3:$A$5001,L$3,Base!$B$3:$B$5001,$A$77,Base!$C$3:$C$5001,"&lt;&gt;")=0,"",SUMIFS(Base!$C$3:$C$5001,Base!$A$3:$A$5001,L$3,Base!$B$3:$B$5001,$A$77)))</f>
        <v>4</v>
      </c>
      <c r="M77" s="25">
        <f>IF(M$3="","",IF(COUNTIFS(Base!$A$3:$A$5001,M$3,Base!$B$3:$B$5001,$A$77,Base!$C$3:$C$5001,"&lt;&gt;")=0,"",SUMIFS(Base!$C$3:$C$5001,Base!$A$3:$A$5001,M$3,Base!$B$3:$B$5001,$A$77)))</f>
        <v>3</v>
      </c>
      <c r="N77" s="25">
        <f>IF(N$3="","",IF(COUNTIFS(Base!$A$3:$A$5001,N$3,Base!$B$3:$B$5001,$A$77,Base!$C$3:$C$5001,"&lt;&gt;")=0,"",SUMIFS(Base!$C$3:$C$5001,Base!$A$3:$A$5001,N$3,Base!$B$3:$B$5001,$A$77)))</f>
        <v>5</v>
      </c>
      <c r="O77" s="25">
        <f>IF(O$3="","",IF(COUNTIFS(Base!$A$3:$A$5001,O$3,Base!$B$3:$B$5001,$A$77,Base!$C$3:$C$5001,"&lt;&gt;")=0,"",SUMIFS(Base!$C$3:$C$5001,Base!$A$3:$A$5001,O$3,Base!$B$3:$B$5001,$A$77)))</f>
        <v>1</v>
      </c>
      <c r="P77" s="25">
        <f>IF(P$3="","",IF(COUNTIFS(Base!$A$3:$A$5001,P$3,Base!$B$3:$B$5001,$A$77,Base!$C$3:$C$5001,"&lt;&gt;")=0,"",SUMIFS(Base!$C$3:$C$5001,Base!$A$3:$A$5001,P$3,Base!$B$3:$B$5001,$A$77)))</f>
        <v>1</v>
      </c>
      <c r="Q77" s="25" t="str">
        <f>IF(Q$3="","",IF(COUNTIFS(Base!$A$3:$A$5001,Q$3,Base!$B$3:$B$5001,$A$77,Base!$C$3:$C$5001,"&lt;&gt;")=0,"",SUMIFS(Base!$C$3:$C$5001,Base!$A$3:$A$5001,Q$3,Base!$B$3:$B$5001,$A$77)))</f>
        <v/>
      </c>
      <c r="R77" s="25">
        <f>IF(R$3="","",IF(COUNTIFS(Base!$A$3:$A$5001,R$3,Base!$B$3:$B$5001,$A$77,Base!$C$3:$C$5001,"&lt;&gt;")=0,"",SUMIFS(Base!$C$3:$C$5001,Base!$A$3:$A$5001,R$3,Base!$B$3:$B$5001,$A$77)))</f>
        <v>2</v>
      </c>
      <c r="S77" s="25">
        <f>IF(S$3="","",IF(COUNTIFS(Base!$A$3:$A$5001,S$3,Base!$B$3:$B$5001,$A$77,Base!$C$3:$C$5001,"&lt;&gt;")=0,"",SUMIFS(Base!$C$3:$C$5001,Base!$A$3:$A$5001,S$3,Base!$B$3:$B$5001,$A$77)))</f>
        <v>0</v>
      </c>
      <c r="T77" s="25">
        <f>IF(T$3="","",IF(COUNTIFS(Base!$A$3:$A$5001,T$3,Base!$B$3:$B$5001,$A$77,Base!$C$3:$C$5001,"&lt;&gt;")=0,"",SUMIFS(Base!$C$3:$C$5001,Base!$A$3:$A$5001,T$3,Base!$B$3:$B$5001,$A$77)))</f>
        <v>4</v>
      </c>
      <c r="U77" s="25">
        <f>IF(U$3="","",IF(COUNTIFS(Base!$A$3:$A$5001,U$3,Base!$B$3:$B$5001,$A$77,Base!$C$3:$C$5001,"&lt;&gt;")=0,"",SUMIFS(Base!$C$3:$C$5001,Base!$A$3:$A$5001,U$3,Base!$B$3:$B$5001,$A$77)))</f>
        <v>4</v>
      </c>
      <c r="V77" s="25">
        <f>IF(V$3="","",IF(COUNTIFS(Base!$A$3:$A$5001,V$3,Base!$B$3:$B$5001,$A$77,Base!$C$3:$C$5001,"&lt;&gt;")=0,"",SUMIFS(Base!$C$3:$C$5001,Base!$A$3:$A$5001,V$3,Base!$B$3:$B$5001,$A$77)))</f>
        <v>7</v>
      </c>
      <c r="W77" s="25">
        <f>IF(W$3="","",IF(COUNTIFS(Base!$A$3:$A$5001,W$3,Base!$B$3:$B$5001,$A$77,Base!$C$3:$C$5001,"&lt;&gt;")=0,"",SUMIFS(Base!$C$3:$C$5001,Base!$A$3:$A$5001,W$3,Base!$B$3:$B$5001,$A$77)))</f>
        <v>9</v>
      </c>
      <c r="X77" s="25" t="str">
        <f>IF(X$3="","",IF(COUNTIFS(Base!$A$3:$A$5001,X$3,Base!$B$3:$B$5001,$A$77,Base!$C$3:$C$5001,"&lt;&gt;")=0,"",SUMIFS(Base!$C$3:$C$5001,Base!$A$3:$A$5001,X$3,Base!$B$3:$B$5001,$A$77)))</f>
        <v/>
      </c>
      <c r="Y77" s="25">
        <f>IF(Y$3="","",IF(COUNTIFS(Base!$A$3:$A$5001,Y$3,Base!$B$3:$B$5001,$A$77,Base!$C$3:$C$5001,"&lt;&gt;")=0,"",SUMIFS(Base!$C$3:$C$5001,Base!$A$3:$A$5001,Y$3,Base!$B$3:$B$5001,$A$77)))</f>
        <v>2</v>
      </c>
      <c r="Z77" s="25">
        <f>IF(Z$3="","",IF(COUNTIFS(Base!$A$3:$A$5001,Z$3,Base!$B$3:$B$5001,$A$77,Base!$C$3:$C$5001,"&lt;&gt;")=0,"",SUMIFS(Base!$C$3:$C$5001,Base!$A$3:$A$5001,Z$3,Base!$B$3:$B$5001,$A$77)))</f>
        <v>1</v>
      </c>
      <c r="AA77" s="25">
        <f>IF(AA$3="","",IF(COUNTIFS(Base!$A$3:$A$5001,AA$3,Base!$B$3:$B$5001,$A$77,Base!$C$3:$C$5001,"&lt;&gt;")=0,"",SUMIFS(Base!$C$3:$C$5001,Base!$A$3:$A$5001,AA$3,Base!$B$3:$B$5001,$A$77)))</f>
        <v>0</v>
      </c>
      <c r="AB77" s="25">
        <f>IF(AB$3="","",IF(COUNTIFS(Base!$A$3:$A$5001,AB$3,Base!$B$3:$B$5001,$A$77,Base!$C$3:$C$5001,"&lt;&gt;")=0,"",SUMIFS(Base!$C$3:$C$5001,Base!$A$3:$A$5001,AB$3,Base!$B$3:$B$5001,$A$77)))</f>
        <v>9</v>
      </c>
      <c r="AC77" s="25">
        <f>IF(AC$3="","",IF(COUNTIFS(Base!$A$3:$A$5001,AC$3,Base!$B$3:$B$5001,$A$77,Base!$C$3:$C$5001,"&lt;&gt;")=0,"",SUMIFS(Base!$C$3:$C$5001,Base!$A$3:$A$5001,AC$3,Base!$B$3:$B$5001,$A$77)))</f>
        <v>9</v>
      </c>
      <c r="AD77" s="25">
        <f>IF(AD$3="","",IF(COUNTIFS(Base!$A$3:$A$5001,AD$3,Base!$B$3:$B$5001,$A$77,Base!$C$3:$C$5001,"&lt;&gt;")=0,"",SUMIFS(Base!$C$3:$C$5001,Base!$A$3:$A$5001,AD$3,Base!$B$3:$B$5001,$A$77)))</f>
        <v>6</v>
      </c>
      <c r="AE77" s="25">
        <f>IF(AE$3="","",IF(COUNTIFS(Base!$A$3:$A$5001,AE$3,Base!$B$3:$B$5001,$A$77,Base!$C$3:$C$5001,"&lt;&gt;")=0,"",SUMIFS(Base!$C$3:$C$5001,Base!$A$3:$A$5001,AE$3,Base!$B$3:$B$5001,$A$77)))</f>
        <v>4</v>
      </c>
      <c r="AF77" s="25" t="str">
        <f>IF(AF$3="","",IF(COUNTIFS(Base!$A$3:$A$5001,AF$3,Base!$B$3:$B$5001,$A$77,Base!$C$3:$C$5001,"&lt;&gt;")=0,"",SUMIFS(Base!$C$3:$C$5001,Base!$A$3:$A$5001,AF$3,Base!$B$3:$B$5001,$A$77)))</f>
        <v/>
      </c>
      <c r="AG77" s="25">
        <f>IF(AG$3="","",IF(COUNTIFS(Base!$A$3:$A$5001,AG$3,Base!$B$3:$B$5001,$A$77,Base!$C$3:$C$5001,"&lt;&gt;")=0,"",SUMIFS(Base!$C$3:$C$5001,Base!$A$3:$A$5001,AG$3,Base!$B$3:$B$5001,$A$77)))</f>
        <v>2</v>
      </c>
      <c r="AH77" s="25">
        <f>IF(AH$3="","",IF(COUNTIFS(Base!$A$3:$A$5001,AH$3,Base!$B$3:$B$5001,$A$77,Base!$C$3:$C$5001,"&lt;&gt;")=0,"",SUMIFS(Base!$C$3:$C$5001,Base!$A$3:$A$5001,AH$3,Base!$B$3:$B$5001,$A$77)))</f>
        <v>6</v>
      </c>
      <c r="AI77" s="25" t="str">
        <f>IF(AI$3="","",IF(COUNTIFS(Base!$A$3:$A$5001,AI$3,Base!$B$3:$B$5001,$A$77,Base!$C$3:$C$5001,"&lt;&gt;")=0,"",SUMIFS(Base!$C$3:$C$5001,Base!$A$3:$A$5001,AI$3,Base!$B$3:$B$5001,$A$77)))</f>
        <v/>
      </c>
      <c r="AJ77" s="26" t="str">
        <f>IF(AJ$3="","",IF(COUNTIFS(Base!$A$3:$A$5001,AJ$3,Base!$B$3:$B$5001,$A$77,Base!$C$3:$C$5001,"&lt;&gt;")=0,"",SUMIFS(Base!$C$3:$C$5001,Base!$A$3:$A$5001,AJ$3,Base!$B$3:$B$5001,$A$77)))</f>
        <v/>
      </c>
      <c r="AK77" s="27">
        <f>IF(COUNT(F77:AJ77)=0,"",SUM(F77:AJ77))</f>
        <v>102</v>
      </c>
    </row>
    <row r="78" ht="15.75" customHeight="1">
      <c r="A78" s="118"/>
      <c r="B78" s="106"/>
      <c r="C78" s="28" t="inlineStr">
        <is>
          <t xml:space="preserve">Pallets Movimentados</t>
        </is>
      </c>
      <c r="D78" s="29"/>
      <c r="E78" s="30"/>
      <c r="F78" s="31">
        <f>IF(F$3="","",IF(COUNTIFS(Base!$A$3:$A$5001,F$3,Base!$B$3:$B$5001,$A$77,Base!$D$3:$D$5001,"&lt;&gt;")=0,"",SUMIFS(Base!$D$3:$D$5001,Base!$A$3:$A$5001,F$3,Base!$B$3:$B$5001,$A$77)))</f>
        <v>100</v>
      </c>
      <c r="G78" s="32">
        <f>IF(G$3="","",IF(COUNTIFS(Base!$A$3:$A$5001,G$3,Base!$B$3:$B$5001,$A$77,Base!$D$3:$D$5001,"&lt;&gt;")=0,"",SUMIFS(Base!$D$3:$D$5001,Base!$A$3:$A$5001,G$3,Base!$B$3:$B$5001,$A$77)))</f>
        <v>161</v>
      </c>
      <c r="H78" s="32">
        <f>IF(H$3="","",IF(COUNTIFS(Base!$A$3:$A$5001,H$3,Base!$B$3:$B$5001,$A$77,Base!$D$3:$D$5001,"&lt;&gt;")=0,"",SUMIFS(Base!$D$3:$D$5001,Base!$A$3:$A$5001,H$3,Base!$B$3:$B$5001,$A$77)))</f>
        <v>140</v>
      </c>
      <c r="I78" s="32">
        <f>IF(I$3="","",IF(COUNTIFS(Base!$A$3:$A$5001,I$3,Base!$B$3:$B$5001,$A$77,Base!$D$3:$D$5001,"&lt;&gt;")=0,"",SUMIFS(Base!$D$3:$D$5001,Base!$A$3:$A$5001,I$3,Base!$B$3:$B$5001,$A$77)))</f>
        <v>108</v>
      </c>
      <c r="J78" s="32" t="str">
        <f>IF(J$3="","",IF(COUNTIFS(Base!$A$3:$A$5001,J$3,Base!$B$3:$B$5001,$A$77,Base!$D$3:$D$5001,"&lt;&gt;")=0,"",SUMIFS(Base!$D$3:$D$5001,Base!$A$3:$A$5001,J$3,Base!$B$3:$B$5001,$A$77)))</f>
        <v/>
      </c>
      <c r="K78" s="32">
        <f>IF(K$3="","",IF(COUNTIFS(Base!$A$3:$A$5001,K$3,Base!$B$3:$B$5001,$A$77,Base!$D$3:$D$5001,"&lt;&gt;")=0,"",SUMIFS(Base!$D$3:$D$5001,Base!$A$3:$A$5001,K$3,Base!$B$3:$B$5001,$A$77)))</f>
        <v>0</v>
      </c>
      <c r="L78" s="32">
        <f>IF(L$3="","",IF(COUNTIFS(Base!$A$3:$A$5001,L$3,Base!$B$3:$B$5001,$A$77,Base!$D$3:$D$5001,"&lt;&gt;")=0,"",SUMIFS(Base!$D$3:$D$5001,Base!$A$3:$A$5001,L$3,Base!$B$3:$B$5001,$A$77)))</f>
        <v>104</v>
      </c>
      <c r="M78" s="32">
        <f>IF(M$3="","",IF(COUNTIFS(Base!$A$3:$A$5001,M$3,Base!$B$3:$B$5001,$A$77,Base!$D$3:$D$5001,"&lt;&gt;")=0,"",SUMIFS(Base!$D$3:$D$5001,Base!$A$3:$A$5001,M$3,Base!$B$3:$B$5001,$A$77)))</f>
        <v>84</v>
      </c>
      <c r="N78" s="32">
        <f>IF(N$3="","",IF(COUNTIFS(Base!$A$3:$A$5001,N$3,Base!$B$3:$B$5001,$A$77,Base!$D$3:$D$5001,"&lt;&gt;")=0,"",SUMIFS(Base!$D$3:$D$5001,Base!$A$3:$A$5001,N$3,Base!$B$3:$B$5001,$A$77)))</f>
        <v>140</v>
      </c>
      <c r="O78" s="32">
        <f>IF(O$3="","",IF(COUNTIFS(Base!$A$3:$A$5001,O$3,Base!$B$3:$B$5001,$A$77,Base!$D$3:$D$5001,"&lt;&gt;")=0,"",SUMIFS(Base!$D$3:$D$5001,Base!$A$3:$A$5001,O$3,Base!$B$3:$B$5001,$A$77)))</f>
        <v>26</v>
      </c>
      <c r="P78" s="32">
        <f>IF(P$3="","",IF(COUNTIFS(Base!$A$3:$A$5001,P$3,Base!$B$3:$B$5001,$A$77,Base!$D$3:$D$5001,"&lt;&gt;")=0,"",SUMIFS(Base!$D$3:$D$5001,Base!$A$3:$A$5001,P$3,Base!$B$3:$B$5001,$A$77)))</f>
        <v>22</v>
      </c>
      <c r="Q78" s="32" t="str">
        <f>IF(Q$3="","",IF(COUNTIFS(Base!$A$3:$A$5001,Q$3,Base!$B$3:$B$5001,$A$77,Base!$D$3:$D$5001,"&lt;&gt;")=0,"",SUMIFS(Base!$D$3:$D$5001,Base!$A$3:$A$5001,Q$3,Base!$B$3:$B$5001,$A$77)))</f>
        <v/>
      </c>
      <c r="R78" s="32">
        <f>IF(R$3="","",IF(COUNTIFS(Base!$A$3:$A$5001,R$3,Base!$B$3:$B$5001,$A$77,Base!$D$3:$D$5001,"&lt;&gt;")=0,"",SUMIFS(Base!$D$3:$D$5001,Base!$A$3:$A$5001,R$3,Base!$B$3:$B$5001,$A$77)))</f>
        <v>46</v>
      </c>
      <c r="S78" s="32">
        <f>IF(S$3="","",IF(COUNTIFS(Base!$A$3:$A$5001,S$3,Base!$B$3:$B$5001,$A$77,Base!$D$3:$D$5001,"&lt;&gt;")=0,"",SUMIFS(Base!$D$3:$D$5001,Base!$A$3:$A$5001,S$3,Base!$B$3:$B$5001,$A$77)))</f>
        <v>0</v>
      </c>
      <c r="T78" s="32">
        <f>IF(T$3="","",IF(COUNTIFS(Base!$A$3:$A$5001,T$3,Base!$B$3:$B$5001,$A$77,Base!$D$3:$D$5001,"&lt;&gt;")=0,"",SUMIFS(Base!$D$3:$D$5001,Base!$A$3:$A$5001,T$3,Base!$B$3:$B$5001,$A$77)))</f>
        <v>88</v>
      </c>
      <c r="U78" s="32">
        <f>IF(U$3="","",IF(COUNTIFS(Base!$A$3:$A$5001,U$3,Base!$B$3:$B$5001,$A$77,Base!$D$3:$D$5001,"&lt;&gt;")=0,"",SUMIFS(Base!$D$3:$D$5001,Base!$A$3:$A$5001,U$3,Base!$B$3:$B$5001,$A$77)))</f>
        <v>108</v>
      </c>
      <c r="V78" s="32">
        <f>IF(V$3="","",IF(COUNTIFS(Base!$A$3:$A$5001,V$3,Base!$B$3:$B$5001,$A$77,Base!$D$3:$D$5001,"&lt;&gt;")=0,"",SUMIFS(Base!$D$3:$D$5001,Base!$A$3:$A$5001,V$3,Base!$B$3:$B$5001,$A$77)))</f>
        <v>196</v>
      </c>
      <c r="W78" s="32">
        <f>IF(W$3="","",IF(COUNTIFS(Base!$A$3:$A$5001,W$3,Base!$B$3:$B$5001,$A$77,Base!$D$3:$D$5001,"&lt;&gt;")=0,"",SUMIFS(Base!$D$3:$D$5001,Base!$A$3:$A$5001,W$3,Base!$B$3:$B$5001,$A$77)))</f>
        <v>189</v>
      </c>
      <c r="X78" s="32" t="str">
        <f>IF(X$3="","",IF(COUNTIFS(Base!$A$3:$A$5001,X$3,Base!$B$3:$B$5001,$A$77,Base!$D$3:$D$5001,"&lt;&gt;")=0,"",SUMIFS(Base!$D$3:$D$5001,Base!$A$3:$A$5001,X$3,Base!$B$3:$B$5001,$A$77)))</f>
        <v/>
      </c>
      <c r="Y78" s="32">
        <f>IF(Y$3="","",IF(COUNTIFS(Base!$A$3:$A$5001,Y$3,Base!$B$3:$B$5001,$A$77,Base!$D$3:$D$5001,"&lt;&gt;")=0,"",SUMIFS(Base!$D$3:$D$5001,Base!$A$3:$A$5001,Y$3,Base!$B$3:$B$5001,$A$77)))</f>
        <v>40</v>
      </c>
      <c r="Z78" s="32">
        <f>IF(Z$3="","",IF(COUNTIFS(Base!$A$3:$A$5001,Z$3,Base!$B$3:$B$5001,$A$77,Base!$D$3:$D$5001,"&lt;&gt;")=0,"",SUMIFS(Base!$D$3:$D$5001,Base!$A$3:$A$5001,Z$3,Base!$B$3:$B$5001,$A$77)))</f>
        <v>22</v>
      </c>
      <c r="AA78" s="32">
        <f>IF(AA$3="","",IF(COUNTIFS(Base!$A$3:$A$5001,AA$3,Base!$B$3:$B$5001,$A$77,Base!$D$3:$D$5001,"&lt;&gt;")=0,"",SUMIFS(Base!$D$3:$D$5001,Base!$A$3:$A$5001,AA$3,Base!$B$3:$B$5001,$A$77)))</f>
        <v>0</v>
      </c>
      <c r="AB78" s="32">
        <f>IF(AB$3="","",IF(COUNTIFS(Base!$A$3:$A$5001,AB$3,Base!$B$3:$B$5001,$A$77,Base!$D$3:$D$5001,"&lt;&gt;")=0,"",SUMIFS(Base!$D$3:$D$5001,Base!$A$3:$A$5001,AB$3,Base!$B$3:$B$5001,$A$77)))</f>
        <v>225</v>
      </c>
      <c r="AC78" s="32">
        <f>IF(AC$3="","",IF(COUNTIFS(Base!$A$3:$A$5001,AC$3,Base!$B$3:$B$5001,$A$77,Base!$D$3:$D$5001,"&lt;&gt;")=0,"",SUMIFS(Base!$D$3:$D$5001,Base!$A$3:$A$5001,AC$3,Base!$B$3:$B$5001,$A$77)))</f>
        <v>216</v>
      </c>
      <c r="AD78" s="32">
        <f>IF(AD$3="","",IF(COUNTIFS(Base!$A$3:$A$5001,AD$3,Base!$B$3:$B$5001,$A$77,Base!$D$3:$D$5001,"&lt;&gt;")=0,"",SUMIFS(Base!$D$3:$D$5001,Base!$A$3:$A$5001,AD$3,Base!$B$3:$B$5001,$A$77)))</f>
        <v>120</v>
      </c>
      <c r="AE78" s="32">
        <f>IF(AE$3="","",IF(COUNTIFS(Base!$A$3:$A$5001,AE$3,Base!$B$3:$B$5001,$A$77,Base!$D$3:$D$5001,"&lt;&gt;")=0,"",SUMIFS(Base!$D$3:$D$5001,Base!$A$3:$A$5001,AE$3,Base!$B$3:$B$5001,$A$77)))</f>
        <v>112</v>
      </c>
      <c r="AF78" s="32" t="str">
        <f>IF(AF$3="","",IF(COUNTIFS(Base!$A$3:$A$5001,AF$3,Base!$B$3:$B$5001,$A$77,Base!$D$3:$D$5001,"&lt;&gt;")=0,"",SUMIFS(Base!$D$3:$D$5001,Base!$A$3:$A$5001,AF$3,Base!$B$3:$B$5001,$A$77)))</f>
        <v/>
      </c>
      <c r="AG78" s="32">
        <f>IF(AG$3="","",IF(COUNTIFS(Base!$A$3:$A$5001,AG$3,Base!$B$3:$B$5001,$A$77,Base!$D$3:$D$5001,"&lt;&gt;")=0,"",SUMIFS(Base!$D$3:$D$5001,Base!$A$3:$A$5001,AG$3,Base!$B$3:$B$5001,$A$77)))</f>
        <v>44</v>
      </c>
      <c r="AH78" s="32">
        <f>IF(AH$3="","",IF(COUNTIFS(Base!$A$3:$A$5001,AH$3,Base!$B$3:$B$5001,$A$77,Base!$D$3:$D$5001,"&lt;&gt;")=0,"",SUMIFS(Base!$D$3:$D$5001,Base!$A$3:$A$5001,AH$3,Base!$B$3:$B$5001,$A$77)))</f>
        <v>126</v>
      </c>
      <c r="AI78" s="32" t="str">
        <f>IF(AI$3="","",IF(COUNTIFS(Base!$A$3:$A$5001,AI$3,Base!$B$3:$B$5001,$A$77,Base!$D$3:$D$5001,"&lt;&gt;")=0,"",SUMIFS(Base!$D$3:$D$5001,Base!$A$3:$A$5001,AI$3,Base!$B$3:$B$5001,$A$77)))</f>
        <v/>
      </c>
      <c r="AJ78" s="33" t="str">
        <f>IF(AJ$3="","",IF(COUNTIFS(Base!$A$3:$A$5001,AJ$3,Base!$B$3:$B$5001,$A$77,Base!$D$3:$D$5001,"&lt;&gt;")=0,"",SUMIFS(Base!$D$3:$D$5001,Base!$A$3:$A$5001,AJ$3,Base!$B$3:$B$5001,$A$77)))</f>
        <v/>
      </c>
      <c r="AK78" s="34">
        <f>IF(COUNT(F78:AJ78)=0,"",SUM(F78:AJ78))</f>
        <v>2417</v>
      </c>
    </row>
    <row r="79" ht="15.75" customHeight="1">
      <c r="A79" s="118"/>
      <c r="B79" s="107"/>
      <c r="C79" s="35" t="inlineStr">
        <is>
          <t xml:space="preserve">Toneladas Movimentadas</t>
        </is>
      </c>
      <c r="D79" s="36"/>
      <c r="E79" s="37"/>
      <c r="F79" s="38">
        <f>IF(F$3="","",IF(COUNTIFS(Base!$A$3:$A$5001,F$3,Base!$B$3:$B$5001,$A$77,Base!$E$3:$E$5001,"&lt;&gt;")=0,"",SUMIFS(Base!$E$3:$E$5001,Base!$A$3:$A$5001,F$3,Base!$B$3:$B$5001,$A$77)))</f>
        <v>97.56</v>
      </c>
      <c r="G79" s="39">
        <f>IF(G$3="","",IF(COUNTIFS(Base!$A$3:$A$5001,G$3,Base!$B$3:$B$5001,$A$77,Base!$E$3:$E$5001,"&lt;&gt;")=0,"",SUMIFS(Base!$E$3:$E$5001,Base!$A$3:$A$5001,G$3,Base!$B$3:$B$5001,$A$77)))</f>
        <v>119.48</v>
      </c>
      <c r="H79" s="39">
        <f>IF(H$3="","",IF(COUNTIFS(Base!$A$3:$A$5001,H$3,Base!$B$3:$B$5001,$A$77,Base!$E$3:$E$5001,"&lt;&gt;")=0,"",SUMIFS(Base!$E$3:$E$5001,Base!$A$3:$A$5001,H$3,Base!$B$3:$B$5001,$A$77)))</f>
        <v>118.81</v>
      </c>
      <c r="I79" s="39">
        <f>IF(I$3="","",IF(COUNTIFS(Base!$A$3:$A$5001,I$3,Base!$B$3:$B$5001,$A$77,Base!$E$3:$E$5001,"&lt;&gt;")=0,"",SUMIFS(Base!$E$3:$E$5001,Base!$A$3:$A$5001,I$3,Base!$B$3:$B$5001,$A$77)))</f>
        <v>89.11</v>
      </c>
      <c r="J79" s="39" t="str">
        <f>IF(J$3="","",IF(COUNTIFS(Base!$A$3:$A$5001,J$3,Base!$B$3:$B$5001,$A$77,Base!$E$3:$E$5001,"&lt;&gt;")=0,"",SUMIFS(Base!$E$3:$E$5001,Base!$A$3:$A$5001,J$3,Base!$B$3:$B$5001,$A$77)))</f>
        <v/>
      </c>
      <c r="K79" s="39">
        <f>IF(K$3="","",IF(COUNTIFS(Base!$A$3:$A$5001,K$3,Base!$B$3:$B$5001,$A$77,Base!$E$3:$E$5001,"&lt;&gt;")=0,"",SUMIFS(Base!$E$3:$E$5001,Base!$A$3:$A$5001,K$3,Base!$B$3:$B$5001,$A$77)))</f>
        <v>0</v>
      </c>
      <c r="L79" s="39">
        <f>IF(L$3="","",IF(COUNTIFS(Base!$A$3:$A$5001,L$3,Base!$B$3:$B$5001,$A$77,Base!$E$3:$E$5001,"&lt;&gt;")=0,"",SUMIFS(Base!$E$3:$E$5001,Base!$A$3:$A$5001,L$3,Base!$B$3:$B$5001,$A$77)))</f>
        <v>77.25</v>
      </c>
      <c r="M79" s="39">
        <f>IF(M$3="","",IF(COUNTIFS(Base!$A$3:$A$5001,M$3,Base!$B$3:$B$5001,$A$77,Base!$E$3:$E$5001,"&lt;&gt;")=0,"",SUMIFS(Base!$E$3:$E$5001,Base!$A$3:$A$5001,M$3,Base!$B$3:$B$5001,$A$77)))</f>
        <v>58.18</v>
      </c>
      <c r="N79" s="39">
        <f>IF(N$3="","",IF(COUNTIFS(Base!$A$3:$A$5001,N$3,Base!$B$3:$B$5001,$A$77,Base!$E$3:$E$5001,"&lt;&gt;")=0,"",SUMIFS(Base!$E$3:$E$5001,Base!$A$3:$A$5001,N$3,Base!$B$3:$B$5001,$A$77)))</f>
        <v>80.59</v>
      </c>
      <c r="O79" s="39">
        <f>IF(O$3="","",IF(COUNTIFS(Base!$A$3:$A$5001,O$3,Base!$B$3:$B$5001,$A$77,Base!$E$3:$E$5001,"&lt;&gt;")=0,"",SUMIFS(Base!$E$3:$E$5001,Base!$A$3:$A$5001,O$3,Base!$B$3:$B$5001,$A$77)))</f>
        <v>22.04</v>
      </c>
      <c r="P79" s="39">
        <f>IF(P$3="","",IF(COUNTIFS(Base!$A$3:$A$5001,P$3,Base!$B$3:$B$5001,$A$77,Base!$E$3:$E$5001,"&lt;&gt;")=0,"",SUMIFS(Base!$E$3:$E$5001,Base!$A$3:$A$5001,P$3,Base!$B$3:$B$5001,$A$77)))</f>
        <v>22.04</v>
      </c>
      <c r="Q79" s="39" t="str">
        <f>IF(Q$3="","",IF(COUNTIFS(Base!$A$3:$A$5001,Q$3,Base!$B$3:$B$5001,$A$77,Base!$E$3:$E$5001,"&lt;&gt;")=0,"",SUMIFS(Base!$E$3:$E$5001,Base!$A$3:$A$5001,Q$3,Base!$B$3:$B$5001,$A$77)))</f>
        <v/>
      </c>
      <c r="R79" s="39">
        <f>IF(R$3="","",IF(COUNTIFS(Base!$A$3:$A$5001,R$3,Base!$B$3:$B$5001,$A$77,Base!$E$3:$E$5001,"&lt;&gt;")=0,"",SUMIFS(Base!$E$3:$E$5001,Base!$A$3:$A$5001,R$3,Base!$B$3:$B$5001,$A$77)))</f>
        <v>30.86</v>
      </c>
      <c r="S79" s="39">
        <f>IF(S$3="","",IF(COUNTIFS(Base!$A$3:$A$5001,S$3,Base!$B$3:$B$5001,$A$77,Base!$E$3:$E$5001,"&lt;&gt;")=0,"",SUMIFS(Base!$E$3:$E$5001,Base!$A$3:$A$5001,S$3,Base!$B$3:$B$5001,$A$77)))</f>
        <v>0</v>
      </c>
      <c r="T79" s="39">
        <f>IF(T$3="","",IF(COUNTIFS(Base!$A$3:$A$5001,T$3,Base!$B$3:$B$5001,$A$77,Base!$E$3:$E$5001,"&lt;&gt;")=0,"",SUMIFS(Base!$E$3:$E$5001,Base!$A$3:$A$5001,T$3,Base!$B$3:$B$5001,$A$77)))</f>
        <v>56.33</v>
      </c>
      <c r="U79" s="39">
        <f>IF(U$3="","",IF(COUNTIFS(Base!$A$3:$A$5001,U$3,Base!$B$3:$B$5001,$A$77,Base!$E$3:$E$5001,"&lt;&gt;")=0,"",SUMIFS(Base!$E$3:$E$5001,Base!$A$3:$A$5001,U$3,Base!$B$3:$B$5001,$A$77)))</f>
        <v>43.45</v>
      </c>
      <c r="V79" s="39">
        <f>IF(V$3="","",IF(COUNTIFS(Base!$A$3:$A$5001,V$3,Base!$B$3:$B$5001,$A$77,Base!$E$3:$E$5001,"&lt;&gt;")=0,"",SUMIFS(Base!$E$3:$E$5001,Base!$A$3:$A$5001,V$3,Base!$B$3:$B$5001,$A$77)))</f>
        <v>79.1</v>
      </c>
      <c r="W79" s="39">
        <f>IF(W$3="","",IF(COUNTIFS(Base!$A$3:$A$5001,W$3,Base!$B$3:$B$5001,$A$77,Base!$E$3:$E$5001,"&lt;&gt;")=0,"",SUMIFS(Base!$E$3:$E$5001,Base!$A$3:$A$5001,W$3,Base!$B$3:$B$5001,$A$77)))</f>
        <v>108.31</v>
      </c>
      <c r="X79" s="39" t="str">
        <f>IF(X$3="","",IF(COUNTIFS(Base!$A$3:$A$5001,X$3,Base!$B$3:$B$5001,$A$77,Base!$E$3:$E$5001,"&lt;&gt;")=0,"",SUMIFS(Base!$E$3:$E$5001,Base!$A$3:$A$5001,X$3,Base!$B$3:$B$5001,$A$77)))</f>
        <v/>
      </c>
      <c r="Y79" s="39">
        <f>IF(Y$3="","",IF(COUNTIFS(Base!$A$3:$A$5001,Y$3,Base!$B$3:$B$5001,$A$77,Base!$E$3:$E$5001,"&lt;&gt;")=0,"",SUMIFS(Base!$E$3:$E$5001,Base!$A$3:$A$5001,Y$3,Base!$B$3:$B$5001,$A$77)))</f>
        <v>35.29</v>
      </c>
      <c r="Z79" s="39">
        <f>IF(Z$3="","",IF(COUNTIFS(Base!$A$3:$A$5001,Z$3,Base!$B$3:$B$5001,$A$77,Base!$E$3:$E$5001,"&lt;&gt;")=0,"",SUMIFS(Base!$E$3:$E$5001,Base!$A$3:$A$5001,Z$3,Base!$B$3:$B$5001,$A$77)))</f>
        <v>10.82</v>
      </c>
      <c r="AA79" s="39">
        <f>IF(AA$3="","",IF(COUNTIFS(Base!$A$3:$A$5001,AA$3,Base!$B$3:$B$5001,$A$77,Base!$E$3:$E$5001,"&lt;&gt;")=0,"",SUMIFS(Base!$E$3:$E$5001,Base!$A$3:$A$5001,AA$3,Base!$B$3:$B$5001,$A$77)))</f>
        <v>0</v>
      </c>
      <c r="AB79" s="39">
        <f>IF(AB$3="","",IF(COUNTIFS(Base!$A$3:$A$5001,AB$3,Base!$B$3:$B$5001,$A$77,Base!$E$3:$E$5001,"&lt;&gt;")=0,"",SUMIFS(Base!$E$3:$E$5001,Base!$A$3:$A$5001,AB$3,Base!$B$3:$B$5001,$A$77)))</f>
        <v>82.6</v>
      </c>
      <c r="AC79" s="39">
        <f>IF(AC$3="","",IF(COUNTIFS(Base!$A$3:$A$5001,AC$3,Base!$B$3:$B$5001,$A$77,Base!$E$3:$E$5001,"&lt;&gt;")=0,"",SUMIFS(Base!$E$3:$E$5001,Base!$A$3:$A$5001,AC$3,Base!$B$3:$B$5001,$A$77)))</f>
        <v>137.42</v>
      </c>
      <c r="AD79" s="39">
        <f>IF(AD$3="","",IF(COUNTIFS(Base!$A$3:$A$5001,AD$3,Base!$B$3:$B$5001,$A$77,Base!$E$3:$E$5001,"&lt;&gt;")=0,"",SUMIFS(Base!$E$3:$E$5001,Base!$A$3:$A$5001,AD$3,Base!$B$3:$B$5001,$A$77)))</f>
        <v>95.78</v>
      </c>
      <c r="AE79" s="39">
        <f>IF(AE$3="","",IF(COUNTIFS(Base!$A$3:$A$5001,AE$3,Base!$B$3:$B$5001,$A$77,Base!$E$3:$E$5001,"&lt;&gt;")=0,"",SUMIFS(Base!$E$3:$E$5001,Base!$A$3:$A$5001,AE$3,Base!$B$3:$B$5001,$A$77)))</f>
        <v>73.87</v>
      </c>
      <c r="AF79" s="39" t="str">
        <f>IF(AF$3="","",IF(COUNTIFS(Base!$A$3:$A$5001,AF$3,Base!$B$3:$B$5001,$A$77,Base!$E$3:$E$5001,"&lt;&gt;")=0,"",SUMIFS(Base!$E$3:$E$5001,Base!$A$3:$A$5001,AF$3,Base!$B$3:$B$5001,$A$77)))</f>
        <v/>
      </c>
      <c r="AG79" s="39">
        <f>IF(AG$3="","",IF(COUNTIFS(Base!$A$3:$A$5001,AG$3,Base!$B$3:$B$5001,$A$77,Base!$E$3:$E$5001,"&lt;&gt;")=0,"",SUMIFS(Base!$E$3:$E$5001,Base!$A$3:$A$5001,AG$3,Base!$B$3:$B$5001,$A$77)))</f>
        <v>28.62</v>
      </c>
      <c r="AH79" s="39">
        <f>IF(AH$3="","",IF(COUNTIFS(Base!$A$3:$A$5001,AH$3,Base!$B$3:$B$5001,$A$77,Base!$E$3:$E$5001,"&lt;&gt;")=0,"",SUMIFS(Base!$E$3:$E$5001,Base!$A$3:$A$5001,AH$3,Base!$B$3:$B$5001,$A$77)))</f>
        <v>90.29</v>
      </c>
      <c r="AI79" s="39" t="str">
        <f>IF(AI$3="","",IF(COUNTIFS(Base!$A$3:$A$5001,AI$3,Base!$B$3:$B$5001,$A$77,Base!$E$3:$E$5001,"&lt;&gt;")=0,"",SUMIFS(Base!$E$3:$E$5001,Base!$A$3:$A$5001,AI$3,Base!$B$3:$B$5001,$A$77)))</f>
        <v/>
      </c>
      <c r="AJ79" s="40" t="str">
        <f>IF(AJ$3="","",IF(COUNTIFS(Base!$A$3:$A$5001,AJ$3,Base!$B$3:$B$5001,$A$77,Base!$E$3:$E$5001,"&lt;&gt;")=0,"",SUMIFS(Base!$E$3:$E$5001,Base!$A$3:$A$5001,AJ$3,Base!$B$3:$B$5001,$A$77)))</f>
        <v/>
      </c>
      <c r="AK79" s="36">
        <f>IF(COUNT(F79:AJ79)=0,"",SUM(F79:AJ79))</f>
        <v>1557.8</v>
      </c>
    </row>
    <row r="80" ht="15.75" customHeight="1">
      <c r="A80" s="118"/>
      <c r="B80" s="108" t="inlineStr">
        <is>
          <t xml:space="preserve">OUT</t>
        </is>
      </c>
      <c r="C80" s="41" t="inlineStr">
        <is>
          <t xml:space="preserve">Veículos Expedidos</t>
        </is>
      </c>
      <c r="D80" s="42"/>
      <c r="E80" s="43"/>
      <c r="F80" s="44">
        <f>IF(F$3="","",IF(COUNTIFS(Base!$A$3:$A$5001,F$3,Base!$B$3:$B$5001,$A$77,Base!$F$3:$F$5001,"&lt;&gt;")=0,"",SUMIFS(Base!$F$3:$F$5001,Base!$A$3:$A$5001,F$3,Base!$B$3:$B$5001,$A$77)))</f>
        <v>10</v>
      </c>
      <c r="G80" s="45">
        <f>IF(G$3="","",IF(COUNTIFS(Base!$A$3:$A$5001,G$3,Base!$B$3:$B$5001,$A$77,Base!$F$3:$F$5001,"&lt;&gt;")=0,"",SUMIFS(Base!$F$3:$F$5001,Base!$A$3:$A$5001,G$3,Base!$B$3:$B$5001,$A$77)))</f>
        <v>1</v>
      </c>
      <c r="H80" s="45">
        <f>IF(H$3="","",IF(COUNTIFS(Base!$A$3:$A$5001,H$3,Base!$B$3:$B$5001,$A$77,Base!$F$3:$F$5001,"&lt;&gt;")=0,"",SUMIFS(Base!$F$3:$F$5001,Base!$A$3:$A$5001,H$3,Base!$B$3:$B$5001,$A$77)))</f>
        <v>8</v>
      </c>
      <c r="I80" s="45">
        <f>IF(I$3="","",IF(COUNTIFS(Base!$A$3:$A$5001,I$3,Base!$B$3:$B$5001,$A$77,Base!$F$3:$F$5001,"&lt;&gt;")=0,"",SUMIFS(Base!$F$3:$F$5001,Base!$A$3:$A$5001,I$3,Base!$B$3:$B$5001,$A$77)))</f>
        <v>12</v>
      </c>
      <c r="J80" s="45" t="str">
        <f>IF(J$3="","",IF(COUNTIFS(Base!$A$3:$A$5001,J$3,Base!$B$3:$B$5001,$A$77,Base!$F$3:$F$5001,"&lt;&gt;")=0,"",SUMIFS(Base!$F$3:$F$5001,Base!$A$3:$A$5001,J$3,Base!$B$3:$B$5001,$A$77)))</f>
        <v/>
      </c>
      <c r="K80" s="45">
        <f>IF(K$3="","",IF(COUNTIFS(Base!$A$3:$A$5001,K$3,Base!$B$3:$B$5001,$A$77,Base!$F$3:$F$5001,"&lt;&gt;")=0,"",SUMIFS(Base!$F$3:$F$5001,Base!$A$3:$A$5001,K$3,Base!$B$3:$B$5001,$A$77)))</f>
        <v>6</v>
      </c>
      <c r="L80" s="45">
        <f>IF(L$3="","",IF(COUNTIFS(Base!$A$3:$A$5001,L$3,Base!$B$3:$B$5001,$A$77,Base!$F$3:$F$5001,"&lt;&gt;")=0,"",SUMIFS(Base!$F$3:$F$5001,Base!$A$3:$A$5001,L$3,Base!$B$3:$B$5001,$A$77)))</f>
        <v>0</v>
      </c>
      <c r="M80" s="45">
        <f>IF(M$3="","",IF(COUNTIFS(Base!$A$3:$A$5001,M$3,Base!$B$3:$B$5001,$A$77,Base!$F$3:$F$5001,"&lt;&gt;")=0,"",SUMIFS(Base!$F$3:$F$5001,Base!$A$3:$A$5001,M$3,Base!$B$3:$B$5001,$A$77)))</f>
        <v>7</v>
      </c>
      <c r="N80" s="45">
        <f>IF(N$3="","",IF(COUNTIFS(Base!$A$3:$A$5001,N$3,Base!$B$3:$B$5001,$A$77,Base!$F$3:$F$5001,"&lt;&gt;")=0,"",SUMIFS(Base!$F$3:$F$5001,Base!$A$3:$A$5001,N$3,Base!$B$3:$B$5001,$A$77)))</f>
        <v>3</v>
      </c>
      <c r="O80" s="45">
        <f>IF(O$3="","",IF(COUNTIFS(Base!$A$3:$A$5001,O$3,Base!$B$3:$B$5001,$A$77,Base!$F$3:$F$5001,"&lt;&gt;")=0,"",SUMIFS(Base!$F$3:$F$5001,Base!$A$3:$A$5001,O$3,Base!$B$3:$B$5001,$A$77)))</f>
        <v>10</v>
      </c>
      <c r="P80" s="45">
        <f>IF(P$3="","",IF(COUNTIFS(Base!$A$3:$A$5001,P$3,Base!$B$3:$B$5001,$A$77,Base!$F$3:$F$5001,"&lt;&gt;")=0,"",SUMIFS(Base!$F$3:$F$5001,Base!$A$3:$A$5001,P$3,Base!$B$3:$B$5001,$A$77)))</f>
        <v>11</v>
      </c>
      <c r="Q80" s="45" t="str">
        <f>IF(Q$3="","",IF(COUNTIFS(Base!$A$3:$A$5001,Q$3,Base!$B$3:$B$5001,$A$77,Base!$F$3:$F$5001,"&lt;&gt;")=0,"",SUMIFS(Base!$F$3:$F$5001,Base!$A$3:$A$5001,Q$3,Base!$B$3:$B$5001,$A$77)))</f>
        <v/>
      </c>
      <c r="R80" s="45">
        <f>IF(R$3="","",IF(COUNTIFS(Base!$A$3:$A$5001,R$3,Base!$B$3:$B$5001,$A$77,Base!$F$3:$F$5001,"&lt;&gt;")=0,"",SUMIFS(Base!$F$3:$F$5001,Base!$A$3:$A$5001,R$3,Base!$B$3:$B$5001,$A$77)))</f>
        <v>6</v>
      </c>
      <c r="S80" s="45">
        <f>IF(S$3="","",IF(COUNTIFS(Base!$A$3:$A$5001,S$3,Base!$B$3:$B$5001,$A$77,Base!$F$3:$F$5001,"&lt;&gt;")=0,"",SUMIFS(Base!$F$3:$F$5001,Base!$A$3:$A$5001,S$3,Base!$B$3:$B$5001,$A$77)))</f>
        <v>12</v>
      </c>
      <c r="T80" s="45">
        <f>IF(T$3="","",IF(COUNTIFS(Base!$A$3:$A$5001,T$3,Base!$B$3:$B$5001,$A$77,Base!$F$3:$F$5001,"&lt;&gt;")=0,"",SUMIFS(Base!$F$3:$F$5001,Base!$A$3:$A$5001,T$3,Base!$B$3:$B$5001,$A$77)))</f>
        <v>0</v>
      </c>
      <c r="U80" s="45">
        <f>IF(U$3="","",IF(COUNTIFS(Base!$A$3:$A$5001,U$3,Base!$B$3:$B$5001,$A$77,Base!$F$3:$F$5001,"&lt;&gt;")=0,"",SUMIFS(Base!$F$3:$F$5001,Base!$A$3:$A$5001,U$3,Base!$B$3:$B$5001,$A$77)))</f>
        <v>3</v>
      </c>
      <c r="V80" s="45">
        <f>IF(V$3="","",IF(COUNTIFS(Base!$A$3:$A$5001,V$3,Base!$B$3:$B$5001,$A$77,Base!$F$3:$F$5001,"&lt;&gt;")=0,"",SUMIFS(Base!$F$3:$F$5001,Base!$A$3:$A$5001,V$3,Base!$B$3:$B$5001,$A$77)))</f>
        <v>12</v>
      </c>
      <c r="W80" s="45">
        <f>IF(W$3="","",IF(COUNTIFS(Base!$A$3:$A$5001,W$3,Base!$B$3:$B$5001,$A$77,Base!$F$3:$F$5001,"&lt;&gt;")=0,"",SUMIFS(Base!$F$3:$F$5001,Base!$A$3:$A$5001,W$3,Base!$B$3:$B$5001,$A$77)))</f>
        <v>6</v>
      </c>
      <c r="X80" s="45" t="str">
        <f>IF(X$3="","",IF(COUNTIFS(Base!$A$3:$A$5001,X$3,Base!$B$3:$B$5001,$A$77,Base!$F$3:$F$5001,"&lt;&gt;")=0,"",SUMIFS(Base!$F$3:$F$5001,Base!$A$3:$A$5001,X$3,Base!$B$3:$B$5001,$A$77)))</f>
        <v/>
      </c>
      <c r="Y80" s="45">
        <f>IF(Y$3="","",IF(COUNTIFS(Base!$A$3:$A$5001,Y$3,Base!$B$3:$B$5001,$A$77,Base!$F$3:$F$5001,"&lt;&gt;")=0,"",SUMIFS(Base!$F$3:$F$5001,Base!$A$3:$A$5001,Y$3,Base!$B$3:$B$5001,$A$77)))</f>
        <v>11</v>
      </c>
      <c r="Z80" s="45">
        <f>IF(Z$3="","",IF(COUNTIFS(Base!$A$3:$A$5001,Z$3,Base!$B$3:$B$5001,$A$77,Base!$F$3:$F$5001,"&lt;&gt;")=0,"",SUMIFS(Base!$F$3:$F$5001,Base!$A$3:$A$5001,Z$3,Base!$B$3:$B$5001,$A$77)))</f>
        <v>3</v>
      </c>
      <c r="AA80" s="45">
        <f>IF(AA$3="","",IF(COUNTIFS(Base!$A$3:$A$5001,AA$3,Base!$B$3:$B$5001,$A$77,Base!$F$3:$F$5001,"&lt;&gt;")=0,"",SUMIFS(Base!$F$3:$F$5001,Base!$A$3:$A$5001,AA$3,Base!$B$3:$B$5001,$A$77)))</f>
        <v>0</v>
      </c>
      <c r="AB80" s="45">
        <f>IF(AB$3="","",IF(COUNTIFS(Base!$A$3:$A$5001,AB$3,Base!$B$3:$B$5001,$A$77,Base!$F$3:$F$5001,"&lt;&gt;")=0,"",SUMIFS(Base!$F$3:$F$5001,Base!$A$3:$A$5001,AB$3,Base!$B$3:$B$5001,$A$77)))</f>
        <v>3</v>
      </c>
      <c r="AC80" s="45">
        <f>IF(AC$3="","",IF(COUNTIFS(Base!$A$3:$A$5001,AC$3,Base!$B$3:$B$5001,$A$77,Base!$F$3:$F$5001,"&lt;&gt;")=0,"",SUMIFS(Base!$F$3:$F$5001,Base!$A$3:$A$5001,AC$3,Base!$B$3:$B$5001,$A$77)))</f>
        <v>1</v>
      </c>
      <c r="AD80" s="45">
        <f>IF(AD$3="","",IF(COUNTIFS(Base!$A$3:$A$5001,AD$3,Base!$B$3:$B$5001,$A$77,Base!$F$3:$F$5001,"&lt;&gt;")=0,"",SUMIFS(Base!$F$3:$F$5001,Base!$A$3:$A$5001,AD$3,Base!$B$3:$B$5001,$A$77)))</f>
        <v>7</v>
      </c>
      <c r="AE80" s="45">
        <f>IF(AE$3="","",IF(COUNTIFS(Base!$A$3:$A$5001,AE$3,Base!$B$3:$B$5001,$A$77,Base!$F$3:$F$5001,"&lt;&gt;")=0,"",SUMIFS(Base!$F$3:$F$5001,Base!$A$3:$A$5001,AE$3,Base!$B$3:$B$5001,$A$77)))</f>
        <v>3</v>
      </c>
      <c r="AF80" s="45" t="str">
        <f>IF(AF$3="","",IF(COUNTIFS(Base!$A$3:$A$5001,AF$3,Base!$B$3:$B$5001,$A$77,Base!$F$3:$F$5001,"&lt;&gt;")=0,"",SUMIFS(Base!$F$3:$F$5001,Base!$A$3:$A$5001,AF$3,Base!$B$3:$B$5001,$A$77)))</f>
        <v/>
      </c>
      <c r="AG80" s="45">
        <f>IF(AG$3="","",IF(COUNTIFS(Base!$A$3:$A$5001,AG$3,Base!$B$3:$B$5001,$A$77,Base!$F$3:$F$5001,"&lt;&gt;")=0,"",SUMIFS(Base!$F$3:$F$5001,Base!$A$3:$A$5001,AG$3,Base!$B$3:$B$5001,$A$77)))</f>
        <v>1</v>
      </c>
      <c r="AH80" s="45">
        <f>IF(AH$3="","",IF(COUNTIFS(Base!$A$3:$A$5001,AH$3,Base!$B$3:$B$5001,$A$77,Base!$F$3:$F$5001,"&lt;&gt;")=0,"",SUMIFS(Base!$F$3:$F$5001,Base!$A$3:$A$5001,AH$3,Base!$B$3:$B$5001,$A$77)))</f>
        <v>5</v>
      </c>
      <c r="AI80" s="45" t="str">
        <f>IF(AI$3="","",IF(COUNTIFS(Base!$A$3:$A$5001,AI$3,Base!$B$3:$B$5001,$A$77,Base!$F$3:$F$5001,"&lt;&gt;")=0,"",SUMIFS(Base!$F$3:$F$5001,Base!$A$3:$A$5001,AI$3,Base!$B$3:$B$5001,$A$77)))</f>
        <v/>
      </c>
      <c r="AJ80" s="46" t="str">
        <f>IF(AJ$3="","",IF(COUNTIFS(Base!$A$3:$A$5001,AJ$3,Base!$B$3:$B$5001,$A$77,Base!$F$3:$F$5001,"&lt;&gt;")=0,"",SUMIFS(Base!$F$3:$F$5001,Base!$A$3:$A$5001,AJ$3,Base!$B$3:$B$5001,$A$77)))</f>
        <v/>
      </c>
      <c r="AK80" s="47">
        <f>IF(COUNT(F80:AJ80)=0,"",SUM(F80:AJ80))</f>
        <v>141</v>
      </c>
    </row>
    <row r="81" ht="15.75" customHeight="1">
      <c r="A81" s="118"/>
      <c r="B81" s="109"/>
      <c r="C81" s="48" t="inlineStr">
        <is>
          <t xml:space="preserve">Pallets Movimentados</t>
        </is>
      </c>
      <c r="D81" s="49"/>
      <c r="E81" s="50"/>
      <c r="F81" s="51">
        <f>IF(F$3="","",IF(COUNTIFS(Base!$A$3:$A$5001,F$3,Base!$B$3:$B$5001,$A$77,Base!$G$3:$G$5001,"&lt;&gt;")=0,"",SUMIFS(Base!$G$3:$G$5001,Base!$A$3:$A$5001,F$3,Base!$B$3:$B$5001,$A$77)))</f>
        <v>180</v>
      </c>
      <c r="G81" s="52">
        <f>IF(G$3="","",IF(COUNTIFS(Base!$A$3:$A$5001,G$3,Base!$B$3:$B$5001,$A$77,Base!$G$3:$G$5001,"&lt;&gt;")=0,"",SUMIFS(Base!$G$3:$G$5001,Base!$A$3:$A$5001,G$3,Base!$B$3:$B$5001,$A$77)))</f>
        <v>18</v>
      </c>
      <c r="H81" s="52">
        <f>IF(H$3="","",IF(COUNTIFS(Base!$A$3:$A$5001,H$3,Base!$B$3:$B$5001,$A$77,Base!$G$3:$G$5001,"&lt;&gt;")=0,"",SUMIFS(Base!$G$3:$G$5001,Base!$A$3:$A$5001,H$3,Base!$B$3:$B$5001,$A$77)))</f>
        <v>144</v>
      </c>
      <c r="I81" s="52">
        <f>IF(I$3="","",IF(COUNTIFS(Base!$A$3:$A$5001,I$3,Base!$B$3:$B$5001,$A$77,Base!$G$3:$G$5001,"&lt;&gt;")=0,"",SUMIFS(Base!$G$3:$G$5001,Base!$A$3:$A$5001,I$3,Base!$B$3:$B$5001,$A$77)))</f>
        <v>216</v>
      </c>
      <c r="J81" s="52" t="str">
        <f>IF(J$3="","",IF(COUNTIFS(Base!$A$3:$A$5001,J$3,Base!$B$3:$B$5001,$A$77,Base!$G$3:$G$5001,"&lt;&gt;")=0,"",SUMIFS(Base!$G$3:$G$5001,Base!$A$3:$A$5001,J$3,Base!$B$3:$B$5001,$A$77)))</f>
        <v/>
      </c>
      <c r="K81" s="52">
        <f>IF(K$3="","",IF(COUNTIFS(Base!$A$3:$A$5001,K$3,Base!$B$3:$B$5001,$A$77,Base!$G$3:$G$5001,"&lt;&gt;")=0,"",SUMIFS(Base!$G$3:$G$5001,Base!$A$3:$A$5001,K$3,Base!$B$3:$B$5001,$A$77)))</f>
        <v>108</v>
      </c>
      <c r="L81" s="52">
        <f>IF(L$3="","",IF(COUNTIFS(Base!$A$3:$A$5001,L$3,Base!$B$3:$B$5001,$A$77,Base!$G$3:$G$5001,"&lt;&gt;")=0,"",SUMIFS(Base!$G$3:$G$5001,Base!$A$3:$A$5001,L$3,Base!$B$3:$B$5001,$A$77)))</f>
        <v>0</v>
      </c>
      <c r="M81" s="52">
        <f>IF(M$3="","",IF(COUNTIFS(Base!$A$3:$A$5001,M$3,Base!$B$3:$B$5001,$A$77,Base!$G$3:$G$5001,"&lt;&gt;")=0,"",SUMIFS(Base!$G$3:$G$5001,Base!$A$3:$A$5001,M$3,Base!$B$3:$B$5001,$A$77)))</f>
        <v>126</v>
      </c>
      <c r="N81" s="52">
        <f>IF(N$3="","",IF(COUNTIFS(Base!$A$3:$A$5001,N$3,Base!$B$3:$B$5001,$A$77,Base!$G$3:$G$5001,"&lt;&gt;")=0,"",SUMIFS(Base!$G$3:$G$5001,Base!$A$3:$A$5001,N$3,Base!$B$3:$B$5001,$A$77)))</f>
        <v>54</v>
      </c>
      <c r="O81" s="52">
        <f>IF(O$3="","",IF(COUNTIFS(Base!$A$3:$A$5001,O$3,Base!$B$3:$B$5001,$A$77,Base!$G$3:$G$5001,"&lt;&gt;")=0,"",SUMIFS(Base!$G$3:$G$5001,Base!$A$3:$A$5001,O$3,Base!$B$3:$B$5001,$A$77)))</f>
        <v>180</v>
      </c>
      <c r="P81" s="52">
        <f>IF(P$3="","",IF(COUNTIFS(Base!$A$3:$A$5001,P$3,Base!$B$3:$B$5001,$A$77,Base!$G$3:$G$5001,"&lt;&gt;")=0,"",SUMIFS(Base!$G$3:$G$5001,Base!$A$3:$A$5001,P$3,Base!$B$3:$B$5001,$A$77)))</f>
        <v>198</v>
      </c>
      <c r="Q81" s="52" t="str">
        <f>IF(Q$3="","",IF(COUNTIFS(Base!$A$3:$A$5001,Q$3,Base!$B$3:$B$5001,$A$77,Base!$G$3:$G$5001,"&lt;&gt;")=0,"",SUMIFS(Base!$G$3:$G$5001,Base!$A$3:$A$5001,Q$3,Base!$B$3:$B$5001,$A$77)))</f>
        <v/>
      </c>
      <c r="R81" s="52">
        <f>IF(R$3="","",IF(COUNTIFS(Base!$A$3:$A$5001,R$3,Base!$B$3:$B$5001,$A$77,Base!$G$3:$G$5001,"&lt;&gt;")=0,"",SUMIFS(Base!$G$3:$G$5001,Base!$A$3:$A$5001,R$3,Base!$B$3:$B$5001,$A$77)))</f>
        <v>108</v>
      </c>
      <c r="S81" s="52">
        <f>IF(S$3="","",IF(COUNTIFS(Base!$A$3:$A$5001,S$3,Base!$B$3:$B$5001,$A$77,Base!$G$3:$G$5001,"&lt;&gt;")=0,"",SUMIFS(Base!$G$3:$G$5001,Base!$A$3:$A$5001,S$3,Base!$B$3:$B$5001,$A$77)))</f>
        <v>216</v>
      </c>
      <c r="T81" s="52">
        <f>IF(T$3="","",IF(COUNTIFS(Base!$A$3:$A$5001,T$3,Base!$B$3:$B$5001,$A$77,Base!$G$3:$G$5001,"&lt;&gt;")=0,"",SUMIFS(Base!$G$3:$G$5001,Base!$A$3:$A$5001,T$3,Base!$B$3:$B$5001,$A$77)))</f>
        <v>0</v>
      </c>
      <c r="U81" s="52">
        <f>IF(U$3="","",IF(COUNTIFS(Base!$A$3:$A$5001,U$3,Base!$B$3:$B$5001,$A$77,Base!$G$3:$G$5001,"&lt;&gt;")=0,"",SUMIFS(Base!$G$3:$G$5001,Base!$A$3:$A$5001,U$3,Base!$B$3:$B$5001,$A$77)))</f>
        <v>54</v>
      </c>
      <c r="V81" s="52">
        <f>IF(V$3="","",IF(COUNTIFS(Base!$A$3:$A$5001,V$3,Base!$B$3:$B$5001,$A$77,Base!$G$3:$G$5001,"&lt;&gt;")=0,"",SUMIFS(Base!$G$3:$G$5001,Base!$A$3:$A$5001,V$3,Base!$B$3:$B$5001,$A$77)))</f>
        <v>216</v>
      </c>
      <c r="W81" s="52">
        <f>IF(W$3="","",IF(COUNTIFS(Base!$A$3:$A$5001,W$3,Base!$B$3:$B$5001,$A$77,Base!$G$3:$G$5001,"&lt;&gt;")=0,"",SUMIFS(Base!$G$3:$G$5001,Base!$A$3:$A$5001,W$3,Base!$B$3:$B$5001,$A$77)))</f>
        <v>108</v>
      </c>
      <c r="X81" s="52" t="str">
        <f>IF(X$3="","",IF(COUNTIFS(Base!$A$3:$A$5001,X$3,Base!$B$3:$B$5001,$A$77,Base!$G$3:$G$5001,"&lt;&gt;")=0,"",SUMIFS(Base!$G$3:$G$5001,Base!$A$3:$A$5001,X$3,Base!$B$3:$B$5001,$A$77)))</f>
        <v/>
      </c>
      <c r="Y81" s="52">
        <f>IF(Y$3="","",IF(COUNTIFS(Base!$A$3:$A$5001,Y$3,Base!$B$3:$B$5001,$A$77,Base!$G$3:$G$5001,"&lt;&gt;")=0,"",SUMIFS(Base!$G$3:$G$5001,Base!$A$3:$A$5001,Y$3,Base!$B$3:$B$5001,$A$77)))</f>
        <v>198</v>
      </c>
      <c r="Z81" s="52">
        <f>IF(Z$3="","",IF(COUNTIFS(Base!$A$3:$A$5001,Z$3,Base!$B$3:$B$5001,$A$77,Base!$G$3:$G$5001,"&lt;&gt;")=0,"",SUMIFS(Base!$G$3:$G$5001,Base!$A$3:$A$5001,Z$3,Base!$B$3:$B$5001,$A$77)))</f>
        <v>54</v>
      </c>
      <c r="AA81" s="52">
        <f>IF(AA$3="","",IF(COUNTIFS(Base!$A$3:$A$5001,AA$3,Base!$B$3:$B$5001,$A$77,Base!$G$3:$G$5001,"&lt;&gt;")=0,"",SUMIFS(Base!$G$3:$G$5001,Base!$A$3:$A$5001,AA$3,Base!$B$3:$B$5001,$A$77)))</f>
        <v>0</v>
      </c>
      <c r="AB81" s="52">
        <f>IF(AB$3="","",IF(COUNTIFS(Base!$A$3:$A$5001,AB$3,Base!$B$3:$B$5001,$A$77,Base!$G$3:$G$5001,"&lt;&gt;")=0,"",SUMIFS(Base!$G$3:$G$5001,Base!$A$3:$A$5001,AB$3,Base!$B$3:$B$5001,$A$77)))</f>
        <v>54</v>
      </c>
      <c r="AC81" s="52">
        <f>IF(AC$3="","",IF(COUNTIFS(Base!$A$3:$A$5001,AC$3,Base!$B$3:$B$5001,$A$77,Base!$G$3:$G$5001,"&lt;&gt;")=0,"",SUMIFS(Base!$G$3:$G$5001,Base!$A$3:$A$5001,AC$3,Base!$B$3:$B$5001,$A$77)))</f>
        <v>18</v>
      </c>
      <c r="AD81" s="52">
        <f>IF(AD$3="","",IF(COUNTIFS(Base!$A$3:$A$5001,AD$3,Base!$B$3:$B$5001,$A$77,Base!$G$3:$G$5001,"&lt;&gt;")=0,"",SUMIFS(Base!$G$3:$G$5001,Base!$A$3:$A$5001,AD$3,Base!$B$3:$B$5001,$A$77)))</f>
        <v>126</v>
      </c>
      <c r="AE81" s="52">
        <f>IF(AE$3="","",IF(COUNTIFS(Base!$A$3:$A$5001,AE$3,Base!$B$3:$B$5001,$A$77,Base!$G$3:$G$5001,"&lt;&gt;")=0,"",SUMIFS(Base!$G$3:$G$5001,Base!$A$3:$A$5001,AE$3,Base!$B$3:$B$5001,$A$77)))</f>
        <v>54</v>
      </c>
      <c r="AF81" s="52" t="str">
        <f>IF(AF$3="","",IF(COUNTIFS(Base!$A$3:$A$5001,AF$3,Base!$B$3:$B$5001,$A$77,Base!$G$3:$G$5001,"&lt;&gt;")=0,"",SUMIFS(Base!$G$3:$G$5001,Base!$A$3:$A$5001,AF$3,Base!$B$3:$B$5001,$A$77)))</f>
        <v/>
      </c>
      <c r="AG81" s="52">
        <f>IF(AG$3="","",IF(COUNTIFS(Base!$A$3:$A$5001,AG$3,Base!$B$3:$B$5001,$A$77,Base!$G$3:$G$5001,"&lt;&gt;")=0,"",SUMIFS(Base!$G$3:$G$5001,Base!$A$3:$A$5001,AG$3,Base!$B$3:$B$5001,$A$77)))</f>
        <v>18</v>
      </c>
      <c r="AH81" s="52">
        <f>IF(AH$3="","",IF(COUNTIFS(Base!$A$3:$A$5001,AH$3,Base!$B$3:$B$5001,$A$77,Base!$G$3:$G$5001,"&lt;&gt;")=0,"",SUMIFS(Base!$G$3:$G$5001,Base!$A$3:$A$5001,AH$3,Base!$B$3:$B$5001,$A$77)))</f>
        <v>90</v>
      </c>
      <c r="AI81" s="52" t="str">
        <f>IF(AI$3="","",IF(COUNTIFS(Base!$A$3:$A$5001,AI$3,Base!$B$3:$B$5001,$A$77,Base!$G$3:$G$5001,"&lt;&gt;")=0,"",SUMIFS(Base!$G$3:$G$5001,Base!$A$3:$A$5001,AI$3,Base!$B$3:$B$5001,$A$77)))</f>
        <v/>
      </c>
      <c r="AJ81" s="53" t="str">
        <f>IF(AJ$3="","",IF(COUNTIFS(Base!$A$3:$A$5001,AJ$3,Base!$B$3:$B$5001,$A$77,Base!$G$3:$G$5001,"&lt;&gt;")=0,"",SUMIFS(Base!$G$3:$G$5001,Base!$A$3:$A$5001,AJ$3,Base!$B$3:$B$5001,$A$77)))</f>
        <v/>
      </c>
      <c r="AK81" s="54">
        <f>IF(COUNT(F81:AJ81)=0,"",SUM(F81:AJ81))</f>
        <v>2538</v>
      </c>
    </row>
    <row r="82" ht="15.75" customHeight="1">
      <c r="A82" s="118"/>
      <c r="B82" s="110"/>
      <c r="C82" s="55" t="inlineStr">
        <is>
          <t xml:space="preserve">Toneladas Movimentadas</t>
        </is>
      </c>
      <c r="D82" s="56"/>
      <c r="E82" s="57"/>
      <c r="F82" s="58">
        <f>IF(F$3="","",IF(COUNTIFS(Base!$A$3:$A$5001,F$3,Base!$B$3:$B$5001,$A$77,Base!$H$3:$H$5001,"&lt;&gt;")=0,"",SUMIFS(Base!$H$3:$H$5001,Base!$A$3:$A$5001,F$3,Base!$B$3:$B$5001,$A$77)))</f>
        <v>57</v>
      </c>
      <c r="G82" s="59">
        <f>IF(G$3="","",IF(COUNTIFS(Base!$A$3:$A$5001,G$3,Base!$B$3:$B$5001,$A$77,Base!$H$3:$H$5001,"&lt;&gt;")=0,"",SUMIFS(Base!$H$3:$H$5001,Base!$A$3:$A$5001,G$3,Base!$B$3:$B$5001,$A$77)))</f>
        <v>12.85</v>
      </c>
      <c r="H82" s="59">
        <f>IF(H$3="","",IF(COUNTIFS(Base!$A$3:$A$5001,H$3,Base!$B$3:$B$5001,$A$77,Base!$H$3:$H$5001,"&lt;&gt;")=0,"",SUMIFS(Base!$H$3:$H$5001,Base!$A$3:$A$5001,H$3,Base!$B$3:$B$5001,$A$77)))</f>
        <v>129.04</v>
      </c>
      <c r="I82" s="59">
        <f>IF(I$3="","",IF(COUNTIFS(Base!$A$3:$A$5001,I$3,Base!$B$3:$B$5001,$A$77,Base!$H$3:$H$5001,"&lt;&gt;")=0,"",SUMIFS(Base!$H$3:$H$5001,Base!$A$3:$A$5001,I$3,Base!$B$3:$B$5001,$A$77)))</f>
        <v>236.56</v>
      </c>
      <c r="J82" s="59" t="str">
        <f>IF(J$3="","",IF(COUNTIFS(Base!$A$3:$A$5001,J$3,Base!$B$3:$B$5001,$A$77,Base!$H$3:$H$5001,"&lt;&gt;")=0,"",SUMIFS(Base!$H$3:$H$5001,Base!$A$3:$A$5001,J$3,Base!$B$3:$B$5001,$A$77)))</f>
        <v/>
      </c>
      <c r="K82" s="59">
        <f>IF(K$3="","",IF(COUNTIFS(Base!$A$3:$A$5001,K$3,Base!$B$3:$B$5001,$A$77,Base!$H$3:$H$5001,"&lt;&gt;")=0,"",SUMIFS(Base!$H$3:$H$5001,Base!$A$3:$A$5001,K$3,Base!$B$3:$B$5001,$A$77)))</f>
        <v>112.39</v>
      </c>
      <c r="L82" s="59">
        <f>IF(L$3="","",IF(COUNTIFS(Base!$A$3:$A$5001,L$3,Base!$B$3:$B$5001,$A$77,Base!$H$3:$H$5001,"&lt;&gt;")=0,"",SUMIFS(Base!$H$3:$H$5001,Base!$A$3:$A$5001,L$3,Base!$B$3:$B$5001,$A$77)))</f>
        <v>0</v>
      </c>
      <c r="M82" s="59">
        <f>IF(M$3="","",IF(COUNTIFS(Base!$A$3:$A$5001,M$3,Base!$B$3:$B$5001,$A$77,Base!$H$3:$H$5001,"&lt;&gt;")=0,"",SUMIFS(Base!$H$3:$H$5001,Base!$A$3:$A$5001,M$3,Base!$B$3:$B$5001,$A$77)))</f>
        <v>79</v>
      </c>
      <c r="N82" s="59">
        <f>IF(N$3="","",IF(COUNTIFS(Base!$A$3:$A$5001,N$3,Base!$B$3:$B$5001,$A$77,Base!$H$3:$H$5001,"&lt;&gt;")=0,"",SUMIFS(Base!$H$3:$H$5001,Base!$A$3:$A$5001,N$3,Base!$B$3:$B$5001,$A$77)))</f>
        <v>26.32</v>
      </c>
      <c r="O82" s="59">
        <f>IF(O$3="","",IF(COUNTIFS(Base!$A$3:$A$5001,O$3,Base!$B$3:$B$5001,$A$77,Base!$H$3:$H$5001,"&lt;&gt;")=0,"",SUMIFS(Base!$H$3:$H$5001,Base!$A$3:$A$5001,O$3,Base!$B$3:$B$5001,$A$77)))</f>
        <v>70.8</v>
      </c>
      <c r="P82" s="59">
        <f>IF(P$3="","",IF(COUNTIFS(Base!$A$3:$A$5001,P$3,Base!$B$3:$B$5001,$A$77,Base!$H$3:$H$5001,"&lt;&gt;")=0,"",SUMIFS(Base!$H$3:$H$5001,Base!$A$3:$A$5001,P$3,Base!$B$3:$B$5001,$A$77)))</f>
        <v>85.92</v>
      </c>
      <c r="Q82" s="59" t="str">
        <f>IF(Q$3="","",IF(COUNTIFS(Base!$A$3:$A$5001,Q$3,Base!$B$3:$B$5001,$A$77,Base!$H$3:$H$5001,"&lt;&gt;")=0,"",SUMIFS(Base!$H$3:$H$5001,Base!$A$3:$A$5001,Q$3,Base!$B$3:$B$5001,$A$77)))</f>
        <v/>
      </c>
      <c r="R82" s="59">
        <f>IF(R$3="","",IF(COUNTIFS(Base!$A$3:$A$5001,R$3,Base!$B$3:$B$5001,$A$77,Base!$H$3:$H$5001,"&lt;&gt;")=0,"",SUMIFS(Base!$H$3:$H$5001,Base!$A$3:$A$5001,R$3,Base!$B$3:$B$5001,$A$77)))</f>
        <v>30.15</v>
      </c>
      <c r="S82" s="59">
        <f>IF(S$3="","",IF(COUNTIFS(Base!$A$3:$A$5001,S$3,Base!$B$3:$B$5001,$A$77,Base!$H$3:$H$5001,"&lt;&gt;")=0,"",SUMIFS(Base!$H$3:$H$5001,Base!$A$3:$A$5001,S$3,Base!$B$3:$B$5001,$A$77)))</f>
        <v>153.79</v>
      </c>
      <c r="T82" s="59">
        <f>IF(T$3="","",IF(COUNTIFS(Base!$A$3:$A$5001,T$3,Base!$B$3:$B$5001,$A$77,Base!$H$3:$H$5001,"&lt;&gt;")=0,"",SUMIFS(Base!$H$3:$H$5001,Base!$A$3:$A$5001,T$3,Base!$B$3:$B$5001,$A$77)))</f>
        <v>0</v>
      </c>
      <c r="U82" s="59">
        <f>IF(U$3="","",IF(COUNTIFS(Base!$A$3:$A$5001,U$3,Base!$B$3:$B$5001,$A$77,Base!$H$3:$H$5001,"&lt;&gt;")=0,"",SUMIFS(Base!$H$3:$H$5001,Base!$A$3:$A$5001,U$3,Base!$B$3:$B$5001,$A$77)))</f>
        <v>36.06</v>
      </c>
      <c r="V82" s="59">
        <f>IF(V$3="","",IF(COUNTIFS(Base!$A$3:$A$5001,V$3,Base!$B$3:$B$5001,$A$77,Base!$H$3:$H$5001,"&lt;&gt;")=0,"",SUMIFS(Base!$H$3:$H$5001,Base!$A$3:$A$5001,V$3,Base!$B$3:$B$5001,$A$77)))</f>
        <v>111.52</v>
      </c>
      <c r="W82" s="59">
        <f>IF(W$3="","",IF(COUNTIFS(Base!$A$3:$A$5001,W$3,Base!$B$3:$B$5001,$A$77,Base!$H$3:$H$5001,"&lt;&gt;")=0,"",SUMIFS(Base!$H$3:$H$5001,Base!$A$3:$A$5001,W$3,Base!$B$3:$B$5001,$A$77)))</f>
        <v>60.17</v>
      </c>
      <c r="X82" s="59" t="str">
        <f>IF(X$3="","",IF(COUNTIFS(Base!$A$3:$A$5001,X$3,Base!$B$3:$B$5001,$A$77,Base!$H$3:$H$5001,"&lt;&gt;")=0,"",SUMIFS(Base!$H$3:$H$5001,Base!$A$3:$A$5001,X$3,Base!$B$3:$B$5001,$A$77)))</f>
        <v/>
      </c>
      <c r="Y82" s="59">
        <f>IF(Y$3="","",IF(COUNTIFS(Base!$A$3:$A$5001,Y$3,Base!$B$3:$B$5001,$A$77,Base!$H$3:$H$5001,"&lt;&gt;")=0,"",SUMIFS(Base!$H$3:$H$5001,Base!$A$3:$A$5001,Y$3,Base!$B$3:$B$5001,$A$77)))</f>
        <v>142.53</v>
      </c>
      <c r="Z82" s="59">
        <f>IF(Z$3="","",IF(COUNTIFS(Base!$A$3:$A$5001,Z$3,Base!$B$3:$B$5001,$A$77,Base!$H$3:$H$5001,"&lt;&gt;")=0,"",SUMIFS(Base!$H$3:$H$5001,Base!$A$3:$A$5001,Z$3,Base!$B$3:$B$5001,$A$77)))</f>
        <v>48.6</v>
      </c>
      <c r="AA82" s="59">
        <f>IF(AA$3="","",IF(COUNTIFS(Base!$A$3:$A$5001,AA$3,Base!$B$3:$B$5001,$A$77,Base!$H$3:$H$5001,"&lt;&gt;")=0,"",SUMIFS(Base!$H$3:$H$5001,Base!$A$3:$A$5001,AA$3,Base!$B$3:$B$5001,$A$77)))</f>
        <v>0</v>
      </c>
      <c r="AB82" s="59">
        <f>IF(AB$3="","",IF(COUNTIFS(Base!$A$3:$A$5001,AB$3,Base!$B$3:$B$5001,$A$77,Base!$H$3:$H$5001,"&lt;&gt;")=0,"",SUMIFS(Base!$H$3:$H$5001,Base!$A$3:$A$5001,AB$3,Base!$B$3:$B$5001,$A$77)))</f>
        <v>27.15</v>
      </c>
      <c r="AC82" s="59">
        <f>IF(AC$3="","",IF(COUNTIFS(Base!$A$3:$A$5001,AC$3,Base!$B$3:$B$5001,$A$77,Base!$H$3:$H$5001,"&lt;&gt;")=0,"",SUMIFS(Base!$H$3:$H$5001,Base!$A$3:$A$5001,AC$3,Base!$B$3:$B$5001,$A$77)))</f>
        <v>9.32</v>
      </c>
      <c r="AD82" s="59">
        <f>IF(AD$3="","",IF(COUNTIFS(Base!$A$3:$A$5001,AD$3,Base!$B$3:$B$5001,$A$77,Base!$H$3:$H$5001,"&lt;&gt;")=0,"",SUMIFS(Base!$H$3:$H$5001,Base!$A$3:$A$5001,AD$3,Base!$B$3:$B$5001,$A$77)))</f>
        <v>59.07</v>
      </c>
      <c r="AE82" s="59">
        <f>IF(AE$3="","",IF(COUNTIFS(Base!$A$3:$A$5001,AE$3,Base!$B$3:$B$5001,$A$77,Base!$H$3:$H$5001,"&lt;&gt;")=0,"",SUMIFS(Base!$H$3:$H$5001,Base!$A$3:$A$5001,AE$3,Base!$B$3:$B$5001,$A$77)))</f>
        <v>43.35</v>
      </c>
      <c r="AF82" s="59" t="str">
        <f>IF(AF$3="","",IF(COUNTIFS(Base!$A$3:$A$5001,AF$3,Base!$B$3:$B$5001,$A$77,Base!$H$3:$H$5001,"&lt;&gt;")=0,"",SUMIFS(Base!$H$3:$H$5001,Base!$A$3:$A$5001,AF$3,Base!$B$3:$B$5001,$A$77)))</f>
        <v/>
      </c>
      <c r="AG82" s="59">
        <f>IF(AG$3="","",IF(COUNTIFS(Base!$A$3:$A$5001,AG$3,Base!$B$3:$B$5001,$A$77,Base!$H$3:$H$5001,"&lt;&gt;")=0,"",SUMIFS(Base!$H$3:$H$5001,Base!$A$3:$A$5001,AG$3,Base!$B$3:$B$5001,$A$77)))</f>
        <v>14.36</v>
      </c>
      <c r="AH82" s="59">
        <f>IF(AH$3="","",IF(COUNTIFS(Base!$A$3:$A$5001,AH$3,Base!$B$3:$B$5001,$A$77,Base!$H$3:$H$5001,"&lt;&gt;")=0,"",SUMIFS(Base!$H$3:$H$5001,Base!$A$3:$A$5001,AH$3,Base!$B$3:$B$5001,$A$77)))</f>
        <v>46.27</v>
      </c>
      <c r="AI82" s="59" t="str">
        <f>IF(AI$3="","",IF(COUNTIFS(Base!$A$3:$A$5001,AI$3,Base!$B$3:$B$5001,$A$77,Base!$H$3:$H$5001,"&lt;&gt;")=0,"",SUMIFS(Base!$H$3:$H$5001,Base!$A$3:$A$5001,AI$3,Base!$B$3:$B$5001,$A$77)))</f>
        <v/>
      </c>
      <c r="AJ82" s="60" t="str">
        <f>IF(AJ$3="","",IF(COUNTIFS(Base!$A$3:$A$5001,AJ$3,Base!$B$3:$B$5001,$A$77,Base!$H$3:$H$5001,"&lt;&gt;")=0,"",SUMIFS(Base!$H$3:$H$5001,Base!$A$3:$A$5001,AJ$3,Base!$B$3:$B$5001,$A$77)))</f>
        <v/>
      </c>
      <c r="AK82" s="56">
        <f>IF(COUNT(F82:AJ82)=0,"",SUM(F82:AJ82))</f>
        <v>1592.22</v>
      </c>
    </row>
    <row r="83" ht="15.75" customHeight="1">
      <c r="A83" s="118"/>
      <c r="B83" s="111" t="inlineStr">
        <is>
          <t xml:space="preserve">NC</t>
        </is>
      </c>
      <c r="C83" s="61" t="inlineStr">
        <is>
          <t xml:space="preserve">Incidentes</t>
        </is>
      </c>
      <c r="D83" s="62"/>
      <c r="E83" s="63"/>
      <c r="F83" s="64">
        <f>IF(F$3="","",IF(COUNTIFS(Base!$A$3:$A$5001,F$3,Base!$B$3:$B$5001,$A$77,Base!$I$3:$I$5001,"&lt;&gt;")=0,"",SUMIFS(Base!$I$3:$I$5001,Base!$A$3:$A$5001,F$3,Base!$B$3:$B$5001,$A$77)))</f>
        <v>0</v>
      </c>
      <c r="G83" s="65">
        <f>IF(G$3="","",IF(COUNTIFS(Base!$A$3:$A$5001,G$3,Base!$B$3:$B$5001,$A$77,Base!$I$3:$I$5001,"&lt;&gt;")=0,"",SUMIFS(Base!$I$3:$I$5001,Base!$A$3:$A$5001,G$3,Base!$B$3:$B$5001,$A$77)))</f>
        <v>0</v>
      </c>
      <c r="H83" s="65">
        <f>IF(H$3="","",IF(COUNTIFS(Base!$A$3:$A$5001,H$3,Base!$B$3:$B$5001,$A$77,Base!$I$3:$I$5001,"&lt;&gt;")=0,"",SUMIFS(Base!$I$3:$I$5001,Base!$A$3:$A$5001,H$3,Base!$B$3:$B$5001,$A$77)))</f>
        <v>0</v>
      </c>
      <c r="I83" s="65">
        <f>IF(I$3="","",IF(COUNTIFS(Base!$A$3:$A$5001,I$3,Base!$B$3:$B$5001,$A$77,Base!$I$3:$I$5001,"&lt;&gt;")=0,"",SUMIFS(Base!$I$3:$I$5001,Base!$A$3:$A$5001,I$3,Base!$B$3:$B$5001,$A$77)))</f>
        <v>1</v>
      </c>
      <c r="J83" s="65" t="str">
        <f>IF(J$3="","",IF(COUNTIFS(Base!$A$3:$A$5001,J$3,Base!$B$3:$B$5001,$A$77,Base!$I$3:$I$5001,"&lt;&gt;")=0,"",SUMIFS(Base!$I$3:$I$5001,Base!$A$3:$A$5001,J$3,Base!$B$3:$B$5001,$A$77)))</f>
        <v/>
      </c>
      <c r="K83" s="65">
        <f>IF(K$3="","",IF(COUNTIFS(Base!$A$3:$A$5001,K$3,Base!$B$3:$B$5001,$A$77,Base!$I$3:$I$5001,"&lt;&gt;")=0,"",SUMIFS(Base!$I$3:$I$5001,Base!$A$3:$A$5001,K$3,Base!$B$3:$B$5001,$A$77)))</f>
        <v>0</v>
      </c>
      <c r="L83" s="65">
        <f>IF(L$3="","",IF(COUNTIFS(Base!$A$3:$A$5001,L$3,Base!$B$3:$B$5001,$A$77,Base!$I$3:$I$5001,"&lt;&gt;")=0,"",SUMIFS(Base!$I$3:$I$5001,Base!$A$3:$A$5001,L$3,Base!$B$3:$B$5001,$A$77)))</f>
        <v>0</v>
      </c>
      <c r="M83" s="65">
        <f>IF(M$3="","",IF(COUNTIFS(Base!$A$3:$A$5001,M$3,Base!$B$3:$B$5001,$A$77,Base!$I$3:$I$5001,"&lt;&gt;")=0,"",SUMIFS(Base!$I$3:$I$5001,Base!$A$3:$A$5001,M$3,Base!$B$3:$B$5001,$A$77)))</f>
        <v>0</v>
      </c>
      <c r="N83" s="65">
        <f>IF(N$3="","",IF(COUNTIFS(Base!$A$3:$A$5001,N$3,Base!$B$3:$B$5001,$A$77,Base!$I$3:$I$5001,"&lt;&gt;")=0,"",SUMIFS(Base!$I$3:$I$5001,Base!$A$3:$A$5001,N$3,Base!$B$3:$B$5001,$A$77)))</f>
        <v>0</v>
      </c>
      <c r="O83" s="65">
        <f>IF(O$3="","",IF(COUNTIFS(Base!$A$3:$A$5001,O$3,Base!$B$3:$B$5001,$A$77,Base!$I$3:$I$5001,"&lt;&gt;")=0,"",SUMIFS(Base!$I$3:$I$5001,Base!$A$3:$A$5001,O$3,Base!$B$3:$B$5001,$A$77)))</f>
        <v>0</v>
      </c>
      <c r="P83" s="65">
        <f>IF(P$3="","",IF(COUNTIFS(Base!$A$3:$A$5001,P$3,Base!$B$3:$B$5001,$A$77,Base!$I$3:$I$5001,"&lt;&gt;")=0,"",SUMIFS(Base!$I$3:$I$5001,Base!$A$3:$A$5001,P$3,Base!$B$3:$B$5001,$A$77)))</f>
        <v>1</v>
      </c>
      <c r="Q83" s="65" t="str">
        <f>IF(Q$3="","",IF(COUNTIFS(Base!$A$3:$A$5001,Q$3,Base!$B$3:$B$5001,$A$77,Base!$I$3:$I$5001,"&lt;&gt;")=0,"",SUMIFS(Base!$I$3:$I$5001,Base!$A$3:$A$5001,Q$3,Base!$B$3:$B$5001,$A$77)))</f>
        <v/>
      </c>
      <c r="R83" s="65">
        <f>IF(R$3="","",IF(COUNTIFS(Base!$A$3:$A$5001,R$3,Base!$B$3:$B$5001,$A$77,Base!$I$3:$I$5001,"&lt;&gt;")=0,"",SUMIFS(Base!$I$3:$I$5001,Base!$A$3:$A$5001,R$3,Base!$B$3:$B$5001,$A$77)))</f>
        <v>0</v>
      </c>
      <c r="S83" s="65">
        <f>IF(S$3="","",IF(COUNTIFS(Base!$A$3:$A$5001,S$3,Base!$B$3:$B$5001,$A$77,Base!$I$3:$I$5001,"&lt;&gt;")=0,"",SUMIFS(Base!$I$3:$I$5001,Base!$A$3:$A$5001,S$3,Base!$B$3:$B$5001,$A$77)))</f>
        <v>0</v>
      </c>
      <c r="T83" s="65">
        <f>IF(T$3="","",IF(COUNTIFS(Base!$A$3:$A$5001,T$3,Base!$B$3:$B$5001,$A$77,Base!$I$3:$I$5001,"&lt;&gt;")=0,"",SUMIFS(Base!$I$3:$I$5001,Base!$A$3:$A$5001,T$3,Base!$B$3:$B$5001,$A$77)))</f>
        <v>0</v>
      </c>
      <c r="U83" s="65">
        <f>IF(U$3="","",IF(COUNTIFS(Base!$A$3:$A$5001,U$3,Base!$B$3:$B$5001,$A$77,Base!$I$3:$I$5001,"&lt;&gt;")=0,"",SUMIFS(Base!$I$3:$I$5001,Base!$A$3:$A$5001,U$3,Base!$B$3:$B$5001,$A$77)))</f>
        <v>0</v>
      </c>
      <c r="V83" s="65">
        <f>IF(V$3="","",IF(COUNTIFS(Base!$A$3:$A$5001,V$3,Base!$B$3:$B$5001,$A$77,Base!$I$3:$I$5001,"&lt;&gt;")=0,"",SUMIFS(Base!$I$3:$I$5001,Base!$A$3:$A$5001,V$3,Base!$B$3:$B$5001,$A$77)))</f>
        <v>0</v>
      </c>
      <c r="W83" s="65">
        <f>IF(W$3="","",IF(COUNTIFS(Base!$A$3:$A$5001,W$3,Base!$B$3:$B$5001,$A$77,Base!$I$3:$I$5001,"&lt;&gt;")=0,"",SUMIFS(Base!$I$3:$I$5001,Base!$A$3:$A$5001,W$3,Base!$B$3:$B$5001,$A$77)))</f>
        <v>0</v>
      </c>
      <c r="X83" s="65" t="str">
        <f>IF(X$3="","",IF(COUNTIFS(Base!$A$3:$A$5001,X$3,Base!$B$3:$B$5001,$A$77,Base!$I$3:$I$5001,"&lt;&gt;")=0,"",SUMIFS(Base!$I$3:$I$5001,Base!$A$3:$A$5001,X$3,Base!$B$3:$B$5001,$A$77)))</f>
        <v/>
      </c>
      <c r="Y83" s="65">
        <f>IF(Y$3="","",IF(COUNTIFS(Base!$A$3:$A$5001,Y$3,Base!$B$3:$B$5001,$A$77,Base!$I$3:$I$5001,"&lt;&gt;")=0,"",SUMIFS(Base!$I$3:$I$5001,Base!$A$3:$A$5001,Y$3,Base!$B$3:$B$5001,$A$77)))</f>
        <v>0</v>
      </c>
      <c r="Z83" s="65">
        <f>IF(Z$3="","",IF(COUNTIFS(Base!$A$3:$A$5001,Z$3,Base!$B$3:$B$5001,$A$77,Base!$I$3:$I$5001,"&lt;&gt;")=0,"",SUMIFS(Base!$I$3:$I$5001,Base!$A$3:$A$5001,Z$3,Base!$B$3:$B$5001,$A$77)))</f>
        <v>0</v>
      </c>
      <c r="AA83" s="65">
        <f>IF(AA$3="","",IF(COUNTIFS(Base!$A$3:$A$5001,AA$3,Base!$B$3:$B$5001,$A$77,Base!$I$3:$I$5001,"&lt;&gt;")=0,"",SUMIFS(Base!$I$3:$I$5001,Base!$A$3:$A$5001,AA$3,Base!$B$3:$B$5001,$A$77)))</f>
        <v>0</v>
      </c>
      <c r="AB83" s="65">
        <f>IF(AB$3="","",IF(COUNTIFS(Base!$A$3:$A$5001,AB$3,Base!$B$3:$B$5001,$A$77,Base!$I$3:$I$5001,"&lt;&gt;")=0,"",SUMIFS(Base!$I$3:$I$5001,Base!$A$3:$A$5001,AB$3,Base!$B$3:$B$5001,$A$77)))</f>
        <v>0</v>
      </c>
      <c r="AC83" s="65">
        <f>IF(AC$3="","",IF(COUNTIFS(Base!$A$3:$A$5001,AC$3,Base!$B$3:$B$5001,$A$77,Base!$I$3:$I$5001,"&lt;&gt;")=0,"",SUMIFS(Base!$I$3:$I$5001,Base!$A$3:$A$5001,AC$3,Base!$B$3:$B$5001,$A$77)))</f>
        <v>0</v>
      </c>
      <c r="AD83" s="65">
        <f>IF(AD$3="","",IF(COUNTIFS(Base!$A$3:$A$5001,AD$3,Base!$B$3:$B$5001,$A$77,Base!$I$3:$I$5001,"&lt;&gt;")=0,"",SUMIFS(Base!$I$3:$I$5001,Base!$A$3:$A$5001,AD$3,Base!$B$3:$B$5001,$A$77)))</f>
        <v>0</v>
      </c>
      <c r="AE83" s="65">
        <f>IF(AE$3="","",IF(COUNTIFS(Base!$A$3:$A$5001,AE$3,Base!$B$3:$B$5001,$A$77,Base!$I$3:$I$5001,"&lt;&gt;")=0,"",SUMIFS(Base!$I$3:$I$5001,Base!$A$3:$A$5001,AE$3,Base!$B$3:$B$5001,$A$77)))</f>
        <v>0</v>
      </c>
      <c r="AF83" s="65" t="str">
        <f>IF(AF$3="","",IF(COUNTIFS(Base!$A$3:$A$5001,AF$3,Base!$B$3:$B$5001,$A$77,Base!$I$3:$I$5001,"&lt;&gt;")=0,"",SUMIFS(Base!$I$3:$I$5001,Base!$A$3:$A$5001,AF$3,Base!$B$3:$B$5001,$A$77)))</f>
        <v/>
      </c>
      <c r="AG83" s="65">
        <f>IF(AG$3="","",IF(COUNTIFS(Base!$A$3:$A$5001,AG$3,Base!$B$3:$B$5001,$A$77,Base!$I$3:$I$5001,"&lt;&gt;")=0,"",SUMIFS(Base!$I$3:$I$5001,Base!$A$3:$A$5001,AG$3,Base!$B$3:$B$5001,$A$77)))</f>
        <v>0</v>
      </c>
      <c r="AH83" s="65">
        <f>IF(AH$3="","",IF(COUNTIFS(Base!$A$3:$A$5001,AH$3,Base!$B$3:$B$5001,$A$77,Base!$I$3:$I$5001,"&lt;&gt;")=0,"",SUMIFS(Base!$I$3:$I$5001,Base!$A$3:$A$5001,AH$3,Base!$B$3:$B$5001,$A$77)))</f>
        <v>0</v>
      </c>
      <c r="AI83" s="65" t="str">
        <f>IF(AI$3="","",IF(COUNTIFS(Base!$A$3:$A$5001,AI$3,Base!$B$3:$B$5001,$A$77,Base!$I$3:$I$5001,"&lt;&gt;")=0,"",SUMIFS(Base!$I$3:$I$5001,Base!$A$3:$A$5001,AI$3,Base!$B$3:$B$5001,$A$77)))</f>
        <v/>
      </c>
      <c r="AJ83" s="66" t="str">
        <f>IF(AJ$3="","",IF(COUNTIFS(Base!$A$3:$A$5001,AJ$3,Base!$B$3:$B$5001,$A$77,Base!$I$3:$I$5001,"&lt;&gt;")=0,"",SUMIFS(Base!$I$3:$I$5001,Base!$A$3:$A$5001,AJ$3,Base!$B$3:$B$5001,$A$77)))</f>
        <v/>
      </c>
      <c r="AK83" s="67">
        <f>IF(COUNT(F83:AJ83)=0,"",SUM(F83:AJ83))</f>
        <v>2</v>
      </c>
    </row>
    <row r="84" ht="15.75" customHeight="1">
      <c r="A84" s="118"/>
      <c r="B84" s="112"/>
      <c r="C84" s="68" t="inlineStr">
        <is>
          <t xml:space="preserve">No show</t>
        </is>
      </c>
      <c r="D84" s="69"/>
      <c r="E84" s="70"/>
      <c r="F84" s="71" t="str">
        <f>IF(F$3="","",IF(COUNTIFS(Base!$A$3:$A$5001,F$3,Base!$B$3:$B$5001,$A$77,Base!$J$3:$J$5001,"&lt;&gt;")=0,"",SUMIFS(Base!$J$3:$J$5001,Base!$A$3:$A$5001,F$3,Base!$B$3:$B$5001,$A$77)))</f>
        <v/>
      </c>
      <c r="G84" s="72" t="str">
        <f>IF(G$3="","",IF(COUNTIFS(Base!$A$3:$A$5001,G$3,Base!$B$3:$B$5001,$A$77,Base!$J$3:$J$5001,"&lt;&gt;")=0,"",SUMIFS(Base!$J$3:$J$5001,Base!$A$3:$A$5001,G$3,Base!$B$3:$B$5001,$A$77)))</f>
        <v/>
      </c>
      <c r="H84" s="72" t="str">
        <f>IF(H$3="","",IF(COUNTIFS(Base!$A$3:$A$5001,H$3,Base!$B$3:$B$5001,$A$77,Base!$J$3:$J$5001,"&lt;&gt;")=0,"",SUMIFS(Base!$J$3:$J$5001,Base!$A$3:$A$5001,H$3,Base!$B$3:$B$5001,$A$77)))</f>
        <v/>
      </c>
      <c r="I84" s="72" t="str">
        <f>IF(I$3="","",IF(COUNTIFS(Base!$A$3:$A$5001,I$3,Base!$B$3:$B$5001,$A$77,Base!$J$3:$J$5001,"&lt;&gt;")=0,"",SUMIFS(Base!$J$3:$J$5001,Base!$A$3:$A$5001,I$3,Base!$B$3:$B$5001,$A$77)))</f>
        <v/>
      </c>
      <c r="J84" s="72" t="str">
        <f>IF(J$3="","",IF(COUNTIFS(Base!$A$3:$A$5001,J$3,Base!$B$3:$B$5001,$A$77,Base!$J$3:$J$5001,"&lt;&gt;")=0,"",SUMIFS(Base!$J$3:$J$5001,Base!$A$3:$A$5001,J$3,Base!$B$3:$B$5001,$A$77)))</f>
        <v/>
      </c>
      <c r="K84" s="72" t="str">
        <f>IF(K$3="","",IF(COUNTIFS(Base!$A$3:$A$5001,K$3,Base!$B$3:$B$5001,$A$77,Base!$J$3:$J$5001,"&lt;&gt;")=0,"",SUMIFS(Base!$J$3:$J$5001,Base!$A$3:$A$5001,K$3,Base!$B$3:$B$5001,$A$77)))</f>
        <v/>
      </c>
      <c r="L84" s="72" t="str">
        <f>IF(L$3="","",IF(COUNTIFS(Base!$A$3:$A$5001,L$3,Base!$B$3:$B$5001,$A$77,Base!$J$3:$J$5001,"&lt;&gt;")=0,"",SUMIFS(Base!$J$3:$J$5001,Base!$A$3:$A$5001,L$3,Base!$B$3:$B$5001,$A$77)))</f>
        <v/>
      </c>
      <c r="M84" s="72" t="str">
        <f>IF(M$3="","",IF(COUNTIFS(Base!$A$3:$A$5001,M$3,Base!$B$3:$B$5001,$A$77,Base!$J$3:$J$5001,"&lt;&gt;")=0,"",SUMIFS(Base!$J$3:$J$5001,Base!$A$3:$A$5001,M$3,Base!$B$3:$B$5001,$A$77)))</f>
        <v/>
      </c>
      <c r="N84" s="72" t="str">
        <f>IF(N$3="","",IF(COUNTIFS(Base!$A$3:$A$5001,N$3,Base!$B$3:$B$5001,$A$77,Base!$J$3:$J$5001,"&lt;&gt;")=0,"",SUMIFS(Base!$J$3:$J$5001,Base!$A$3:$A$5001,N$3,Base!$B$3:$B$5001,$A$77)))</f>
        <v/>
      </c>
      <c r="O84" s="72" t="str">
        <f>IF(O$3="","",IF(COUNTIFS(Base!$A$3:$A$5001,O$3,Base!$B$3:$B$5001,$A$77,Base!$J$3:$J$5001,"&lt;&gt;")=0,"",SUMIFS(Base!$J$3:$J$5001,Base!$A$3:$A$5001,O$3,Base!$B$3:$B$5001,$A$77)))</f>
        <v/>
      </c>
      <c r="P84" s="72" t="str">
        <f>IF(P$3="","",IF(COUNTIFS(Base!$A$3:$A$5001,P$3,Base!$B$3:$B$5001,$A$77,Base!$J$3:$J$5001,"&lt;&gt;")=0,"",SUMIFS(Base!$J$3:$J$5001,Base!$A$3:$A$5001,P$3,Base!$B$3:$B$5001,$A$77)))</f>
        <v/>
      </c>
      <c r="Q84" s="72" t="str">
        <f>IF(Q$3="","",IF(COUNTIFS(Base!$A$3:$A$5001,Q$3,Base!$B$3:$B$5001,$A$77,Base!$J$3:$J$5001,"&lt;&gt;")=0,"",SUMIFS(Base!$J$3:$J$5001,Base!$A$3:$A$5001,Q$3,Base!$B$3:$B$5001,$A$77)))</f>
        <v/>
      </c>
      <c r="R84" s="72" t="str">
        <f>IF(R$3="","",IF(COUNTIFS(Base!$A$3:$A$5001,R$3,Base!$B$3:$B$5001,$A$77,Base!$J$3:$J$5001,"&lt;&gt;")=0,"",SUMIFS(Base!$J$3:$J$5001,Base!$A$3:$A$5001,R$3,Base!$B$3:$B$5001,$A$77)))</f>
        <v/>
      </c>
      <c r="S84" s="72" t="str">
        <f>IF(S$3="","",IF(COUNTIFS(Base!$A$3:$A$5001,S$3,Base!$B$3:$B$5001,$A$77,Base!$J$3:$J$5001,"&lt;&gt;")=0,"",SUMIFS(Base!$J$3:$J$5001,Base!$A$3:$A$5001,S$3,Base!$B$3:$B$5001,$A$77)))</f>
        <v/>
      </c>
      <c r="T84" s="72" t="str">
        <f>IF(T$3="","",IF(COUNTIFS(Base!$A$3:$A$5001,T$3,Base!$B$3:$B$5001,$A$77,Base!$J$3:$J$5001,"&lt;&gt;")=0,"",SUMIFS(Base!$J$3:$J$5001,Base!$A$3:$A$5001,T$3,Base!$B$3:$B$5001,$A$77)))</f>
        <v/>
      </c>
      <c r="U84" s="72" t="str">
        <f>IF(U$3="","",IF(COUNTIFS(Base!$A$3:$A$5001,U$3,Base!$B$3:$B$5001,$A$77,Base!$J$3:$J$5001,"&lt;&gt;")=0,"",SUMIFS(Base!$J$3:$J$5001,Base!$A$3:$A$5001,U$3,Base!$B$3:$B$5001,$A$77)))</f>
        <v/>
      </c>
      <c r="V84" s="72" t="str">
        <f>IF(V$3="","",IF(COUNTIFS(Base!$A$3:$A$5001,V$3,Base!$B$3:$B$5001,$A$77,Base!$J$3:$J$5001,"&lt;&gt;")=0,"",SUMIFS(Base!$J$3:$J$5001,Base!$A$3:$A$5001,V$3,Base!$B$3:$B$5001,$A$77)))</f>
        <v/>
      </c>
      <c r="W84" s="72" t="str">
        <f>IF(W$3="","",IF(COUNTIFS(Base!$A$3:$A$5001,W$3,Base!$B$3:$B$5001,$A$77,Base!$J$3:$J$5001,"&lt;&gt;")=0,"",SUMIFS(Base!$J$3:$J$5001,Base!$A$3:$A$5001,W$3,Base!$B$3:$B$5001,$A$77)))</f>
        <v/>
      </c>
      <c r="X84" s="72" t="str">
        <f>IF(X$3="","",IF(COUNTIFS(Base!$A$3:$A$5001,X$3,Base!$B$3:$B$5001,$A$77,Base!$J$3:$J$5001,"&lt;&gt;")=0,"",SUMIFS(Base!$J$3:$J$5001,Base!$A$3:$A$5001,X$3,Base!$B$3:$B$5001,$A$77)))</f>
        <v/>
      </c>
      <c r="Y84" s="72" t="str">
        <f>IF(Y$3="","",IF(COUNTIFS(Base!$A$3:$A$5001,Y$3,Base!$B$3:$B$5001,$A$77,Base!$J$3:$J$5001,"&lt;&gt;")=0,"",SUMIFS(Base!$J$3:$J$5001,Base!$A$3:$A$5001,Y$3,Base!$B$3:$B$5001,$A$77)))</f>
        <v/>
      </c>
      <c r="Z84" s="72" t="str">
        <f>IF(Z$3="","",IF(COUNTIFS(Base!$A$3:$A$5001,Z$3,Base!$B$3:$B$5001,$A$77,Base!$J$3:$J$5001,"&lt;&gt;")=0,"",SUMIFS(Base!$J$3:$J$5001,Base!$A$3:$A$5001,Z$3,Base!$B$3:$B$5001,$A$77)))</f>
        <v/>
      </c>
      <c r="AA84" s="72" t="str">
        <f>IF(AA$3="","",IF(COUNTIFS(Base!$A$3:$A$5001,AA$3,Base!$B$3:$B$5001,$A$77,Base!$J$3:$J$5001,"&lt;&gt;")=0,"",SUMIFS(Base!$J$3:$J$5001,Base!$A$3:$A$5001,AA$3,Base!$B$3:$B$5001,$A$77)))</f>
        <v/>
      </c>
      <c r="AB84" s="72" t="str">
        <f>IF(AB$3="","",IF(COUNTIFS(Base!$A$3:$A$5001,AB$3,Base!$B$3:$B$5001,$A$77,Base!$J$3:$J$5001,"&lt;&gt;")=0,"",SUMIFS(Base!$J$3:$J$5001,Base!$A$3:$A$5001,AB$3,Base!$B$3:$B$5001,$A$77)))</f>
        <v/>
      </c>
      <c r="AC84" s="72" t="str">
        <f>IF(AC$3="","",IF(COUNTIFS(Base!$A$3:$A$5001,AC$3,Base!$B$3:$B$5001,$A$77,Base!$J$3:$J$5001,"&lt;&gt;")=0,"",SUMIFS(Base!$J$3:$J$5001,Base!$A$3:$A$5001,AC$3,Base!$B$3:$B$5001,$A$77)))</f>
        <v/>
      </c>
      <c r="AD84" s="72" t="str">
        <f>IF(AD$3="","",IF(COUNTIFS(Base!$A$3:$A$5001,AD$3,Base!$B$3:$B$5001,$A$77,Base!$J$3:$J$5001,"&lt;&gt;")=0,"",SUMIFS(Base!$J$3:$J$5001,Base!$A$3:$A$5001,AD$3,Base!$B$3:$B$5001,$A$77)))</f>
        <v/>
      </c>
      <c r="AE84" s="72" t="str">
        <f>IF(AE$3="","",IF(COUNTIFS(Base!$A$3:$A$5001,AE$3,Base!$B$3:$B$5001,$A$77,Base!$J$3:$J$5001,"&lt;&gt;")=0,"",SUMIFS(Base!$J$3:$J$5001,Base!$A$3:$A$5001,AE$3,Base!$B$3:$B$5001,$A$77)))</f>
        <v/>
      </c>
      <c r="AF84" s="72" t="str">
        <f>IF(AF$3="","",IF(COUNTIFS(Base!$A$3:$A$5001,AF$3,Base!$B$3:$B$5001,$A$77,Base!$J$3:$J$5001,"&lt;&gt;")=0,"",SUMIFS(Base!$J$3:$J$5001,Base!$A$3:$A$5001,AF$3,Base!$B$3:$B$5001,$A$77)))</f>
        <v/>
      </c>
      <c r="AG84" s="72" t="str">
        <f>IF(AG$3="","",IF(COUNTIFS(Base!$A$3:$A$5001,AG$3,Base!$B$3:$B$5001,$A$77,Base!$J$3:$J$5001,"&lt;&gt;")=0,"",SUMIFS(Base!$J$3:$J$5001,Base!$A$3:$A$5001,AG$3,Base!$B$3:$B$5001,$A$77)))</f>
        <v/>
      </c>
      <c r="AH84" s="72" t="str">
        <f>IF(AH$3="","",IF(COUNTIFS(Base!$A$3:$A$5001,AH$3,Base!$B$3:$B$5001,$A$77,Base!$J$3:$J$5001,"&lt;&gt;")=0,"",SUMIFS(Base!$J$3:$J$5001,Base!$A$3:$A$5001,AH$3,Base!$B$3:$B$5001,$A$77)))</f>
        <v/>
      </c>
      <c r="AI84" s="72" t="str">
        <f>IF(AI$3="","",IF(COUNTIFS(Base!$A$3:$A$5001,AI$3,Base!$B$3:$B$5001,$A$77,Base!$J$3:$J$5001,"&lt;&gt;")=0,"",SUMIFS(Base!$J$3:$J$5001,Base!$A$3:$A$5001,AI$3,Base!$B$3:$B$5001,$A$77)))</f>
        <v/>
      </c>
      <c r="AJ84" s="73" t="str">
        <f>IF(AJ$3="","",IF(COUNTIFS(Base!$A$3:$A$5001,AJ$3,Base!$B$3:$B$5001,$A$77,Base!$J$3:$J$5001,"&lt;&gt;")=0,"",SUMIFS(Base!$J$3:$J$5001,Base!$A$3:$A$5001,AJ$3,Base!$B$3:$B$5001,$A$77)))</f>
        <v/>
      </c>
      <c r="AK84" s="74" t="str">
        <f>IF(COUNT(F84:AJ84)=0,"",SUM(F84:AJ84))</f>
        <v/>
      </c>
    </row>
    <row r="85" ht="15.75" customHeight="1">
      <c r="A85" s="118"/>
      <c r="B85" s="113"/>
      <c r="C85" s="75" t="inlineStr">
        <is>
          <t xml:space="preserve">Backlog</t>
        </is>
      </c>
      <c r="D85" s="76"/>
      <c r="E85" s="77"/>
      <c r="F85" s="78" t="str">
        <f>IF(F$3="","",IF(COUNTIFS(Base!$A$3:$A$5001,F$3,Base!$B$3:$B$5001,$A$77,Base!$K$3:$K$5001,"&lt;&gt;")=0,"",SUMIFS(Base!$K$3:$K$5001,Base!$A$3:$A$5001,F$3,Base!$B$3:$B$5001,$A$77)))</f>
        <v/>
      </c>
      <c r="G85" s="79" t="str">
        <f>IF(G$3="","",IF(COUNTIFS(Base!$A$3:$A$5001,G$3,Base!$B$3:$B$5001,$A$77,Base!$K$3:$K$5001,"&lt;&gt;")=0,"",SUMIFS(Base!$K$3:$K$5001,Base!$A$3:$A$5001,G$3,Base!$B$3:$B$5001,$A$77)))</f>
        <v/>
      </c>
      <c r="H85" s="79" t="str">
        <f>IF(H$3="","",IF(COUNTIFS(Base!$A$3:$A$5001,H$3,Base!$B$3:$B$5001,$A$77,Base!$K$3:$K$5001,"&lt;&gt;")=0,"",SUMIFS(Base!$K$3:$K$5001,Base!$A$3:$A$5001,H$3,Base!$B$3:$B$5001,$A$77)))</f>
        <v/>
      </c>
      <c r="I85" s="79" t="str">
        <f>IF(I$3="","",IF(COUNTIFS(Base!$A$3:$A$5001,I$3,Base!$B$3:$B$5001,$A$77,Base!$K$3:$K$5001,"&lt;&gt;")=0,"",SUMIFS(Base!$K$3:$K$5001,Base!$A$3:$A$5001,I$3,Base!$B$3:$B$5001,$A$77)))</f>
        <v/>
      </c>
      <c r="J85" s="79" t="str">
        <f>IF(J$3="","",IF(COUNTIFS(Base!$A$3:$A$5001,J$3,Base!$B$3:$B$5001,$A$77,Base!$K$3:$K$5001,"&lt;&gt;")=0,"",SUMIFS(Base!$K$3:$K$5001,Base!$A$3:$A$5001,J$3,Base!$B$3:$B$5001,$A$77)))</f>
        <v/>
      </c>
      <c r="K85" s="79" t="str">
        <f>IF(K$3="","",IF(COUNTIFS(Base!$A$3:$A$5001,K$3,Base!$B$3:$B$5001,$A$77,Base!$K$3:$K$5001,"&lt;&gt;")=0,"",SUMIFS(Base!$K$3:$K$5001,Base!$A$3:$A$5001,K$3,Base!$B$3:$B$5001,$A$77)))</f>
        <v/>
      </c>
      <c r="L85" s="79" t="str">
        <f>IF(L$3="","",IF(COUNTIFS(Base!$A$3:$A$5001,L$3,Base!$B$3:$B$5001,$A$77,Base!$K$3:$K$5001,"&lt;&gt;")=0,"",SUMIFS(Base!$K$3:$K$5001,Base!$A$3:$A$5001,L$3,Base!$B$3:$B$5001,$A$77)))</f>
        <v/>
      </c>
      <c r="M85" s="79" t="str">
        <f>IF(M$3="","",IF(COUNTIFS(Base!$A$3:$A$5001,M$3,Base!$B$3:$B$5001,$A$77,Base!$K$3:$K$5001,"&lt;&gt;")=0,"",SUMIFS(Base!$K$3:$K$5001,Base!$A$3:$A$5001,M$3,Base!$B$3:$B$5001,$A$77)))</f>
        <v/>
      </c>
      <c r="N85" s="79" t="str">
        <f>IF(N$3="","",IF(COUNTIFS(Base!$A$3:$A$5001,N$3,Base!$B$3:$B$5001,$A$77,Base!$K$3:$K$5001,"&lt;&gt;")=0,"",SUMIFS(Base!$K$3:$K$5001,Base!$A$3:$A$5001,N$3,Base!$B$3:$B$5001,$A$77)))</f>
        <v/>
      </c>
      <c r="O85" s="79" t="str">
        <f>IF(O$3="","",IF(COUNTIFS(Base!$A$3:$A$5001,O$3,Base!$B$3:$B$5001,$A$77,Base!$K$3:$K$5001,"&lt;&gt;")=0,"",SUMIFS(Base!$K$3:$K$5001,Base!$A$3:$A$5001,O$3,Base!$B$3:$B$5001,$A$77)))</f>
        <v/>
      </c>
      <c r="P85" s="79" t="str">
        <f>IF(P$3="","",IF(COUNTIFS(Base!$A$3:$A$5001,P$3,Base!$B$3:$B$5001,$A$77,Base!$K$3:$K$5001,"&lt;&gt;")=0,"",SUMIFS(Base!$K$3:$K$5001,Base!$A$3:$A$5001,P$3,Base!$B$3:$B$5001,$A$77)))</f>
        <v/>
      </c>
      <c r="Q85" s="79" t="str">
        <f>IF(Q$3="","",IF(COUNTIFS(Base!$A$3:$A$5001,Q$3,Base!$B$3:$B$5001,$A$77,Base!$K$3:$K$5001,"&lt;&gt;")=0,"",SUMIFS(Base!$K$3:$K$5001,Base!$A$3:$A$5001,Q$3,Base!$B$3:$B$5001,$A$77)))</f>
        <v/>
      </c>
      <c r="R85" s="79" t="str">
        <f>IF(R$3="","",IF(COUNTIFS(Base!$A$3:$A$5001,R$3,Base!$B$3:$B$5001,$A$77,Base!$K$3:$K$5001,"&lt;&gt;")=0,"",SUMIFS(Base!$K$3:$K$5001,Base!$A$3:$A$5001,R$3,Base!$B$3:$B$5001,$A$77)))</f>
        <v/>
      </c>
      <c r="S85" s="79" t="str">
        <f>IF(S$3="","",IF(COUNTIFS(Base!$A$3:$A$5001,S$3,Base!$B$3:$B$5001,$A$77,Base!$K$3:$K$5001,"&lt;&gt;")=0,"",SUMIFS(Base!$K$3:$K$5001,Base!$A$3:$A$5001,S$3,Base!$B$3:$B$5001,$A$77)))</f>
        <v/>
      </c>
      <c r="T85" s="79" t="str">
        <f>IF(T$3="","",IF(COUNTIFS(Base!$A$3:$A$5001,T$3,Base!$B$3:$B$5001,$A$77,Base!$K$3:$K$5001,"&lt;&gt;")=0,"",SUMIFS(Base!$K$3:$K$5001,Base!$A$3:$A$5001,T$3,Base!$B$3:$B$5001,$A$77)))</f>
        <v/>
      </c>
      <c r="U85" s="79" t="str">
        <f>IF(U$3="","",IF(COUNTIFS(Base!$A$3:$A$5001,U$3,Base!$B$3:$B$5001,$A$77,Base!$K$3:$K$5001,"&lt;&gt;")=0,"",SUMIFS(Base!$K$3:$K$5001,Base!$A$3:$A$5001,U$3,Base!$B$3:$B$5001,$A$77)))</f>
        <v/>
      </c>
      <c r="V85" s="79" t="str">
        <f>IF(V$3="","",IF(COUNTIFS(Base!$A$3:$A$5001,V$3,Base!$B$3:$B$5001,$A$77,Base!$K$3:$K$5001,"&lt;&gt;")=0,"",SUMIFS(Base!$K$3:$K$5001,Base!$A$3:$A$5001,V$3,Base!$B$3:$B$5001,$A$77)))</f>
        <v/>
      </c>
      <c r="W85" s="79" t="str">
        <f>IF(W$3="","",IF(COUNTIFS(Base!$A$3:$A$5001,W$3,Base!$B$3:$B$5001,$A$77,Base!$K$3:$K$5001,"&lt;&gt;")=0,"",SUMIFS(Base!$K$3:$K$5001,Base!$A$3:$A$5001,W$3,Base!$B$3:$B$5001,$A$77)))</f>
        <v/>
      </c>
      <c r="X85" s="79" t="str">
        <f>IF(X$3="","",IF(COUNTIFS(Base!$A$3:$A$5001,X$3,Base!$B$3:$B$5001,$A$77,Base!$K$3:$K$5001,"&lt;&gt;")=0,"",SUMIFS(Base!$K$3:$K$5001,Base!$A$3:$A$5001,X$3,Base!$B$3:$B$5001,$A$77)))</f>
        <v/>
      </c>
      <c r="Y85" s="79" t="str">
        <f>IF(Y$3="","",IF(COUNTIFS(Base!$A$3:$A$5001,Y$3,Base!$B$3:$B$5001,$A$77,Base!$K$3:$K$5001,"&lt;&gt;")=0,"",SUMIFS(Base!$K$3:$K$5001,Base!$A$3:$A$5001,Y$3,Base!$B$3:$B$5001,$A$77)))</f>
        <v/>
      </c>
      <c r="Z85" s="79" t="str">
        <f>IF(Z$3="","",IF(COUNTIFS(Base!$A$3:$A$5001,Z$3,Base!$B$3:$B$5001,$A$77,Base!$K$3:$K$5001,"&lt;&gt;")=0,"",SUMIFS(Base!$K$3:$K$5001,Base!$A$3:$A$5001,Z$3,Base!$B$3:$B$5001,$A$77)))</f>
        <v/>
      </c>
      <c r="AA85" s="79" t="str">
        <f>IF(AA$3="","",IF(COUNTIFS(Base!$A$3:$A$5001,AA$3,Base!$B$3:$B$5001,$A$77,Base!$K$3:$K$5001,"&lt;&gt;")=0,"",SUMIFS(Base!$K$3:$K$5001,Base!$A$3:$A$5001,AA$3,Base!$B$3:$B$5001,$A$77)))</f>
        <v/>
      </c>
      <c r="AB85" s="79" t="str">
        <f>IF(AB$3="","",IF(COUNTIFS(Base!$A$3:$A$5001,AB$3,Base!$B$3:$B$5001,$A$77,Base!$K$3:$K$5001,"&lt;&gt;")=0,"",SUMIFS(Base!$K$3:$K$5001,Base!$A$3:$A$5001,AB$3,Base!$B$3:$B$5001,$A$77)))</f>
        <v/>
      </c>
      <c r="AC85" s="79" t="str">
        <f>IF(AC$3="","",IF(COUNTIFS(Base!$A$3:$A$5001,AC$3,Base!$B$3:$B$5001,$A$77,Base!$K$3:$K$5001,"&lt;&gt;")=0,"",SUMIFS(Base!$K$3:$K$5001,Base!$A$3:$A$5001,AC$3,Base!$B$3:$B$5001,$A$77)))</f>
        <v/>
      </c>
      <c r="AD85" s="79" t="str">
        <f>IF(AD$3="","",IF(COUNTIFS(Base!$A$3:$A$5001,AD$3,Base!$B$3:$B$5001,$A$77,Base!$K$3:$K$5001,"&lt;&gt;")=0,"",SUMIFS(Base!$K$3:$K$5001,Base!$A$3:$A$5001,AD$3,Base!$B$3:$B$5001,$A$77)))</f>
        <v/>
      </c>
      <c r="AE85" s="79" t="str">
        <f>IF(AE$3="","",IF(COUNTIFS(Base!$A$3:$A$5001,AE$3,Base!$B$3:$B$5001,$A$77,Base!$K$3:$K$5001,"&lt;&gt;")=0,"",SUMIFS(Base!$K$3:$K$5001,Base!$A$3:$A$5001,AE$3,Base!$B$3:$B$5001,$A$77)))</f>
        <v/>
      </c>
      <c r="AF85" s="79" t="str">
        <f>IF(AF$3="","",IF(COUNTIFS(Base!$A$3:$A$5001,AF$3,Base!$B$3:$B$5001,$A$77,Base!$K$3:$K$5001,"&lt;&gt;")=0,"",SUMIFS(Base!$K$3:$K$5001,Base!$A$3:$A$5001,AF$3,Base!$B$3:$B$5001,$A$77)))</f>
        <v/>
      </c>
      <c r="AG85" s="79" t="str">
        <f>IF(AG$3="","",IF(COUNTIFS(Base!$A$3:$A$5001,AG$3,Base!$B$3:$B$5001,$A$77,Base!$K$3:$K$5001,"&lt;&gt;")=0,"",SUMIFS(Base!$K$3:$K$5001,Base!$A$3:$A$5001,AG$3,Base!$B$3:$B$5001,$A$77)))</f>
        <v/>
      </c>
      <c r="AH85" s="79" t="str">
        <f>IF(AH$3="","",IF(COUNTIFS(Base!$A$3:$A$5001,AH$3,Base!$B$3:$B$5001,$A$77,Base!$K$3:$K$5001,"&lt;&gt;")=0,"",SUMIFS(Base!$K$3:$K$5001,Base!$A$3:$A$5001,AH$3,Base!$B$3:$B$5001,$A$77)))</f>
        <v/>
      </c>
      <c r="AI85" s="79" t="str">
        <f>IF(AI$3="","",IF(COUNTIFS(Base!$A$3:$A$5001,AI$3,Base!$B$3:$B$5001,$A$77,Base!$K$3:$K$5001,"&lt;&gt;")=0,"",SUMIFS(Base!$K$3:$K$5001,Base!$A$3:$A$5001,AI$3,Base!$B$3:$B$5001,$A$77)))</f>
        <v/>
      </c>
      <c r="AJ85" s="80" t="str">
        <f>IF(AJ$3="","",IF(COUNTIFS(Base!$A$3:$A$5001,AJ$3,Base!$B$3:$B$5001,$A$77,Base!$K$3:$K$5001,"&lt;&gt;")=0,"",SUMIFS(Base!$K$3:$K$5001,Base!$A$3:$A$5001,AJ$3,Base!$B$3:$B$5001,$A$77)))</f>
        <v/>
      </c>
      <c r="AK85" s="76" t="str">
        <f>IFERROR(LOOKUP(9.99E+307,F85:AJ85),"")</f>
        <v/>
      </c>
    </row>
    <row r="86" ht="15.75" customHeight="1">
      <c r="A86" s="118"/>
      <c r="B86" s="105" t="inlineStr">
        <is>
          <t xml:space="preserve">OCUPAÇÃO (P.P)</t>
        </is>
      </c>
      <c r="C86" s="21" t="inlineStr">
        <is>
          <t xml:space="preserve">Posições Disponíveis</t>
        </is>
      </c>
      <c r="D86" s="22"/>
      <c r="E86" s="23"/>
      <c r="F86" s="24" t="str">
        <f>IF(F$3="","",IF(COUNTIFS(Base!$A$3:$A$5001,F$3,Base!$B$3:$B$5001,$A$77,Base!$L$3:$L$5001,"&lt;&gt;")=0,"",SUMIFS(Base!$L$3:$L$5001,Base!$A$3:$A$5001,F$3,Base!$B$3:$B$5001,$A$77)))</f>
        <v/>
      </c>
      <c r="G86" s="25" t="str">
        <f>IF(G$3="","",IF(COUNTIFS(Base!$A$3:$A$5001,G$3,Base!$B$3:$B$5001,$A$77,Base!$L$3:$L$5001,"&lt;&gt;")=0,"",SUMIFS(Base!$L$3:$L$5001,Base!$A$3:$A$5001,G$3,Base!$B$3:$B$5001,$A$77)))</f>
        <v/>
      </c>
      <c r="H86" s="25" t="str">
        <f>IF(H$3="","",IF(COUNTIFS(Base!$A$3:$A$5001,H$3,Base!$B$3:$B$5001,$A$77,Base!$L$3:$L$5001,"&lt;&gt;")=0,"",SUMIFS(Base!$L$3:$L$5001,Base!$A$3:$A$5001,H$3,Base!$B$3:$B$5001,$A$77)))</f>
        <v/>
      </c>
      <c r="I86" s="25" t="str">
        <f>IF(I$3="","",IF(COUNTIFS(Base!$A$3:$A$5001,I$3,Base!$B$3:$B$5001,$A$77,Base!$L$3:$L$5001,"&lt;&gt;")=0,"",SUMIFS(Base!$L$3:$L$5001,Base!$A$3:$A$5001,I$3,Base!$B$3:$B$5001,$A$77)))</f>
        <v/>
      </c>
      <c r="J86" s="25" t="str">
        <f>IF(J$3="","",IF(COUNTIFS(Base!$A$3:$A$5001,J$3,Base!$B$3:$B$5001,$A$77,Base!$L$3:$L$5001,"&lt;&gt;")=0,"",SUMIFS(Base!$L$3:$L$5001,Base!$A$3:$A$5001,J$3,Base!$B$3:$B$5001,$A$77)))</f>
        <v/>
      </c>
      <c r="K86" s="25" t="str">
        <f>IF(K$3="","",IF(COUNTIFS(Base!$A$3:$A$5001,K$3,Base!$B$3:$B$5001,$A$77,Base!$L$3:$L$5001,"&lt;&gt;")=0,"",SUMIFS(Base!$L$3:$L$5001,Base!$A$3:$A$5001,K$3,Base!$B$3:$B$5001,$A$77)))</f>
        <v/>
      </c>
      <c r="L86" s="25" t="str">
        <f>IF(L$3="","",IF(COUNTIFS(Base!$A$3:$A$5001,L$3,Base!$B$3:$B$5001,$A$77,Base!$L$3:$L$5001,"&lt;&gt;")=0,"",SUMIFS(Base!$L$3:$L$5001,Base!$A$3:$A$5001,L$3,Base!$B$3:$B$5001,$A$77)))</f>
        <v/>
      </c>
      <c r="M86" s="25" t="str">
        <f>IF(M$3="","",IF(COUNTIFS(Base!$A$3:$A$5001,M$3,Base!$B$3:$B$5001,$A$77,Base!$L$3:$L$5001,"&lt;&gt;")=0,"",SUMIFS(Base!$L$3:$L$5001,Base!$A$3:$A$5001,M$3,Base!$B$3:$B$5001,$A$77)))</f>
        <v/>
      </c>
      <c r="N86" s="25" t="str">
        <f>IF(N$3="","",IF(COUNTIFS(Base!$A$3:$A$5001,N$3,Base!$B$3:$B$5001,$A$77,Base!$L$3:$L$5001,"&lt;&gt;")=0,"",SUMIFS(Base!$L$3:$L$5001,Base!$A$3:$A$5001,N$3,Base!$B$3:$B$5001,$A$77)))</f>
        <v/>
      </c>
      <c r="O86" s="25" t="str">
        <f>IF(O$3="","",IF(COUNTIFS(Base!$A$3:$A$5001,O$3,Base!$B$3:$B$5001,$A$77,Base!$L$3:$L$5001,"&lt;&gt;")=0,"",SUMIFS(Base!$L$3:$L$5001,Base!$A$3:$A$5001,O$3,Base!$B$3:$B$5001,$A$77)))</f>
        <v/>
      </c>
      <c r="P86" s="25" t="str">
        <f>IF(P$3="","",IF(COUNTIFS(Base!$A$3:$A$5001,P$3,Base!$B$3:$B$5001,$A$77,Base!$L$3:$L$5001,"&lt;&gt;")=0,"",SUMIFS(Base!$L$3:$L$5001,Base!$A$3:$A$5001,P$3,Base!$B$3:$B$5001,$A$77)))</f>
        <v/>
      </c>
      <c r="Q86" s="25" t="str">
        <f>IF(Q$3="","",IF(COUNTIFS(Base!$A$3:$A$5001,Q$3,Base!$B$3:$B$5001,$A$77,Base!$L$3:$L$5001,"&lt;&gt;")=0,"",SUMIFS(Base!$L$3:$L$5001,Base!$A$3:$A$5001,Q$3,Base!$B$3:$B$5001,$A$77)))</f>
        <v/>
      </c>
      <c r="R86" s="25" t="str">
        <f>IF(R$3="","",IF(COUNTIFS(Base!$A$3:$A$5001,R$3,Base!$B$3:$B$5001,$A$77,Base!$L$3:$L$5001,"&lt;&gt;")=0,"",SUMIFS(Base!$L$3:$L$5001,Base!$A$3:$A$5001,R$3,Base!$B$3:$B$5001,$A$77)))</f>
        <v/>
      </c>
      <c r="S86" s="25" t="str">
        <f>IF(S$3="","",IF(COUNTIFS(Base!$A$3:$A$5001,S$3,Base!$B$3:$B$5001,$A$77,Base!$L$3:$L$5001,"&lt;&gt;")=0,"",SUMIFS(Base!$L$3:$L$5001,Base!$A$3:$A$5001,S$3,Base!$B$3:$B$5001,$A$77)))</f>
        <v/>
      </c>
      <c r="T86" s="25" t="str">
        <f>IF(T$3="","",IF(COUNTIFS(Base!$A$3:$A$5001,T$3,Base!$B$3:$B$5001,$A$77,Base!$L$3:$L$5001,"&lt;&gt;")=0,"",SUMIFS(Base!$L$3:$L$5001,Base!$A$3:$A$5001,T$3,Base!$B$3:$B$5001,$A$77)))</f>
        <v/>
      </c>
      <c r="U86" s="25" t="str">
        <f>IF(U$3="","",IF(COUNTIFS(Base!$A$3:$A$5001,U$3,Base!$B$3:$B$5001,$A$77,Base!$L$3:$L$5001,"&lt;&gt;")=0,"",SUMIFS(Base!$L$3:$L$5001,Base!$A$3:$A$5001,U$3,Base!$B$3:$B$5001,$A$77)))</f>
        <v/>
      </c>
      <c r="V86" s="25" t="str">
        <f>IF(V$3="","",IF(COUNTIFS(Base!$A$3:$A$5001,V$3,Base!$B$3:$B$5001,$A$77,Base!$L$3:$L$5001,"&lt;&gt;")=0,"",SUMIFS(Base!$L$3:$L$5001,Base!$A$3:$A$5001,V$3,Base!$B$3:$B$5001,$A$77)))</f>
        <v/>
      </c>
      <c r="W86" s="25" t="str">
        <f>IF(W$3="","",IF(COUNTIFS(Base!$A$3:$A$5001,W$3,Base!$B$3:$B$5001,$A$77,Base!$L$3:$L$5001,"&lt;&gt;")=0,"",SUMIFS(Base!$L$3:$L$5001,Base!$A$3:$A$5001,W$3,Base!$B$3:$B$5001,$A$77)))</f>
        <v/>
      </c>
      <c r="X86" s="25" t="str">
        <f>IF(X$3="","",IF(COUNTIFS(Base!$A$3:$A$5001,X$3,Base!$B$3:$B$5001,$A$77,Base!$L$3:$L$5001,"&lt;&gt;")=0,"",SUMIFS(Base!$L$3:$L$5001,Base!$A$3:$A$5001,X$3,Base!$B$3:$B$5001,$A$77)))</f>
        <v/>
      </c>
      <c r="Y86" s="25" t="str">
        <f>IF(Y$3="","",IF(COUNTIFS(Base!$A$3:$A$5001,Y$3,Base!$B$3:$B$5001,$A$77,Base!$L$3:$L$5001,"&lt;&gt;")=0,"",SUMIFS(Base!$L$3:$L$5001,Base!$A$3:$A$5001,Y$3,Base!$B$3:$B$5001,$A$77)))</f>
        <v/>
      </c>
      <c r="Z86" s="25" t="str">
        <f>IF(Z$3="","",IF(COUNTIFS(Base!$A$3:$A$5001,Z$3,Base!$B$3:$B$5001,$A$77,Base!$L$3:$L$5001,"&lt;&gt;")=0,"",SUMIFS(Base!$L$3:$L$5001,Base!$A$3:$A$5001,Z$3,Base!$B$3:$B$5001,$A$77)))</f>
        <v/>
      </c>
      <c r="AA86" s="25" t="str">
        <f>IF(AA$3="","",IF(COUNTIFS(Base!$A$3:$A$5001,AA$3,Base!$B$3:$B$5001,$A$77,Base!$L$3:$L$5001,"&lt;&gt;")=0,"",SUMIFS(Base!$L$3:$L$5001,Base!$A$3:$A$5001,AA$3,Base!$B$3:$B$5001,$A$77)))</f>
        <v/>
      </c>
      <c r="AB86" s="25" t="str">
        <f>IF(AB$3="","",IF(COUNTIFS(Base!$A$3:$A$5001,AB$3,Base!$B$3:$B$5001,$A$77,Base!$L$3:$L$5001,"&lt;&gt;")=0,"",SUMIFS(Base!$L$3:$L$5001,Base!$A$3:$A$5001,AB$3,Base!$B$3:$B$5001,$A$77)))</f>
        <v/>
      </c>
      <c r="AC86" s="25" t="str">
        <f>IF(AC$3="","",IF(COUNTIFS(Base!$A$3:$A$5001,AC$3,Base!$B$3:$B$5001,$A$77,Base!$L$3:$L$5001,"&lt;&gt;")=0,"",SUMIFS(Base!$L$3:$L$5001,Base!$A$3:$A$5001,AC$3,Base!$B$3:$B$5001,$A$77)))</f>
        <v/>
      </c>
      <c r="AD86" s="25" t="str">
        <f>IF(AD$3="","",IF(COUNTIFS(Base!$A$3:$A$5001,AD$3,Base!$B$3:$B$5001,$A$77,Base!$L$3:$L$5001,"&lt;&gt;")=0,"",SUMIFS(Base!$L$3:$L$5001,Base!$A$3:$A$5001,AD$3,Base!$B$3:$B$5001,$A$77)))</f>
        <v/>
      </c>
      <c r="AE86" s="25" t="str">
        <f>IF(AE$3="","",IF(COUNTIFS(Base!$A$3:$A$5001,AE$3,Base!$B$3:$B$5001,$A$77,Base!$L$3:$L$5001,"&lt;&gt;")=0,"",SUMIFS(Base!$L$3:$L$5001,Base!$A$3:$A$5001,AE$3,Base!$B$3:$B$5001,$A$77)))</f>
        <v/>
      </c>
      <c r="AF86" s="25" t="str">
        <f>IF(AF$3="","",IF(COUNTIFS(Base!$A$3:$A$5001,AF$3,Base!$B$3:$B$5001,$A$77,Base!$L$3:$L$5001,"&lt;&gt;")=0,"",SUMIFS(Base!$L$3:$L$5001,Base!$A$3:$A$5001,AF$3,Base!$B$3:$B$5001,$A$77)))</f>
        <v/>
      </c>
      <c r="AG86" s="25" t="str">
        <f>IF(AG$3="","",IF(COUNTIFS(Base!$A$3:$A$5001,AG$3,Base!$B$3:$B$5001,$A$77,Base!$L$3:$L$5001,"&lt;&gt;")=0,"",SUMIFS(Base!$L$3:$L$5001,Base!$A$3:$A$5001,AG$3,Base!$B$3:$B$5001,$A$77)))</f>
        <v/>
      </c>
      <c r="AH86" s="25" t="str">
        <f>IF(AH$3="","",IF(COUNTIFS(Base!$A$3:$A$5001,AH$3,Base!$B$3:$B$5001,$A$77,Base!$L$3:$L$5001,"&lt;&gt;")=0,"",SUMIFS(Base!$L$3:$L$5001,Base!$A$3:$A$5001,AH$3,Base!$B$3:$B$5001,$A$77)))</f>
        <v/>
      </c>
      <c r="AI86" s="25" t="str">
        <f>IF(AI$3="","",IF(COUNTIFS(Base!$A$3:$A$5001,AI$3,Base!$B$3:$B$5001,$A$77,Base!$L$3:$L$5001,"&lt;&gt;")=0,"",SUMIFS(Base!$L$3:$L$5001,Base!$A$3:$A$5001,AI$3,Base!$B$3:$B$5001,$A$77)))</f>
        <v/>
      </c>
      <c r="AJ86" s="26" t="str">
        <f>IF(AJ$3="","",IF(COUNTIFS(Base!$A$3:$A$5001,AJ$3,Base!$B$3:$B$5001,$A$77,Base!$L$3:$L$5001,"&lt;&gt;")=0,"",SUMIFS(Base!$L$3:$L$5001,Base!$A$3:$A$5001,AJ$3,Base!$B$3:$B$5001,$A$77)))</f>
        <v/>
      </c>
      <c r="AK86" s="27" t="inlineStr">
        <is>
          <t xml:space="preserve">Cross</t>
        </is>
      </c>
    </row>
    <row r="87" ht="15.75" customHeight="1">
      <c r="A87" s="118"/>
      <c r="B87" s="106"/>
      <c r="C87" s="28" t="inlineStr">
        <is>
          <t xml:space="preserve">Posições Ocupadas</t>
        </is>
      </c>
      <c r="D87" s="29"/>
      <c r="E87" s="30"/>
      <c r="F87" s="31">
        <f>IF(F$3="","",IF(COUNTIFS(Base!$A$3:$A$5001,F$3,Base!$B$3:$B$5001,$A$77,Base!$M$3:$M$5001,"&lt;&gt;")=0,"",SUMIFS(Base!$M$3:$M$5001,Base!$A$3:$A$5001,F$3,Base!$B$3:$B$5001,$A$77)))</f>
        <v>286</v>
      </c>
      <c r="G87" s="32">
        <f>IF(G$3="","",IF(COUNTIFS(Base!$A$3:$A$5001,G$3,Base!$B$3:$B$5001,$A$77,Base!$M$3:$M$5001,"&lt;&gt;")=0,"",SUMIFS(Base!$M$3:$M$5001,Base!$A$3:$A$5001,G$3,Base!$B$3:$B$5001,$A$77)))</f>
        <v>247</v>
      </c>
      <c r="H87" s="32">
        <f>IF(H$3="","",IF(COUNTIFS(Base!$A$3:$A$5001,H$3,Base!$B$3:$B$5001,$A$77,Base!$M$3:$M$5001,"&lt;&gt;")=0,"",SUMIFS(Base!$M$3:$M$5001,Base!$A$3:$A$5001,H$3,Base!$B$3:$B$5001,$A$77)))</f>
        <v>186</v>
      </c>
      <c r="I87" s="32">
        <f>IF(I$3="","",IF(COUNTIFS(Base!$A$3:$A$5001,I$3,Base!$B$3:$B$5001,$A$77,Base!$M$3:$M$5001,"&lt;&gt;")=0,"",SUMIFS(Base!$M$3:$M$5001,Base!$A$3:$A$5001,I$3,Base!$B$3:$B$5001,$A$77)))</f>
        <v>251</v>
      </c>
      <c r="J87" s="32" t="str">
        <f>IF(J$3="","",IF(COUNTIFS(Base!$A$3:$A$5001,J$3,Base!$B$3:$B$5001,$A$77,Base!$M$3:$M$5001,"&lt;&gt;")=0,"",SUMIFS(Base!$M$3:$M$5001,Base!$A$3:$A$5001,J$3,Base!$B$3:$B$5001,$A$77)))</f>
        <v/>
      </c>
      <c r="K87" s="32">
        <f>IF(K$3="","",IF(COUNTIFS(Base!$A$3:$A$5001,K$3,Base!$B$3:$B$5001,$A$77,Base!$M$3:$M$5001,"&lt;&gt;")=0,"",SUMIFS(Base!$M$3:$M$5001,Base!$A$3:$A$5001,K$3,Base!$B$3:$B$5001,$A$77)))</f>
        <v>280</v>
      </c>
      <c r="L87" s="32">
        <f>IF(L$3="","",IF(COUNTIFS(Base!$A$3:$A$5001,L$3,Base!$B$3:$B$5001,$A$77,Base!$M$3:$M$5001,"&lt;&gt;")=0,"",SUMIFS(Base!$M$3:$M$5001,Base!$A$3:$A$5001,L$3,Base!$B$3:$B$5001,$A$77)))</f>
        <v>345</v>
      </c>
      <c r="M87" s="32">
        <f>IF(M$3="","",IF(COUNTIFS(Base!$A$3:$A$5001,M$3,Base!$B$3:$B$5001,$A$77,Base!$M$3:$M$5001,"&lt;&gt;")=0,"",SUMIFS(Base!$M$3:$M$5001,Base!$A$3:$A$5001,M$3,Base!$B$3:$B$5001,$A$77)))</f>
        <v>171</v>
      </c>
      <c r="N87" s="32">
        <f>IF(N$3="","",IF(COUNTIFS(Base!$A$3:$A$5001,N$3,Base!$B$3:$B$5001,$A$77,Base!$M$3:$M$5001,"&lt;&gt;")=0,"",SUMIFS(Base!$M$3:$M$5001,Base!$A$3:$A$5001,N$3,Base!$B$3:$B$5001,$A$77)))</f>
        <v>126</v>
      </c>
      <c r="O87" s="32">
        <f>IF(O$3="","",IF(COUNTIFS(Base!$A$3:$A$5001,O$3,Base!$B$3:$B$5001,$A$77,Base!$M$3:$M$5001,"&lt;&gt;")=0,"",SUMIFS(Base!$M$3:$M$5001,Base!$A$3:$A$5001,O$3,Base!$B$3:$B$5001,$A$77)))</f>
        <v>258</v>
      </c>
      <c r="P87" s="32">
        <f>IF(P$3="","",IF(COUNTIFS(Base!$A$3:$A$5001,P$3,Base!$B$3:$B$5001,$A$77,Base!$M$3:$M$5001,"&lt;&gt;")=0,"",SUMIFS(Base!$M$3:$M$5001,Base!$A$3:$A$5001,P$3,Base!$B$3:$B$5001,$A$77)))</f>
        <v>125</v>
      </c>
      <c r="Q87" s="32" t="str">
        <f>IF(Q$3="","",IF(COUNTIFS(Base!$A$3:$A$5001,Q$3,Base!$B$3:$B$5001,$A$77,Base!$M$3:$M$5001,"&lt;&gt;")=0,"",SUMIFS(Base!$M$3:$M$5001,Base!$A$3:$A$5001,Q$3,Base!$B$3:$B$5001,$A$77)))</f>
        <v/>
      </c>
      <c r="R87" s="32">
        <f>IF(R$3="","",IF(COUNTIFS(Base!$A$3:$A$5001,R$3,Base!$B$3:$B$5001,$A$77,Base!$M$3:$M$5001,"&lt;&gt;")=0,"",SUMIFS(Base!$M$3:$M$5001,Base!$A$3:$A$5001,R$3,Base!$B$3:$B$5001,$A$77)))</f>
        <v>234</v>
      </c>
      <c r="S87" s="32">
        <f>IF(S$3="","",IF(COUNTIFS(Base!$A$3:$A$5001,S$3,Base!$B$3:$B$5001,$A$77,Base!$M$3:$M$5001,"&lt;&gt;")=0,"",SUMIFS(Base!$M$3:$M$5001,Base!$A$3:$A$5001,S$3,Base!$B$3:$B$5001,$A$77)))</f>
        <v>232</v>
      </c>
      <c r="T87" s="32">
        <f>IF(T$3="","",IF(COUNTIFS(Base!$A$3:$A$5001,T$3,Base!$B$3:$B$5001,$A$77,Base!$M$3:$M$5001,"&lt;&gt;")=0,"",SUMIFS(Base!$M$3:$M$5001,Base!$A$3:$A$5001,T$3,Base!$B$3:$B$5001,$A$77)))</f>
        <v>349</v>
      </c>
      <c r="U87" s="32">
        <f>IF(U$3="","",IF(COUNTIFS(Base!$A$3:$A$5001,U$3,Base!$B$3:$B$5001,$A$77,Base!$M$3:$M$5001,"&lt;&gt;")=0,"",SUMIFS(Base!$M$3:$M$5001,Base!$A$3:$A$5001,U$3,Base!$B$3:$B$5001,$A$77)))</f>
        <v>199</v>
      </c>
      <c r="V87" s="32">
        <f>IF(V$3="","",IF(COUNTIFS(Base!$A$3:$A$5001,V$3,Base!$B$3:$B$5001,$A$77,Base!$M$3:$M$5001,"&lt;&gt;")=0,"",SUMIFS(Base!$M$3:$M$5001,Base!$A$3:$A$5001,V$3,Base!$B$3:$B$5001,$A$77)))</f>
        <v>231</v>
      </c>
      <c r="W87" s="32">
        <f>IF(W$3="","",IF(COUNTIFS(Base!$A$3:$A$5001,W$3,Base!$B$3:$B$5001,$A$77,Base!$M$3:$M$5001,"&lt;&gt;")=0,"",SUMIFS(Base!$M$3:$M$5001,Base!$A$3:$A$5001,W$3,Base!$B$3:$B$5001,$A$77)))</f>
        <v>352</v>
      </c>
      <c r="X87" s="32" t="str">
        <f>IF(X$3="","",IF(COUNTIFS(Base!$A$3:$A$5001,X$3,Base!$B$3:$B$5001,$A$77,Base!$M$3:$M$5001,"&lt;&gt;")=0,"",SUMIFS(Base!$M$3:$M$5001,Base!$A$3:$A$5001,X$3,Base!$B$3:$B$5001,$A$77)))</f>
        <v/>
      </c>
      <c r="Y87" s="32">
        <f>IF(Y$3="","",IF(COUNTIFS(Base!$A$3:$A$5001,Y$3,Base!$B$3:$B$5001,$A$77,Base!$M$3:$M$5001,"&lt;&gt;")=0,"",SUMIFS(Base!$M$3:$M$5001,Base!$A$3:$A$5001,Y$3,Base!$B$3:$B$5001,$A$77)))</f>
        <v>375</v>
      </c>
      <c r="Z87" s="32">
        <f>IF(Z$3="","",IF(COUNTIFS(Base!$A$3:$A$5001,Z$3,Base!$B$3:$B$5001,$A$77,Base!$M$3:$M$5001,"&lt;&gt;")=0,"",SUMIFS(Base!$M$3:$M$5001,Base!$A$3:$A$5001,Z$3,Base!$B$3:$B$5001,$A$77)))</f>
        <v>184</v>
      </c>
      <c r="AA87" s="32">
        <f>IF(AA$3="","",IF(COUNTIFS(Base!$A$3:$A$5001,AA$3,Base!$B$3:$B$5001,$A$77,Base!$M$3:$M$5001,"&lt;&gt;")=0,"",SUMIFS(Base!$M$3:$M$5001,Base!$A$3:$A$5001,AA$3,Base!$B$3:$B$5001,$A$77)))</f>
        <v>221</v>
      </c>
      <c r="AB87" s="32">
        <f>IF(AB$3="","",IF(COUNTIFS(Base!$A$3:$A$5001,AB$3,Base!$B$3:$B$5001,$A$77,Base!$M$3:$M$5001,"&lt;&gt;")=0,"",SUMIFS(Base!$M$3:$M$5001,Base!$A$3:$A$5001,AB$3,Base!$B$3:$B$5001,$A$77)))</f>
        <v>210</v>
      </c>
      <c r="AC87" s="32">
        <f>IF(AC$3="","",IF(COUNTIFS(Base!$A$3:$A$5001,AC$3,Base!$B$3:$B$5001,$A$77,Base!$M$3:$M$5001,"&lt;&gt;")=0,"",SUMIFS(Base!$M$3:$M$5001,Base!$A$3:$A$5001,AC$3,Base!$B$3:$B$5001,$A$77)))</f>
        <v>280</v>
      </c>
      <c r="AD87" s="32">
        <f>IF(AD$3="","",IF(COUNTIFS(Base!$A$3:$A$5001,AD$3,Base!$B$3:$B$5001,$A$77,Base!$M$3:$M$5001,"&lt;&gt;")=0,"",SUMIFS(Base!$M$3:$M$5001,Base!$A$3:$A$5001,AD$3,Base!$B$3:$B$5001,$A$77)))</f>
        <v>309</v>
      </c>
      <c r="AE87" s="32">
        <f>IF(AE$3="","",IF(COUNTIFS(Base!$A$3:$A$5001,AE$3,Base!$B$3:$B$5001,$A$77,Base!$M$3:$M$5001,"&lt;&gt;")=0,"",SUMIFS(Base!$M$3:$M$5001,Base!$A$3:$A$5001,AE$3,Base!$B$3:$B$5001,$A$77)))</f>
        <v>154</v>
      </c>
      <c r="AF87" s="32" t="str">
        <f>IF(AF$3="","",IF(COUNTIFS(Base!$A$3:$A$5001,AF$3,Base!$B$3:$B$5001,$A$77,Base!$M$3:$M$5001,"&lt;&gt;")=0,"",SUMIFS(Base!$M$3:$M$5001,Base!$A$3:$A$5001,AF$3,Base!$B$3:$B$5001,$A$77)))</f>
        <v/>
      </c>
      <c r="AG87" s="32">
        <f>IF(AG$3="","",IF(COUNTIFS(Base!$A$3:$A$5001,AG$3,Base!$B$3:$B$5001,$A$77,Base!$M$3:$M$5001,"&lt;&gt;")=0,"",SUMIFS(Base!$M$3:$M$5001,Base!$A$3:$A$5001,AG$3,Base!$B$3:$B$5001,$A$77)))</f>
        <v>110</v>
      </c>
      <c r="AH87" s="32">
        <f>IF(AH$3="","",IF(COUNTIFS(Base!$A$3:$A$5001,AH$3,Base!$B$3:$B$5001,$A$77,Base!$M$3:$M$5001,"&lt;&gt;")=0,"",SUMIFS(Base!$M$3:$M$5001,Base!$A$3:$A$5001,AH$3,Base!$B$3:$B$5001,$A$77)))</f>
        <v>221</v>
      </c>
      <c r="AI87" s="32" t="str">
        <f>IF(AI$3="","",IF(COUNTIFS(Base!$A$3:$A$5001,AI$3,Base!$B$3:$B$5001,$A$77,Base!$M$3:$M$5001,"&lt;&gt;")=0,"",SUMIFS(Base!$M$3:$M$5001,Base!$A$3:$A$5001,AI$3,Base!$B$3:$B$5001,$A$77)))</f>
        <v/>
      </c>
      <c r="AJ87" s="33" t="str">
        <f>IF(AJ$3="","",IF(COUNTIFS(Base!$A$3:$A$5001,AJ$3,Base!$B$3:$B$5001,$A$77,Base!$M$3:$M$5001,"&lt;&gt;")=0,"",SUMIFS(Base!$M$3:$M$5001,Base!$A$3:$A$5001,AJ$3,Base!$B$3:$B$5001,$A$77)))</f>
        <v/>
      </c>
      <c r="AK87" s="34">
        <f>IFERROR(LOOKUP(9.99E+307,F87:AJ87),"")</f>
        <v>221</v>
      </c>
    </row>
    <row r="88" ht="15.75" customHeight="1">
      <c r="A88" s="118"/>
      <c r="B88" s="107"/>
      <c r="C88" s="35" t="inlineStr">
        <is>
          <t xml:space="preserve">Taxa de Ocupação</t>
        </is>
      </c>
      <c r="D88" s="81"/>
      <c r="E88" s="37"/>
      <c r="F88" s="82" t="str">
        <f>IF(AND(ISNUMBER(F86),ISNUMBER(F87)),IF(F86&gt;0,F87/F86,""),"")</f>
        <v/>
      </c>
      <c r="G88" s="83" t="str">
        <f>IF(AND(ISNUMBER(G86),ISNUMBER(G87)),IF(G86&gt;0,G87/G86,""),"")</f>
        <v/>
      </c>
      <c r="H88" s="83" t="str">
        <f>IF(AND(ISNUMBER(H86),ISNUMBER(H87)),IF(H86&gt;0,H87/H86,""),"")</f>
        <v/>
      </c>
      <c r="I88" s="83" t="str">
        <f>IF(AND(ISNUMBER(I86),ISNUMBER(I87)),IF(I86&gt;0,I87/I86,""),"")</f>
        <v/>
      </c>
      <c r="J88" s="83" t="str">
        <f>IF(AND(ISNUMBER(J86),ISNUMBER(J87)),IF(J86&gt;0,J87/J86,""),"")</f>
        <v/>
      </c>
      <c r="K88" s="83" t="str">
        <f>IF(AND(ISNUMBER(K86),ISNUMBER(K87)),IF(K86&gt;0,K87/K86,""),"")</f>
        <v/>
      </c>
      <c r="L88" s="83" t="str">
        <f>IF(AND(ISNUMBER(L86),ISNUMBER(L87)),IF(L86&gt;0,L87/L86,""),"")</f>
        <v/>
      </c>
      <c r="M88" s="83" t="str">
        <f>IF(AND(ISNUMBER(M86),ISNUMBER(M87)),IF(M86&gt;0,M87/M86,""),"")</f>
        <v/>
      </c>
      <c r="N88" s="83" t="str">
        <f>IF(AND(ISNUMBER(N86),ISNUMBER(N87)),IF(N86&gt;0,N87/N86,""),"")</f>
        <v/>
      </c>
      <c r="O88" s="83" t="str">
        <f>IF(AND(ISNUMBER(O86),ISNUMBER(O87)),IF(O86&gt;0,O87/O86,""),"")</f>
        <v/>
      </c>
      <c r="P88" s="83" t="str">
        <f>IF(AND(ISNUMBER(P86),ISNUMBER(P87)),IF(P86&gt;0,P87/P86,""),"")</f>
        <v/>
      </c>
      <c r="Q88" s="83" t="str">
        <f>IF(AND(ISNUMBER(Q86),ISNUMBER(Q87)),IF(Q86&gt;0,Q87/Q86,""),"")</f>
        <v/>
      </c>
      <c r="R88" s="83" t="str">
        <f>IF(AND(ISNUMBER(R86),ISNUMBER(R87)),IF(R86&gt;0,R87/R86,""),"")</f>
        <v/>
      </c>
      <c r="S88" s="83" t="str">
        <f>IF(AND(ISNUMBER(S86),ISNUMBER(S87)),IF(S86&gt;0,S87/S86,""),"")</f>
        <v/>
      </c>
      <c r="T88" s="83" t="str">
        <f>IF(AND(ISNUMBER(T86),ISNUMBER(T87)),IF(T86&gt;0,T87/T86,""),"")</f>
        <v/>
      </c>
      <c r="U88" s="83" t="str">
        <f>IF(AND(ISNUMBER(U86),ISNUMBER(U87)),IF(U86&gt;0,U87/U86,""),"")</f>
        <v/>
      </c>
      <c r="V88" s="83" t="str">
        <f>IF(AND(ISNUMBER(V86),ISNUMBER(V87)),IF(V86&gt;0,V87/V86,""),"")</f>
        <v/>
      </c>
      <c r="W88" s="83" t="str">
        <f>IF(AND(ISNUMBER(W86),ISNUMBER(W87)),IF(W86&gt;0,W87/W86,""),"")</f>
        <v/>
      </c>
      <c r="X88" s="83" t="str">
        <f>IF(AND(ISNUMBER(X86),ISNUMBER(X87)),IF(X86&gt;0,X87/X86,""),"")</f>
        <v/>
      </c>
      <c r="Y88" s="83" t="str">
        <f>IF(AND(ISNUMBER(Y86),ISNUMBER(Y87)),IF(Y86&gt;0,Y87/Y86,""),"")</f>
        <v/>
      </c>
      <c r="Z88" s="83" t="str">
        <f>IF(AND(ISNUMBER(Z86),ISNUMBER(Z87)),IF(Z86&gt;0,Z87/Z86,""),"")</f>
        <v/>
      </c>
      <c r="AA88" s="83" t="str">
        <f>IF(AND(ISNUMBER(AA86),ISNUMBER(AA87)),IF(AA86&gt;0,AA87/AA86,""),"")</f>
        <v/>
      </c>
      <c r="AB88" s="83" t="str">
        <f>IF(AND(ISNUMBER(AB86),ISNUMBER(AB87)),IF(AB86&gt;0,AB87/AB86,""),"")</f>
        <v/>
      </c>
      <c r="AC88" s="83" t="str">
        <f>IF(AND(ISNUMBER(AC86),ISNUMBER(AC87)),IF(AC86&gt;0,AC87/AC86,""),"")</f>
        <v/>
      </c>
      <c r="AD88" s="83" t="str">
        <f>IF(AND(ISNUMBER(AD86),ISNUMBER(AD87)),IF(AD86&gt;0,AD87/AD86,""),"")</f>
        <v/>
      </c>
      <c r="AE88" s="83" t="str">
        <f>IF(AND(ISNUMBER(AE86),ISNUMBER(AE87)),IF(AE86&gt;0,AE87/AE86,""),"")</f>
        <v/>
      </c>
      <c r="AF88" s="83" t="str">
        <f>IF(AND(ISNUMBER(AF86),ISNUMBER(AF87)),IF(AF86&gt;0,AF87/AF86,""),"")</f>
        <v/>
      </c>
      <c r="AG88" s="83" t="str">
        <f>IF(AND(ISNUMBER(AG86),ISNUMBER(AG87)),IF(AG86&gt;0,AG87/AG86,""),"")</f>
        <v/>
      </c>
      <c r="AH88" s="83" t="str">
        <f>IF(AND(ISNUMBER(AH86),ISNUMBER(AH87)),IF(AH86&gt;0,AH87/AH86,""),"")</f>
        <v/>
      </c>
      <c r="AI88" s="83" t="str">
        <f>IF(AND(ISNUMBER(AI86),ISNUMBER(AI87)),IF(AI86&gt;0,AI87/AI86,""),"")</f>
        <v/>
      </c>
      <c r="AJ88" s="84" t="str">
        <f>IF(AND(ISNUMBER(AJ86),ISNUMBER(AJ87)),IF(AJ86&gt;0,AJ87/AJ86,""),"")</f>
        <v/>
      </c>
      <c r="AK88" s="81" t="str">
        <f>IF(AND(ISNUMBER(AK86),ISNUMBER(AK87)),IF(AK86&gt;0,AK87/AK86,""),"")</f>
        <v/>
      </c>
    </row>
    <row r="89" ht="15.75" customHeight="1">
      <c r="A89" s="118"/>
      <c r="B89" s="114" t="inlineStr">
        <is>
          <t xml:space="preserve">GENTE</t>
        </is>
      </c>
      <c r="C89" s="85" t="inlineStr">
        <is>
          <t xml:space="preserve">Efetivo Op.</t>
        </is>
      </c>
      <c r="D89" s="86"/>
      <c r="E89" s="87"/>
      <c r="F89" s="88">
        <f>IF(F$3="","",IF(COUNTIFS(Base!$A$3:$A$5001,F$3,Base!$B$3:$B$5001,$A$77,Base!$N$3:$N$5001,"&lt;&gt;")=0,"",SUMIFS(Base!$N$3:$N$5001,Base!$A$3:$A$5001,F$3,Base!$B$3:$B$5001,$A$77)))</f>
        <v>3</v>
      </c>
      <c r="G89" s="89">
        <f>IF(G$3="","",IF(COUNTIFS(Base!$A$3:$A$5001,G$3,Base!$B$3:$B$5001,$A$77,Base!$N$3:$N$5001,"&lt;&gt;")=0,"",SUMIFS(Base!$N$3:$N$5001,Base!$A$3:$A$5001,G$3,Base!$B$3:$B$5001,$A$77)))</f>
        <v>8</v>
      </c>
      <c r="H89" s="89">
        <f>IF(H$3="","",IF(COUNTIFS(Base!$A$3:$A$5001,H$3,Base!$B$3:$B$5001,$A$77,Base!$N$3:$N$5001,"&lt;&gt;")=0,"",SUMIFS(Base!$N$3:$N$5001,Base!$A$3:$A$5001,H$3,Base!$B$3:$B$5001,$A$77)))</f>
        <v>5</v>
      </c>
      <c r="I89" s="89">
        <f>IF(I$3="","",IF(COUNTIFS(Base!$A$3:$A$5001,I$3,Base!$B$3:$B$5001,$A$77,Base!$N$3:$N$5001,"&lt;&gt;")=0,"",SUMIFS(Base!$N$3:$N$5001,Base!$A$3:$A$5001,I$3,Base!$B$3:$B$5001,$A$77)))</f>
        <v>3</v>
      </c>
      <c r="J89" s="89" t="str">
        <f>IF(J$3="","",IF(COUNTIFS(Base!$A$3:$A$5001,J$3,Base!$B$3:$B$5001,$A$77,Base!$N$3:$N$5001,"&lt;&gt;")=0,"",SUMIFS(Base!$N$3:$N$5001,Base!$A$3:$A$5001,J$3,Base!$B$3:$B$5001,$A$77)))</f>
        <v/>
      </c>
      <c r="K89" s="89">
        <f>IF(K$3="","",IF(COUNTIFS(Base!$A$3:$A$5001,K$3,Base!$B$3:$B$5001,$A$77,Base!$N$3:$N$5001,"&lt;&gt;")=0,"",SUMIFS(Base!$N$3:$N$5001,Base!$A$3:$A$5001,K$3,Base!$B$3:$B$5001,$A$77)))</f>
        <v>5</v>
      </c>
      <c r="L89" s="89">
        <f>IF(L$3="","",IF(COUNTIFS(Base!$A$3:$A$5001,L$3,Base!$B$3:$B$5001,$A$77,Base!$N$3:$N$5001,"&lt;&gt;")=0,"",SUMIFS(Base!$N$3:$N$5001,Base!$A$3:$A$5001,L$3,Base!$B$3:$B$5001,$A$77)))</f>
        <v>8</v>
      </c>
      <c r="M89" s="89">
        <f>IF(M$3="","",IF(COUNTIFS(Base!$A$3:$A$5001,M$3,Base!$B$3:$B$5001,$A$77,Base!$N$3:$N$5001,"&lt;&gt;")=0,"",SUMIFS(Base!$N$3:$N$5001,Base!$A$3:$A$5001,M$3,Base!$B$3:$B$5001,$A$77)))</f>
        <v>3</v>
      </c>
      <c r="N89" s="89">
        <f>IF(N$3="","",IF(COUNTIFS(Base!$A$3:$A$5001,N$3,Base!$B$3:$B$5001,$A$77,Base!$N$3:$N$5001,"&lt;&gt;")=0,"",SUMIFS(Base!$N$3:$N$5001,Base!$A$3:$A$5001,N$3,Base!$B$3:$B$5001,$A$77)))</f>
        <v>7</v>
      </c>
      <c r="O89" s="89">
        <f>IF(O$3="","",IF(COUNTIFS(Base!$A$3:$A$5001,O$3,Base!$B$3:$B$5001,$A$77,Base!$N$3:$N$5001,"&lt;&gt;")=0,"",SUMIFS(Base!$N$3:$N$5001,Base!$A$3:$A$5001,O$3,Base!$B$3:$B$5001,$A$77)))</f>
        <v>9</v>
      </c>
      <c r="P89" s="89">
        <f>IF(P$3="","",IF(COUNTIFS(Base!$A$3:$A$5001,P$3,Base!$B$3:$B$5001,$A$77,Base!$N$3:$N$5001,"&lt;&gt;")=0,"",SUMIFS(Base!$N$3:$N$5001,Base!$A$3:$A$5001,P$3,Base!$B$3:$B$5001,$A$77)))</f>
        <v>6</v>
      </c>
      <c r="Q89" s="89" t="str">
        <f>IF(Q$3="","",IF(COUNTIFS(Base!$A$3:$A$5001,Q$3,Base!$B$3:$B$5001,$A$77,Base!$N$3:$N$5001,"&lt;&gt;")=0,"",SUMIFS(Base!$N$3:$N$5001,Base!$A$3:$A$5001,Q$3,Base!$B$3:$B$5001,$A$77)))</f>
        <v/>
      </c>
      <c r="R89" s="89">
        <f>IF(R$3="","",IF(COUNTIFS(Base!$A$3:$A$5001,R$3,Base!$B$3:$B$5001,$A$77,Base!$N$3:$N$5001,"&lt;&gt;")=0,"",SUMIFS(Base!$N$3:$N$5001,Base!$A$3:$A$5001,R$3,Base!$B$3:$B$5001,$A$77)))</f>
        <v>6</v>
      </c>
      <c r="S89" s="89">
        <f>IF(S$3="","",IF(COUNTIFS(Base!$A$3:$A$5001,S$3,Base!$B$3:$B$5001,$A$77,Base!$N$3:$N$5001,"&lt;&gt;")=0,"",SUMIFS(Base!$N$3:$N$5001,Base!$A$3:$A$5001,S$3,Base!$B$3:$B$5001,$A$77)))</f>
        <v>7</v>
      </c>
      <c r="T89" s="89">
        <f>IF(T$3="","",IF(COUNTIFS(Base!$A$3:$A$5001,T$3,Base!$B$3:$B$5001,$A$77,Base!$N$3:$N$5001,"&lt;&gt;")=0,"",SUMIFS(Base!$N$3:$N$5001,Base!$A$3:$A$5001,T$3,Base!$B$3:$B$5001,$A$77)))</f>
        <v>6</v>
      </c>
      <c r="U89" s="89">
        <f>IF(U$3="","",IF(COUNTIFS(Base!$A$3:$A$5001,U$3,Base!$B$3:$B$5001,$A$77,Base!$N$3:$N$5001,"&lt;&gt;")=0,"",SUMIFS(Base!$N$3:$N$5001,Base!$A$3:$A$5001,U$3,Base!$B$3:$B$5001,$A$77)))</f>
        <v>6</v>
      </c>
      <c r="V89" s="89">
        <f>IF(V$3="","",IF(COUNTIFS(Base!$A$3:$A$5001,V$3,Base!$B$3:$B$5001,$A$77,Base!$N$3:$N$5001,"&lt;&gt;")=0,"",SUMIFS(Base!$N$3:$N$5001,Base!$A$3:$A$5001,V$3,Base!$B$3:$B$5001,$A$77)))</f>
        <v>3</v>
      </c>
      <c r="W89" s="89">
        <f>IF(W$3="","",IF(COUNTIFS(Base!$A$3:$A$5001,W$3,Base!$B$3:$B$5001,$A$77,Base!$N$3:$N$5001,"&lt;&gt;")=0,"",SUMIFS(Base!$N$3:$N$5001,Base!$A$3:$A$5001,W$3,Base!$B$3:$B$5001,$A$77)))</f>
        <v>8</v>
      </c>
      <c r="X89" s="89" t="str">
        <f>IF(X$3="","",IF(COUNTIFS(Base!$A$3:$A$5001,X$3,Base!$B$3:$B$5001,$A$77,Base!$N$3:$N$5001,"&lt;&gt;")=0,"",SUMIFS(Base!$N$3:$N$5001,Base!$A$3:$A$5001,X$3,Base!$B$3:$B$5001,$A$77)))</f>
        <v/>
      </c>
      <c r="Y89" s="89">
        <f>IF(Y$3="","",IF(COUNTIFS(Base!$A$3:$A$5001,Y$3,Base!$B$3:$B$5001,$A$77,Base!$N$3:$N$5001,"&lt;&gt;")=0,"",SUMIFS(Base!$N$3:$N$5001,Base!$A$3:$A$5001,Y$3,Base!$B$3:$B$5001,$A$77)))</f>
        <v>5</v>
      </c>
      <c r="Z89" s="89">
        <f>IF(Z$3="","",IF(COUNTIFS(Base!$A$3:$A$5001,Z$3,Base!$B$3:$B$5001,$A$77,Base!$N$3:$N$5001,"&lt;&gt;")=0,"",SUMIFS(Base!$N$3:$N$5001,Base!$A$3:$A$5001,Z$3,Base!$B$3:$B$5001,$A$77)))</f>
        <v>7</v>
      </c>
      <c r="AA89" s="89">
        <f>IF(AA$3="","",IF(COUNTIFS(Base!$A$3:$A$5001,AA$3,Base!$B$3:$B$5001,$A$77,Base!$N$3:$N$5001,"&lt;&gt;")=0,"",SUMIFS(Base!$N$3:$N$5001,Base!$A$3:$A$5001,AA$3,Base!$B$3:$B$5001,$A$77)))</f>
        <v>8</v>
      </c>
      <c r="AB89" s="89">
        <f>IF(AB$3="","",IF(COUNTIFS(Base!$A$3:$A$5001,AB$3,Base!$B$3:$B$5001,$A$77,Base!$N$3:$N$5001,"&lt;&gt;")=0,"",SUMIFS(Base!$N$3:$N$5001,Base!$A$3:$A$5001,AB$3,Base!$B$3:$B$5001,$A$77)))</f>
        <v>4</v>
      </c>
      <c r="AC89" s="89">
        <f>IF(AC$3="","",IF(COUNTIFS(Base!$A$3:$A$5001,AC$3,Base!$B$3:$B$5001,$A$77,Base!$N$3:$N$5001,"&lt;&gt;")=0,"",SUMIFS(Base!$N$3:$N$5001,Base!$A$3:$A$5001,AC$3,Base!$B$3:$B$5001,$A$77)))</f>
        <v>9</v>
      </c>
      <c r="AD89" s="89">
        <f>IF(AD$3="","",IF(COUNTIFS(Base!$A$3:$A$5001,AD$3,Base!$B$3:$B$5001,$A$77,Base!$N$3:$N$5001,"&lt;&gt;")=0,"",SUMIFS(Base!$N$3:$N$5001,Base!$A$3:$A$5001,AD$3,Base!$B$3:$B$5001,$A$77)))</f>
        <v>7</v>
      </c>
      <c r="AE89" s="89">
        <f>IF(AE$3="","",IF(COUNTIFS(Base!$A$3:$A$5001,AE$3,Base!$B$3:$B$5001,$A$77,Base!$N$3:$N$5001,"&lt;&gt;")=0,"",SUMIFS(Base!$N$3:$N$5001,Base!$A$3:$A$5001,AE$3,Base!$B$3:$B$5001,$A$77)))</f>
        <v>5</v>
      </c>
      <c r="AF89" s="89" t="str">
        <f>IF(AF$3="","",IF(COUNTIFS(Base!$A$3:$A$5001,AF$3,Base!$B$3:$B$5001,$A$77,Base!$N$3:$N$5001,"&lt;&gt;")=0,"",SUMIFS(Base!$N$3:$N$5001,Base!$A$3:$A$5001,AF$3,Base!$B$3:$B$5001,$A$77)))</f>
        <v/>
      </c>
      <c r="AG89" s="89">
        <f>IF(AG$3="","",IF(COUNTIFS(Base!$A$3:$A$5001,AG$3,Base!$B$3:$B$5001,$A$77,Base!$N$3:$N$5001,"&lt;&gt;")=0,"",SUMIFS(Base!$N$3:$N$5001,Base!$A$3:$A$5001,AG$3,Base!$B$3:$B$5001,$A$77)))</f>
        <v>3</v>
      </c>
      <c r="AH89" s="89">
        <f>IF(AH$3="","",IF(COUNTIFS(Base!$A$3:$A$5001,AH$3,Base!$B$3:$B$5001,$A$77,Base!$N$3:$N$5001,"&lt;&gt;")=0,"",SUMIFS(Base!$N$3:$N$5001,Base!$A$3:$A$5001,AH$3,Base!$B$3:$B$5001,$A$77)))</f>
        <v>3</v>
      </c>
      <c r="AI89" s="89" t="str">
        <f>IF(AI$3="","",IF(COUNTIFS(Base!$A$3:$A$5001,AI$3,Base!$B$3:$B$5001,$A$77,Base!$N$3:$N$5001,"&lt;&gt;")=0,"",SUMIFS(Base!$N$3:$N$5001,Base!$A$3:$A$5001,AI$3,Base!$B$3:$B$5001,$A$77)))</f>
        <v/>
      </c>
      <c r="AJ89" s="90" t="str">
        <f>IF(AJ$3="","",IF(COUNTIFS(Base!$A$3:$A$5001,AJ$3,Base!$B$3:$B$5001,$A$77,Base!$N$3:$N$5001,"&lt;&gt;")=0,"",SUMIFS(Base!$N$3:$N$5001,Base!$A$3:$A$5001,AJ$3,Base!$B$3:$B$5001,$A$77)))</f>
        <v/>
      </c>
      <c r="AK89" s="91">
        <f>IFERROR(LOOKUP(9.99E+307,F89:AJ89),"")</f>
        <v>3</v>
      </c>
    </row>
    <row r="90" ht="15.75" customHeight="1">
      <c r="A90" s="118"/>
      <c r="B90" s="115"/>
      <c r="C90" s="92" t="inlineStr">
        <is>
          <t xml:space="preserve">Falta</t>
        </is>
      </c>
      <c r="D90" s="93"/>
      <c r="E90" s="94"/>
      <c r="F90" s="95" t="str">
        <f>IF(F$3="","",IF(COUNTIFS(Base!$A$3:$A$5001,F$3,Base!$B$3:$B$5001,$A$77,Base!$O$3:$O$5001,"&lt;&gt;")=0,"",SUMIFS(Base!$O$3:$O$5001,Base!$A$3:$A$5001,F$3,Base!$B$3:$B$5001,$A$77)))</f>
        <v/>
      </c>
      <c r="G90" s="96" t="str">
        <f>IF(G$3="","",IF(COUNTIFS(Base!$A$3:$A$5001,G$3,Base!$B$3:$B$5001,$A$77,Base!$O$3:$O$5001,"&lt;&gt;")=0,"",SUMIFS(Base!$O$3:$O$5001,Base!$A$3:$A$5001,G$3,Base!$B$3:$B$5001,$A$77)))</f>
        <v/>
      </c>
      <c r="H90" s="96" t="str">
        <f>IF(H$3="","",IF(COUNTIFS(Base!$A$3:$A$5001,H$3,Base!$B$3:$B$5001,$A$77,Base!$O$3:$O$5001,"&lt;&gt;")=0,"",SUMIFS(Base!$O$3:$O$5001,Base!$A$3:$A$5001,H$3,Base!$B$3:$B$5001,$A$77)))</f>
        <v/>
      </c>
      <c r="I90" s="96" t="str">
        <f>IF(I$3="","",IF(COUNTIFS(Base!$A$3:$A$5001,I$3,Base!$B$3:$B$5001,$A$77,Base!$O$3:$O$5001,"&lt;&gt;")=0,"",SUMIFS(Base!$O$3:$O$5001,Base!$A$3:$A$5001,I$3,Base!$B$3:$B$5001,$A$77)))</f>
        <v/>
      </c>
      <c r="J90" s="96" t="str">
        <f>IF(J$3="","",IF(COUNTIFS(Base!$A$3:$A$5001,J$3,Base!$B$3:$B$5001,$A$77,Base!$O$3:$O$5001,"&lt;&gt;")=0,"",SUMIFS(Base!$O$3:$O$5001,Base!$A$3:$A$5001,J$3,Base!$B$3:$B$5001,$A$77)))</f>
        <v/>
      </c>
      <c r="K90" s="96" t="str">
        <f>IF(K$3="","",IF(COUNTIFS(Base!$A$3:$A$5001,K$3,Base!$B$3:$B$5001,$A$77,Base!$O$3:$O$5001,"&lt;&gt;")=0,"",SUMIFS(Base!$O$3:$O$5001,Base!$A$3:$A$5001,K$3,Base!$B$3:$B$5001,$A$77)))</f>
        <v/>
      </c>
      <c r="L90" s="96" t="str">
        <f>IF(L$3="","",IF(COUNTIFS(Base!$A$3:$A$5001,L$3,Base!$B$3:$B$5001,$A$77,Base!$O$3:$O$5001,"&lt;&gt;")=0,"",SUMIFS(Base!$O$3:$O$5001,Base!$A$3:$A$5001,L$3,Base!$B$3:$B$5001,$A$77)))</f>
        <v/>
      </c>
      <c r="M90" s="96" t="str">
        <f>IF(M$3="","",IF(COUNTIFS(Base!$A$3:$A$5001,M$3,Base!$B$3:$B$5001,$A$77,Base!$O$3:$O$5001,"&lt;&gt;")=0,"",SUMIFS(Base!$O$3:$O$5001,Base!$A$3:$A$5001,M$3,Base!$B$3:$B$5001,$A$77)))</f>
        <v/>
      </c>
      <c r="N90" s="96" t="str">
        <f>IF(N$3="","",IF(COUNTIFS(Base!$A$3:$A$5001,N$3,Base!$B$3:$B$5001,$A$77,Base!$O$3:$O$5001,"&lt;&gt;")=0,"",SUMIFS(Base!$O$3:$O$5001,Base!$A$3:$A$5001,N$3,Base!$B$3:$B$5001,$A$77)))</f>
        <v/>
      </c>
      <c r="O90" s="96" t="str">
        <f>IF(O$3="","",IF(COUNTIFS(Base!$A$3:$A$5001,O$3,Base!$B$3:$B$5001,$A$77,Base!$O$3:$O$5001,"&lt;&gt;")=0,"",SUMIFS(Base!$O$3:$O$5001,Base!$A$3:$A$5001,O$3,Base!$B$3:$B$5001,$A$77)))</f>
        <v/>
      </c>
      <c r="P90" s="96" t="str">
        <f>IF(P$3="","",IF(COUNTIFS(Base!$A$3:$A$5001,P$3,Base!$B$3:$B$5001,$A$77,Base!$O$3:$O$5001,"&lt;&gt;")=0,"",SUMIFS(Base!$O$3:$O$5001,Base!$A$3:$A$5001,P$3,Base!$B$3:$B$5001,$A$77)))</f>
        <v/>
      </c>
      <c r="Q90" s="96" t="str">
        <f>IF(Q$3="","",IF(COUNTIFS(Base!$A$3:$A$5001,Q$3,Base!$B$3:$B$5001,$A$77,Base!$O$3:$O$5001,"&lt;&gt;")=0,"",SUMIFS(Base!$O$3:$O$5001,Base!$A$3:$A$5001,Q$3,Base!$B$3:$B$5001,$A$77)))</f>
        <v/>
      </c>
      <c r="R90" s="96" t="str">
        <f>IF(R$3="","",IF(COUNTIFS(Base!$A$3:$A$5001,R$3,Base!$B$3:$B$5001,$A$77,Base!$O$3:$O$5001,"&lt;&gt;")=0,"",SUMIFS(Base!$O$3:$O$5001,Base!$A$3:$A$5001,R$3,Base!$B$3:$B$5001,$A$77)))</f>
        <v/>
      </c>
      <c r="S90" s="96" t="str">
        <f>IF(S$3="","",IF(COUNTIFS(Base!$A$3:$A$5001,S$3,Base!$B$3:$B$5001,$A$77,Base!$O$3:$O$5001,"&lt;&gt;")=0,"",SUMIFS(Base!$O$3:$O$5001,Base!$A$3:$A$5001,S$3,Base!$B$3:$B$5001,$A$77)))</f>
        <v/>
      </c>
      <c r="T90" s="96" t="str">
        <f>IF(T$3="","",IF(COUNTIFS(Base!$A$3:$A$5001,T$3,Base!$B$3:$B$5001,$A$77,Base!$O$3:$O$5001,"&lt;&gt;")=0,"",SUMIFS(Base!$O$3:$O$5001,Base!$A$3:$A$5001,T$3,Base!$B$3:$B$5001,$A$77)))</f>
        <v/>
      </c>
      <c r="U90" s="96" t="str">
        <f>IF(U$3="","",IF(COUNTIFS(Base!$A$3:$A$5001,U$3,Base!$B$3:$B$5001,$A$77,Base!$O$3:$O$5001,"&lt;&gt;")=0,"",SUMIFS(Base!$O$3:$O$5001,Base!$A$3:$A$5001,U$3,Base!$B$3:$B$5001,$A$77)))</f>
        <v/>
      </c>
      <c r="V90" s="96" t="str">
        <f>IF(V$3="","",IF(COUNTIFS(Base!$A$3:$A$5001,V$3,Base!$B$3:$B$5001,$A$77,Base!$O$3:$O$5001,"&lt;&gt;")=0,"",SUMIFS(Base!$O$3:$O$5001,Base!$A$3:$A$5001,V$3,Base!$B$3:$B$5001,$A$77)))</f>
        <v/>
      </c>
      <c r="W90" s="96" t="str">
        <f>IF(W$3="","",IF(COUNTIFS(Base!$A$3:$A$5001,W$3,Base!$B$3:$B$5001,$A$77,Base!$O$3:$O$5001,"&lt;&gt;")=0,"",SUMIFS(Base!$O$3:$O$5001,Base!$A$3:$A$5001,W$3,Base!$B$3:$B$5001,$A$77)))</f>
        <v/>
      </c>
      <c r="X90" s="96" t="str">
        <f>IF(X$3="","",IF(COUNTIFS(Base!$A$3:$A$5001,X$3,Base!$B$3:$B$5001,$A$77,Base!$O$3:$O$5001,"&lt;&gt;")=0,"",SUMIFS(Base!$O$3:$O$5001,Base!$A$3:$A$5001,X$3,Base!$B$3:$B$5001,$A$77)))</f>
        <v/>
      </c>
      <c r="Y90" s="96" t="str">
        <f>IF(Y$3="","",IF(COUNTIFS(Base!$A$3:$A$5001,Y$3,Base!$B$3:$B$5001,$A$77,Base!$O$3:$O$5001,"&lt;&gt;")=0,"",SUMIFS(Base!$O$3:$O$5001,Base!$A$3:$A$5001,Y$3,Base!$B$3:$B$5001,$A$77)))</f>
        <v/>
      </c>
      <c r="Z90" s="96" t="str">
        <f>IF(Z$3="","",IF(COUNTIFS(Base!$A$3:$A$5001,Z$3,Base!$B$3:$B$5001,$A$77,Base!$O$3:$O$5001,"&lt;&gt;")=0,"",SUMIFS(Base!$O$3:$O$5001,Base!$A$3:$A$5001,Z$3,Base!$B$3:$B$5001,$A$77)))</f>
        <v/>
      </c>
      <c r="AA90" s="96" t="str">
        <f>IF(AA$3="","",IF(COUNTIFS(Base!$A$3:$A$5001,AA$3,Base!$B$3:$B$5001,$A$77,Base!$O$3:$O$5001,"&lt;&gt;")=0,"",SUMIFS(Base!$O$3:$O$5001,Base!$A$3:$A$5001,AA$3,Base!$B$3:$B$5001,$A$77)))</f>
        <v/>
      </c>
      <c r="AB90" s="96" t="str">
        <f>IF(AB$3="","",IF(COUNTIFS(Base!$A$3:$A$5001,AB$3,Base!$B$3:$B$5001,$A$77,Base!$O$3:$O$5001,"&lt;&gt;")=0,"",SUMIFS(Base!$O$3:$O$5001,Base!$A$3:$A$5001,AB$3,Base!$B$3:$B$5001,$A$77)))</f>
        <v/>
      </c>
      <c r="AC90" s="96" t="str">
        <f>IF(AC$3="","",IF(COUNTIFS(Base!$A$3:$A$5001,AC$3,Base!$B$3:$B$5001,$A$77,Base!$O$3:$O$5001,"&lt;&gt;")=0,"",SUMIFS(Base!$O$3:$O$5001,Base!$A$3:$A$5001,AC$3,Base!$B$3:$B$5001,$A$77)))</f>
        <v/>
      </c>
      <c r="AD90" s="96" t="str">
        <f>IF(AD$3="","",IF(COUNTIFS(Base!$A$3:$A$5001,AD$3,Base!$B$3:$B$5001,$A$77,Base!$O$3:$O$5001,"&lt;&gt;")=0,"",SUMIFS(Base!$O$3:$O$5001,Base!$A$3:$A$5001,AD$3,Base!$B$3:$B$5001,$A$77)))</f>
        <v/>
      </c>
      <c r="AE90" s="96" t="str">
        <f>IF(AE$3="","",IF(COUNTIFS(Base!$A$3:$A$5001,AE$3,Base!$B$3:$B$5001,$A$77,Base!$O$3:$O$5001,"&lt;&gt;")=0,"",SUMIFS(Base!$O$3:$O$5001,Base!$A$3:$A$5001,AE$3,Base!$B$3:$B$5001,$A$77)))</f>
        <v/>
      </c>
      <c r="AF90" s="96" t="str">
        <f>IF(AF$3="","",IF(COUNTIFS(Base!$A$3:$A$5001,AF$3,Base!$B$3:$B$5001,$A$77,Base!$O$3:$O$5001,"&lt;&gt;")=0,"",SUMIFS(Base!$O$3:$O$5001,Base!$A$3:$A$5001,AF$3,Base!$B$3:$B$5001,$A$77)))</f>
        <v/>
      </c>
      <c r="AG90" s="96" t="str">
        <f>IF(AG$3="","",IF(COUNTIFS(Base!$A$3:$A$5001,AG$3,Base!$B$3:$B$5001,$A$77,Base!$O$3:$O$5001,"&lt;&gt;")=0,"",SUMIFS(Base!$O$3:$O$5001,Base!$A$3:$A$5001,AG$3,Base!$B$3:$B$5001,$A$77)))</f>
        <v/>
      </c>
      <c r="AH90" s="96" t="str">
        <f>IF(AH$3="","",IF(COUNTIFS(Base!$A$3:$A$5001,AH$3,Base!$B$3:$B$5001,$A$77,Base!$O$3:$O$5001,"&lt;&gt;")=0,"",SUMIFS(Base!$O$3:$O$5001,Base!$A$3:$A$5001,AH$3,Base!$B$3:$B$5001,$A$77)))</f>
        <v/>
      </c>
      <c r="AI90" s="96" t="str">
        <f>IF(AI$3="","",IF(COUNTIFS(Base!$A$3:$A$5001,AI$3,Base!$B$3:$B$5001,$A$77,Base!$O$3:$O$5001,"&lt;&gt;")=0,"",SUMIFS(Base!$O$3:$O$5001,Base!$A$3:$A$5001,AI$3,Base!$B$3:$B$5001,$A$77)))</f>
        <v/>
      </c>
      <c r="AJ90" s="97" t="str">
        <f>IF(AJ$3="","",IF(COUNTIFS(Base!$A$3:$A$5001,AJ$3,Base!$B$3:$B$5001,$A$77,Base!$O$3:$O$5001,"&lt;&gt;")=0,"",SUMIFS(Base!$O$3:$O$5001,Base!$A$3:$A$5001,AJ$3,Base!$B$3:$B$5001,$A$77)))</f>
        <v/>
      </c>
      <c r="AK90" s="98" t="str">
        <f>IF(COUNT(F90:AJ90)=0,"",SUM(F90:AJ90))</f>
        <v/>
      </c>
    </row>
    <row r="91" ht="15.75" customHeight="1">
      <c r="A91" s="118"/>
      <c r="B91" s="115"/>
      <c r="C91" s="92" t="inlineStr">
        <is>
          <t xml:space="preserve">Folga</t>
        </is>
      </c>
      <c r="D91" s="93"/>
      <c r="E91" s="94"/>
      <c r="F91" s="95" t="str">
        <f>IF(F$3="","",IF(COUNTIFS(Base!$A$3:$A$5001,F$3,Base!$B$3:$B$5001,$A$77,Base!$P$3:$P$5001,"&lt;&gt;")=0,"",SUMIFS(Base!$P$3:$P$5001,Base!$A$3:$A$5001,F$3,Base!$B$3:$B$5001,$A$77)))</f>
        <v/>
      </c>
      <c r="G91" s="96" t="str">
        <f>IF(G$3="","",IF(COUNTIFS(Base!$A$3:$A$5001,G$3,Base!$B$3:$B$5001,$A$77,Base!$P$3:$P$5001,"&lt;&gt;")=0,"",SUMIFS(Base!$P$3:$P$5001,Base!$A$3:$A$5001,G$3,Base!$B$3:$B$5001,$A$77)))</f>
        <v/>
      </c>
      <c r="H91" s="96" t="str">
        <f>IF(H$3="","",IF(COUNTIFS(Base!$A$3:$A$5001,H$3,Base!$B$3:$B$5001,$A$77,Base!$P$3:$P$5001,"&lt;&gt;")=0,"",SUMIFS(Base!$P$3:$P$5001,Base!$A$3:$A$5001,H$3,Base!$B$3:$B$5001,$A$77)))</f>
        <v/>
      </c>
      <c r="I91" s="96" t="str">
        <f>IF(I$3="","",IF(COUNTIFS(Base!$A$3:$A$5001,I$3,Base!$B$3:$B$5001,$A$77,Base!$P$3:$P$5001,"&lt;&gt;")=0,"",SUMIFS(Base!$P$3:$P$5001,Base!$A$3:$A$5001,I$3,Base!$B$3:$B$5001,$A$77)))</f>
        <v/>
      </c>
      <c r="J91" s="96" t="str">
        <f>IF(J$3="","",IF(COUNTIFS(Base!$A$3:$A$5001,J$3,Base!$B$3:$B$5001,$A$77,Base!$P$3:$P$5001,"&lt;&gt;")=0,"",SUMIFS(Base!$P$3:$P$5001,Base!$A$3:$A$5001,J$3,Base!$B$3:$B$5001,$A$77)))</f>
        <v/>
      </c>
      <c r="K91" s="96" t="str">
        <f>IF(K$3="","",IF(COUNTIFS(Base!$A$3:$A$5001,K$3,Base!$B$3:$B$5001,$A$77,Base!$P$3:$P$5001,"&lt;&gt;")=0,"",SUMIFS(Base!$P$3:$P$5001,Base!$A$3:$A$5001,K$3,Base!$B$3:$B$5001,$A$77)))</f>
        <v/>
      </c>
      <c r="L91" s="96" t="str">
        <f>IF(L$3="","",IF(COUNTIFS(Base!$A$3:$A$5001,L$3,Base!$B$3:$B$5001,$A$77,Base!$P$3:$P$5001,"&lt;&gt;")=0,"",SUMIFS(Base!$P$3:$P$5001,Base!$A$3:$A$5001,L$3,Base!$B$3:$B$5001,$A$77)))</f>
        <v/>
      </c>
      <c r="M91" s="96" t="str">
        <f>IF(M$3="","",IF(COUNTIFS(Base!$A$3:$A$5001,M$3,Base!$B$3:$B$5001,$A$77,Base!$P$3:$P$5001,"&lt;&gt;")=0,"",SUMIFS(Base!$P$3:$P$5001,Base!$A$3:$A$5001,M$3,Base!$B$3:$B$5001,$A$77)))</f>
        <v/>
      </c>
      <c r="N91" s="96" t="str">
        <f>IF(N$3="","",IF(COUNTIFS(Base!$A$3:$A$5001,N$3,Base!$B$3:$B$5001,$A$77,Base!$P$3:$P$5001,"&lt;&gt;")=0,"",SUMIFS(Base!$P$3:$P$5001,Base!$A$3:$A$5001,N$3,Base!$B$3:$B$5001,$A$77)))</f>
        <v/>
      </c>
      <c r="O91" s="96" t="str">
        <f>IF(O$3="","",IF(COUNTIFS(Base!$A$3:$A$5001,O$3,Base!$B$3:$B$5001,$A$77,Base!$P$3:$P$5001,"&lt;&gt;")=0,"",SUMIFS(Base!$P$3:$P$5001,Base!$A$3:$A$5001,O$3,Base!$B$3:$B$5001,$A$77)))</f>
        <v/>
      </c>
      <c r="P91" s="96" t="str">
        <f>IF(P$3="","",IF(COUNTIFS(Base!$A$3:$A$5001,P$3,Base!$B$3:$B$5001,$A$77,Base!$P$3:$P$5001,"&lt;&gt;")=0,"",SUMIFS(Base!$P$3:$P$5001,Base!$A$3:$A$5001,P$3,Base!$B$3:$B$5001,$A$77)))</f>
        <v/>
      </c>
      <c r="Q91" s="96" t="str">
        <f>IF(Q$3="","",IF(COUNTIFS(Base!$A$3:$A$5001,Q$3,Base!$B$3:$B$5001,$A$77,Base!$P$3:$P$5001,"&lt;&gt;")=0,"",SUMIFS(Base!$P$3:$P$5001,Base!$A$3:$A$5001,Q$3,Base!$B$3:$B$5001,$A$77)))</f>
        <v/>
      </c>
      <c r="R91" s="96" t="str">
        <f>IF(R$3="","",IF(COUNTIFS(Base!$A$3:$A$5001,R$3,Base!$B$3:$B$5001,$A$77,Base!$P$3:$P$5001,"&lt;&gt;")=0,"",SUMIFS(Base!$P$3:$P$5001,Base!$A$3:$A$5001,R$3,Base!$B$3:$B$5001,$A$77)))</f>
        <v/>
      </c>
      <c r="S91" s="96" t="str">
        <f>IF(S$3="","",IF(COUNTIFS(Base!$A$3:$A$5001,S$3,Base!$B$3:$B$5001,$A$77,Base!$P$3:$P$5001,"&lt;&gt;")=0,"",SUMIFS(Base!$P$3:$P$5001,Base!$A$3:$A$5001,S$3,Base!$B$3:$B$5001,$A$77)))</f>
        <v/>
      </c>
      <c r="T91" s="96" t="str">
        <f>IF(T$3="","",IF(COUNTIFS(Base!$A$3:$A$5001,T$3,Base!$B$3:$B$5001,$A$77,Base!$P$3:$P$5001,"&lt;&gt;")=0,"",SUMIFS(Base!$P$3:$P$5001,Base!$A$3:$A$5001,T$3,Base!$B$3:$B$5001,$A$77)))</f>
        <v/>
      </c>
      <c r="U91" s="96" t="str">
        <f>IF(U$3="","",IF(COUNTIFS(Base!$A$3:$A$5001,U$3,Base!$B$3:$B$5001,$A$77,Base!$P$3:$P$5001,"&lt;&gt;")=0,"",SUMIFS(Base!$P$3:$P$5001,Base!$A$3:$A$5001,U$3,Base!$B$3:$B$5001,$A$77)))</f>
        <v/>
      </c>
      <c r="V91" s="96" t="str">
        <f>IF(V$3="","",IF(COUNTIFS(Base!$A$3:$A$5001,V$3,Base!$B$3:$B$5001,$A$77,Base!$P$3:$P$5001,"&lt;&gt;")=0,"",SUMIFS(Base!$P$3:$P$5001,Base!$A$3:$A$5001,V$3,Base!$B$3:$B$5001,$A$77)))</f>
        <v/>
      </c>
      <c r="W91" s="96" t="str">
        <f>IF(W$3="","",IF(COUNTIFS(Base!$A$3:$A$5001,W$3,Base!$B$3:$B$5001,$A$77,Base!$P$3:$P$5001,"&lt;&gt;")=0,"",SUMIFS(Base!$P$3:$P$5001,Base!$A$3:$A$5001,W$3,Base!$B$3:$B$5001,$A$77)))</f>
        <v/>
      </c>
      <c r="X91" s="96" t="str">
        <f>IF(X$3="","",IF(COUNTIFS(Base!$A$3:$A$5001,X$3,Base!$B$3:$B$5001,$A$77,Base!$P$3:$P$5001,"&lt;&gt;")=0,"",SUMIFS(Base!$P$3:$P$5001,Base!$A$3:$A$5001,X$3,Base!$B$3:$B$5001,$A$77)))</f>
        <v/>
      </c>
      <c r="Y91" s="96" t="str">
        <f>IF(Y$3="","",IF(COUNTIFS(Base!$A$3:$A$5001,Y$3,Base!$B$3:$B$5001,$A$77,Base!$P$3:$P$5001,"&lt;&gt;")=0,"",SUMIFS(Base!$P$3:$P$5001,Base!$A$3:$A$5001,Y$3,Base!$B$3:$B$5001,$A$77)))</f>
        <v/>
      </c>
      <c r="Z91" s="96" t="str">
        <f>IF(Z$3="","",IF(COUNTIFS(Base!$A$3:$A$5001,Z$3,Base!$B$3:$B$5001,$A$77,Base!$P$3:$P$5001,"&lt;&gt;")=0,"",SUMIFS(Base!$P$3:$P$5001,Base!$A$3:$A$5001,Z$3,Base!$B$3:$B$5001,$A$77)))</f>
        <v/>
      </c>
      <c r="AA91" s="96" t="str">
        <f>IF(AA$3="","",IF(COUNTIFS(Base!$A$3:$A$5001,AA$3,Base!$B$3:$B$5001,$A$77,Base!$P$3:$P$5001,"&lt;&gt;")=0,"",SUMIFS(Base!$P$3:$P$5001,Base!$A$3:$A$5001,AA$3,Base!$B$3:$B$5001,$A$77)))</f>
        <v/>
      </c>
      <c r="AB91" s="96" t="str">
        <f>IF(AB$3="","",IF(COUNTIFS(Base!$A$3:$A$5001,AB$3,Base!$B$3:$B$5001,$A$77,Base!$P$3:$P$5001,"&lt;&gt;")=0,"",SUMIFS(Base!$P$3:$P$5001,Base!$A$3:$A$5001,AB$3,Base!$B$3:$B$5001,$A$77)))</f>
        <v/>
      </c>
      <c r="AC91" s="96" t="str">
        <f>IF(AC$3="","",IF(COUNTIFS(Base!$A$3:$A$5001,AC$3,Base!$B$3:$B$5001,$A$77,Base!$P$3:$P$5001,"&lt;&gt;")=0,"",SUMIFS(Base!$P$3:$P$5001,Base!$A$3:$A$5001,AC$3,Base!$B$3:$B$5001,$A$77)))</f>
        <v/>
      </c>
      <c r="AD91" s="96" t="str">
        <f>IF(AD$3="","",IF(COUNTIFS(Base!$A$3:$A$5001,AD$3,Base!$B$3:$B$5001,$A$77,Base!$P$3:$P$5001,"&lt;&gt;")=0,"",SUMIFS(Base!$P$3:$P$5001,Base!$A$3:$A$5001,AD$3,Base!$B$3:$B$5001,$A$77)))</f>
        <v/>
      </c>
      <c r="AE91" s="96" t="str">
        <f>IF(AE$3="","",IF(COUNTIFS(Base!$A$3:$A$5001,AE$3,Base!$B$3:$B$5001,$A$77,Base!$P$3:$P$5001,"&lt;&gt;")=0,"",SUMIFS(Base!$P$3:$P$5001,Base!$A$3:$A$5001,AE$3,Base!$B$3:$B$5001,$A$77)))</f>
        <v/>
      </c>
      <c r="AF91" s="96" t="str">
        <f>IF(AF$3="","",IF(COUNTIFS(Base!$A$3:$A$5001,AF$3,Base!$B$3:$B$5001,$A$77,Base!$P$3:$P$5001,"&lt;&gt;")=0,"",SUMIFS(Base!$P$3:$P$5001,Base!$A$3:$A$5001,AF$3,Base!$B$3:$B$5001,$A$77)))</f>
        <v/>
      </c>
      <c r="AG91" s="96" t="str">
        <f>IF(AG$3="","",IF(COUNTIFS(Base!$A$3:$A$5001,AG$3,Base!$B$3:$B$5001,$A$77,Base!$P$3:$P$5001,"&lt;&gt;")=0,"",SUMIFS(Base!$P$3:$P$5001,Base!$A$3:$A$5001,AG$3,Base!$B$3:$B$5001,$A$77)))</f>
        <v/>
      </c>
      <c r="AH91" s="96" t="str">
        <f>IF(AH$3="","",IF(COUNTIFS(Base!$A$3:$A$5001,AH$3,Base!$B$3:$B$5001,$A$77,Base!$P$3:$P$5001,"&lt;&gt;")=0,"",SUMIFS(Base!$P$3:$P$5001,Base!$A$3:$A$5001,AH$3,Base!$B$3:$B$5001,$A$77)))</f>
        <v/>
      </c>
      <c r="AI91" s="96" t="str">
        <f>IF(AI$3="","",IF(COUNTIFS(Base!$A$3:$A$5001,AI$3,Base!$B$3:$B$5001,$A$77,Base!$P$3:$P$5001,"&lt;&gt;")=0,"",SUMIFS(Base!$P$3:$P$5001,Base!$A$3:$A$5001,AI$3,Base!$B$3:$B$5001,$A$77)))</f>
        <v/>
      </c>
      <c r="AJ91" s="97" t="str">
        <f>IF(AJ$3="","",IF(COUNTIFS(Base!$A$3:$A$5001,AJ$3,Base!$B$3:$B$5001,$A$77,Base!$P$3:$P$5001,"&lt;&gt;")=0,"",SUMIFS(Base!$P$3:$P$5001,Base!$A$3:$A$5001,AJ$3,Base!$B$3:$B$5001,$A$77)))</f>
        <v/>
      </c>
      <c r="AK91" s="98" t="str">
        <f>IF(COUNT(F91:AJ91)=0,"",SUM(F91:AJ91))</f>
        <v/>
      </c>
    </row>
    <row r="92" ht="15.75" customHeight="1">
      <c r="A92" s="118"/>
      <c r="B92" s="115"/>
      <c r="C92" s="92" t="inlineStr">
        <is>
          <t xml:space="preserve">Férias</t>
        </is>
      </c>
      <c r="D92" s="93"/>
      <c r="E92" s="94"/>
      <c r="F92" s="95" t="str">
        <f>IF(F$3="","",IF(COUNTIFS(Base!$A$3:$A$5001,F$3,Base!$B$3:$B$5001,$A$77,Base!$Q$3:$Q$5001,"&lt;&gt;")=0,"",SUMIFS(Base!$Q$3:$Q$5001,Base!$A$3:$A$5001,F$3,Base!$B$3:$B$5001,$A$77)))</f>
        <v/>
      </c>
      <c r="G92" s="96" t="str">
        <f>IF(G$3="","",IF(COUNTIFS(Base!$A$3:$A$5001,G$3,Base!$B$3:$B$5001,$A$77,Base!$Q$3:$Q$5001,"&lt;&gt;")=0,"",SUMIFS(Base!$Q$3:$Q$5001,Base!$A$3:$A$5001,G$3,Base!$B$3:$B$5001,$A$77)))</f>
        <v/>
      </c>
      <c r="H92" s="96" t="str">
        <f>IF(H$3="","",IF(COUNTIFS(Base!$A$3:$A$5001,H$3,Base!$B$3:$B$5001,$A$77,Base!$Q$3:$Q$5001,"&lt;&gt;")=0,"",SUMIFS(Base!$Q$3:$Q$5001,Base!$A$3:$A$5001,H$3,Base!$B$3:$B$5001,$A$77)))</f>
        <v/>
      </c>
      <c r="I92" s="96" t="str">
        <f>IF(I$3="","",IF(COUNTIFS(Base!$A$3:$A$5001,I$3,Base!$B$3:$B$5001,$A$77,Base!$Q$3:$Q$5001,"&lt;&gt;")=0,"",SUMIFS(Base!$Q$3:$Q$5001,Base!$A$3:$A$5001,I$3,Base!$B$3:$B$5001,$A$77)))</f>
        <v/>
      </c>
      <c r="J92" s="96" t="str">
        <f>IF(J$3="","",IF(COUNTIFS(Base!$A$3:$A$5001,J$3,Base!$B$3:$B$5001,$A$77,Base!$Q$3:$Q$5001,"&lt;&gt;")=0,"",SUMIFS(Base!$Q$3:$Q$5001,Base!$A$3:$A$5001,J$3,Base!$B$3:$B$5001,$A$77)))</f>
        <v/>
      </c>
      <c r="K92" s="96" t="str">
        <f>IF(K$3="","",IF(COUNTIFS(Base!$A$3:$A$5001,K$3,Base!$B$3:$B$5001,$A$77,Base!$Q$3:$Q$5001,"&lt;&gt;")=0,"",SUMIFS(Base!$Q$3:$Q$5001,Base!$A$3:$A$5001,K$3,Base!$B$3:$B$5001,$A$77)))</f>
        <v/>
      </c>
      <c r="L92" s="96" t="str">
        <f>IF(L$3="","",IF(COUNTIFS(Base!$A$3:$A$5001,L$3,Base!$B$3:$B$5001,$A$77,Base!$Q$3:$Q$5001,"&lt;&gt;")=0,"",SUMIFS(Base!$Q$3:$Q$5001,Base!$A$3:$A$5001,L$3,Base!$B$3:$B$5001,$A$77)))</f>
        <v/>
      </c>
      <c r="M92" s="96" t="str">
        <f>IF(M$3="","",IF(COUNTIFS(Base!$A$3:$A$5001,M$3,Base!$B$3:$B$5001,$A$77,Base!$Q$3:$Q$5001,"&lt;&gt;")=0,"",SUMIFS(Base!$Q$3:$Q$5001,Base!$A$3:$A$5001,M$3,Base!$B$3:$B$5001,$A$77)))</f>
        <v/>
      </c>
      <c r="N92" s="96" t="str">
        <f>IF(N$3="","",IF(COUNTIFS(Base!$A$3:$A$5001,N$3,Base!$B$3:$B$5001,$A$77,Base!$Q$3:$Q$5001,"&lt;&gt;")=0,"",SUMIFS(Base!$Q$3:$Q$5001,Base!$A$3:$A$5001,N$3,Base!$B$3:$B$5001,$A$77)))</f>
        <v/>
      </c>
      <c r="O92" s="96" t="str">
        <f>IF(O$3="","",IF(COUNTIFS(Base!$A$3:$A$5001,O$3,Base!$B$3:$B$5001,$A$77,Base!$Q$3:$Q$5001,"&lt;&gt;")=0,"",SUMIFS(Base!$Q$3:$Q$5001,Base!$A$3:$A$5001,O$3,Base!$B$3:$B$5001,$A$77)))</f>
        <v/>
      </c>
      <c r="P92" s="96" t="str">
        <f>IF(P$3="","",IF(COUNTIFS(Base!$A$3:$A$5001,P$3,Base!$B$3:$B$5001,$A$77,Base!$Q$3:$Q$5001,"&lt;&gt;")=0,"",SUMIFS(Base!$Q$3:$Q$5001,Base!$A$3:$A$5001,P$3,Base!$B$3:$B$5001,$A$77)))</f>
        <v/>
      </c>
      <c r="Q92" s="96" t="str">
        <f>IF(Q$3="","",IF(COUNTIFS(Base!$A$3:$A$5001,Q$3,Base!$B$3:$B$5001,$A$77,Base!$Q$3:$Q$5001,"&lt;&gt;")=0,"",SUMIFS(Base!$Q$3:$Q$5001,Base!$A$3:$A$5001,Q$3,Base!$B$3:$B$5001,$A$77)))</f>
        <v/>
      </c>
      <c r="R92" s="96" t="str">
        <f>IF(R$3="","",IF(COUNTIFS(Base!$A$3:$A$5001,R$3,Base!$B$3:$B$5001,$A$77,Base!$Q$3:$Q$5001,"&lt;&gt;")=0,"",SUMIFS(Base!$Q$3:$Q$5001,Base!$A$3:$A$5001,R$3,Base!$B$3:$B$5001,$A$77)))</f>
        <v/>
      </c>
      <c r="S92" s="96" t="str">
        <f>IF(S$3="","",IF(COUNTIFS(Base!$A$3:$A$5001,S$3,Base!$B$3:$B$5001,$A$77,Base!$Q$3:$Q$5001,"&lt;&gt;")=0,"",SUMIFS(Base!$Q$3:$Q$5001,Base!$A$3:$A$5001,S$3,Base!$B$3:$B$5001,$A$77)))</f>
        <v/>
      </c>
      <c r="T92" s="96" t="str">
        <f>IF(T$3="","",IF(COUNTIFS(Base!$A$3:$A$5001,T$3,Base!$B$3:$B$5001,$A$77,Base!$Q$3:$Q$5001,"&lt;&gt;")=0,"",SUMIFS(Base!$Q$3:$Q$5001,Base!$A$3:$A$5001,T$3,Base!$B$3:$B$5001,$A$77)))</f>
        <v/>
      </c>
      <c r="U92" s="96" t="str">
        <f>IF(U$3="","",IF(COUNTIFS(Base!$A$3:$A$5001,U$3,Base!$B$3:$B$5001,$A$77,Base!$Q$3:$Q$5001,"&lt;&gt;")=0,"",SUMIFS(Base!$Q$3:$Q$5001,Base!$A$3:$A$5001,U$3,Base!$B$3:$B$5001,$A$77)))</f>
        <v/>
      </c>
      <c r="V92" s="96" t="str">
        <f>IF(V$3="","",IF(COUNTIFS(Base!$A$3:$A$5001,V$3,Base!$B$3:$B$5001,$A$77,Base!$Q$3:$Q$5001,"&lt;&gt;")=0,"",SUMIFS(Base!$Q$3:$Q$5001,Base!$A$3:$A$5001,V$3,Base!$B$3:$B$5001,$A$77)))</f>
        <v/>
      </c>
      <c r="W92" s="96" t="str">
        <f>IF(W$3="","",IF(COUNTIFS(Base!$A$3:$A$5001,W$3,Base!$B$3:$B$5001,$A$77,Base!$Q$3:$Q$5001,"&lt;&gt;")=0,"",SUMIFS(Base!$Q$3:$Q$5001,Base!$A$3:$A$5001,W$3,Base!$B$3:$B$5001,$A$77)))</f>
        <v/>
      </c>
      <c r="X92" s="96" t="str">
        <f>IF(X$3="","",IF(COUNTIFS(Base!$A$3:$A$5001,X$3,Base!$B$3:$B$5001,$A$77,Base!$Q$3:$Q$5001,"&lt;&gt;")=0,"",SUMIFS(Base!$Q$3:$Q$5001,Base!$A$3:$A$5001,X$3,Base!$B$3:$B$5001,$A$77)))</f>
        <v/>
      </c>
      <c r="Y92" s="96" t="str">
        <f>IF(Y$3="","",IF(COUNTIFS(Base!$A$3:$A$5001,Y$3,Base!$B$3:$B$5001,$A$77,Base!$Q$3:$Q$5001,"&lt;&gt;")=0,"",SUMIFS(Base!$Q$3:$Q$5001,Base!$A$3:$A$5001,Y$3,Base!$B$3:$B$5001,$A$77)))</f>
        <v/>
      </c>
      <c r="Z92" s="96" t="str">
        <f>IF(Z$3="","",IF(COUNTIFS(Base!$A$3:$A$5001,Z$3,Base!$B$3:$B$5001,$A$77,Base!$Q$3:$Q$5001,"&lt;&gt;")=0,"",SUMIFS(Base!$Q$3:$Q$5001,Base!$A$3:$A$5001,Z$3,Base!$B$3:$B$5001,$A$77)))</f>
        <v/>
      </c>
      <c r="AA92" s="96" t="str">
        <f>IF(AA$3="","",IF(COUNTIFS(Base!$A$3:$A$5001,AA$3,Base!$B$3:$B$5001,$A$77,Base!$Q$3:$Q$5001,"&lt;&gt;")=0,"",SUMIFS(Base!$Q$3:$Q$5001,Base!$A$3:$A$5001,AA$3,Base!$B$3:$B$5001,$A$77)))</f>
        <v/>
      </c>
      <c r="AB92" s="96" t="str">
        <f>IF(AB$3="","",IF(COUNTIFS(Base!$A$3:$A$5001,AB$3,Base!$B$3:$B$5001,$A$77,Base!$Q$3:$Q$5001,"&lt;&gt;")=0,"",SUMIFS(Base!$Q$3:$Q$5001,Base!$A$3:$A$5001,AB$3,Base!$B$3:$B$5001,$A$77)))</f>
        <v/>
      </c>
      <c r="AC92" s="96" t="str">
        <f>IF(AC$3="","",IF(COUNTIFS(Base!$A$3:$A$5001,AC$3,Base!$B$3:$B$5001,$A$77,Base!$Q$3:$Q$5001,"&lt;&gt;")=0,"",SUMIFS(Base!$Q$3:$Q$5001,Base!$A$3:$A$5001,AC$3,Base!$B$3:$B$5001,$A$77)))</f>
        <v/>
      </c>
      <c r="AD92" s="96" t="str">
        <f>IF(AD$3="","",IF(COUNTIFS(Base!$A$3:$A$5001,AD$3,Base!$B$3:$B$5001,$A$77,Base!$Q$3:$Q$5001,"&lt;&gt;")=0,"",SUMIFS(Base!$Q$3:$Q$5001,Base!$A$3:$A$5001,AD$3,Base!$B$3:$B$5001,$A$77)))</f>
        <v/>
      </c>
      <c r="AE92" s="96" t="str">
        <f>IF(AE$3="","",IF(COUNTIFS(Base!$A$3:$A$5001,AE$3,Base!$B$3:$B$5001,$A$77,Base!$Q$3:$Q$5001,"&lt;&gt;")=0,"",SUMIFS(Base!$Q$3:$Q$5001,Base!$A$3:$A$5001,AE$3,Base!$B$3:$B$5001,$A$77)))</f>
        <v/>
      </c>
      <c r="AF92" s="96" t="str">
        <f>IF(AF$3="","",IF(COUNTIFS(Base!$A$3:$A$5001,AF$3,Base!$B$3:$B$5001,$A$77,Base!$Q$3:$Q$5001,"&lt;&gt;")=0,"",SUMIFS(Base!$Q$3:$Q$5001,Base!$A$3:$A$5001,AF$3,Base!$B$3:$B$5001,$A$77)))</f>
        <v/>
      </c>
      <c r="AG92" s="96" t="str">
        <f>IF(AG$3="","",IF(COUNTIFS(Base!$A$3:$A$5001,AG$3,Base!$B$3:$B$5001,$A$77,Base!$Q$3:$Q$5001,"&lt;&gt;")=0,"",SUMIFS(Base!$Q$3:$Q$5001,Base!$A$3:$A$5001,AG$3,Base!$B$3:$B$5001,$A$77)))</f>
        <v/>
      </c>
      <c r="AH92" s="96" t="str">
        <f>IF(AH$3="","",IF(COUNTIFS(Base!$A$3:$A$5001,AH$3,Base!$B$3:$B$5001,$A$77,Base!$Q$3:$Q$5001,"&lt;&gt;")=0,"",SUMIFS(Base!$Q$3:$Q$5001,Base!$A$3:$A$5001,AH$3,Base!$B$3:$B$5001,$A$77)))</f>
        <v/>
      </c>
      <c r="AI92" s="96" t="str">
        <f>IF(AI$3="","",IF(COUNTIFS(Base!$A$3:$A$5001,AI$3,Base!$B$3:$B$5001,$A$77,Base!$Q$3:$Q$5001,"&lt;&gt;")=0,"",SUMIFS(Base!$Q$3:$Q$5001,Base!$A$3:$A$5001,AI$3,Base!$B$3:$B$5001,$A$77)))</f>
        <v/>
      </c>
      <c r="AJ92" s="97" t="str">
        <f>IF(AJ$3="","",IF(COUNTIFS(Base!$A$3:$A$5001,AJ$3,Base!$B$3:$B$5001,$A$77,Base!$Q$3:$Q$5001,"&lt;&gt;")=0,"",SUMIFS(Base!$Q$3:$Q$5001,Base!$A$3:$A$5001,AJ$3,Base!$B$3:$B$5001,$A$77)))</f>
        <v/>
      </c>
      <c r="AK92" s="98" t="str">
        <f>IF(COUNT(F92:AJ92)=0,"",SUM(F92:AJ92))</f>
        <v/>
      </c>
    </row>
    <row r="93" ht="15.75" customHeight="1">
      <c r="A93" s="119"/>
      <c r="B93" s="116"/>
      <c r="C93" s="99" t="inlineStr">
        <is>
          <t xml:space="preserve">Desligamento</t>
        </is>
      </c>
      <c r="D93" s="100"/>
      <c r="E93" s="101"/>
      <c r="F93" s="102" t="str">
        <f>IF(F$3="","",IF(COUNTIFS(Base!$A$3:$A$5001,F$3,Base!$B$3:$B$5001,$A$77,Base!$R$3:$R$5001,"&lt;&gt;")=0,"",SUMIFS(Base!$R$3:$R$5001,Base!$A$3:$A$5001,F$3,Base!$B$3:$B$5001,$A$77)))</f>
        <v/>
      </c>
      <c r="G93" s="103" t="str">
        <f>IF(G$3="","",IF(COUNTIFS(Base!$A$3:$A$5001,G$3,Base!$B$3:$B$5001,$A$77,Base!$R$3:$R$5001,"&lt;&gt;")=0,"",SUMIFS(Base!$R$3:$R$5001,Base!$A$3:$A$5001,G$3,Base!$B$3:$B$5001,$A$77)))</f>
        <v/>
      </c>
      <c r="H93" s="103" t="str">
        <f>IF(H$3="","",IF(COUNTIFS(Base!$A$3:$A$5001,H$3,Base!$B$3:$B$5001,$A$77,Base!$R$3:$R$5001,"&lt;&gt;")=0,"",SUMIFS(Base!$R$3:$R$5001,Base!$A$3:$A$5001,H$3,Base!$B$3:$B$5001,$A$77)))</f>
        <v/>
      </c>
      <c r="I93" s="103" t="str">
        <f>IF(I$3="","",IF(COUNTIFS(Base!$A$3:$A$5001,I$3,Base!$B$3:$B$5001,$A$77,Base!$R$3:$R$5001,"&lt;&gt;")=0,"",SUMIFS(Base!$R$3:$R$5001,Base!$A$3:$A$5001,I$3,Base!$B$3:$B$5001,$A$77)))</f>
        <v/>
      </c>
      <c r="J93" s="103" t="str">
        <f>IF(J$3="","",IF(COUNTIFS(Base!$A$3:$A$5001,J$3,Base!$B$3:$B$5001,$A$77,Base!$R$3:$R$5001,"&lt;&gt;")=0,"",SUMIFS(Base!$R$3:$R$5001,Base!$A$3:$A$5001,J$3,Base!$B$3:$B$5001,$A$77)))</f>
        <v/>
      </c>
      <c r="K93" s="103" t="str">
        <f>IF(K$3="","",IF(COUNTIFS(Base!$A$3:$A$5001,K$3,Base!$B$3:$B$5001,$A$77,Base!$R$3:$R$5001,"&lt;&gt;")=0,"",SUMIFS(Base!$R$3:$R$5001,Base!$A$3:$A$5001,K$3,Base!$B$3:$B$5001,$A$77)))</f>
        <v/>
      </c>
      <c r="L93" s="103" t="str">
        <f>IF(L$3="","",IF(COUNTIFS(Base!$A$3:$A$5001,L$3,Base!$B$3:$B$5001,$A$77,Base!$R$3:$R$5001,"&lt;&gt;")=0,"",SUMIFS(Base!$R$3:$R$5001,Base!$A$3:$A$5001,L$3,Base!$B$3:$B$5001,$A$77)))</f>
        <v/>
      </c>
      <c r="M93" s="103" t="str">
        <f>IF(M$3="","",IF(COUNTIFS(Base!$A$3:$A$5001,M$3,Base!$B$3:$B$5001,$A$77,Base!$R$3:$R$5001,"&lt;&gt;")=0,"",SUMIFS(Base!$R$3:$R$5001,Base!$A$3:$A$5001,M$3,Base!$B$3:$B$5001,$A$77)))</f>
        <v/>
      </c>
      <c r="N93" s="103" t="str">
        <f>IF(N$3="","",IF(COUNTIFS(Base!$A$3:$A$5001,N$3,Base!$B$3:$B$5001,$A$77,Base!$R$3:$R$5001,"&lt;&gt;")=0,"",SUMIFS(Base!$R$3:$R$5001,Base!$A$3:$A$5001,N$3,Base!$B$3:$B$5001,$A$77)))</f>
        <v/>
      </c>
      <c r="O93" s="103" t="str">
        <f>IF(O$3="","",IF(COUNTIFS(Base!$A$3:$A$5001,O$3,Base!$B$3:$B$5001,$A$77,Base!$R$3:$R$5001,"&lt;&gt;")=0,"",SUMIFS(Base!$R$3:$R$5001,Base!$A$3:$A$5001,O$3,Base!$B$3:$B$5001,$A$77)))</f>
        <v/>
      </c>
      <c r="P93" s="103" t="str">
        <f>IF(P$3="","",IF(COUNTIFS(Base!$A$3:$A$5001,P$3,Base!$B$3:$B$5001,$A$77,Base!$R$3:$R$5001,"&lt;&gt;")=0,"",SUMIFS(Base!$R$3:$R$5001,Base!$A$3:$A$5001,P$3,Base!$B$3:$B$5001,$A$77)))</f>
        <v/>
      </c>
      <c r="Q93" s="103" t="str">
        <f>IF(Q$3="","",IF(COUNTIFS(Base!$A$3:$A$5001,Q$3,Base!$B$3:$B$5001,$A$77,Base!$R$3:$R$5001,"&lt;&gt;")=0,"",SUMIFS(Base!$R$3:$R$5001,Base!$A$3:$A$5001,Q$3,Base!$B$3:$B$5001,$A$77)))</f>
        <v/>
      </c>
      <c r="R93" s="103" t="str">
        <f>IF(R$3="","",IF(COUNTIFS(Base!$A$3:$A$5001,R$3,Base!$B$3:$B$5001,$A$77,Base!$R$3:$R$5001,"&lt;&gt;")=0,"",SUMIFS(Base!$R$3:$R$5001,Base!$A$3:$A$5001,R$3,Base!$B$3:$B$5001,$A$77)))</f>
        <v/>
      </c>
      <c r="S93" s="103" t="str">
        <f>IF(S$3="","",IF(COUNTIFS(Base!$A$3:$A$5001,S$3,Base!$B$3:$B$5001,$A$77,Base!$R$3:$R$5001,"&lt;&gt;")=0,"",SUMIFS(Base!$R$3:$R$5001,Base!$A$3:$A$5001,S$3,Base!$B$3:$B$5001,$A$77)))</f>
        <v/>
      </c>
      <c r="T93" s="103" t="str">
        <f>IF(T$3="","",IF(COUNTIFS(Base!$A$3:$A$5001,T$3,Base!$B$3:$B$5001,$A$77,Base!$R$3:$R$5001,"&lt;&gt;")=0,"",SUMIFS(Base!$R$3:$R$5001,Base!$A$3:$A$5001,T$3,Base!$B$3:$B$5001,$A$77)))</f>
        <v/>
      </c>
      <c r="U93" s="103" t="str">
        <f>IF(U$3="","",IF(COUNTIFS(Base!$A$3:$A$5001,U$3,Base!$B$3:$B$5001,$A$77,Base!$R$3:$R$5001,"&lt;&gt;")=0,"",SUMIFS(Base!$R$3:$R$5001,Base!$A$3:$A$5001,U$3,Base!$B$3:$B$5001,$A$77)))</f>
        <v/>
      </c>
      <c r="V93" s="103" t="str">
        <f>IF(V$3="","",IF(COUNTIFS(Base!$A$3:$A$5001,V$3,Base!$B$3:$B$5001,$A$77,Base!$R$3:$R$5001,"&lt;&gt;")=0,"",SUMIFS(Base!$R$3:$R$5001,Base!$A$3:$A$5001,V$3,Base!$B$3:$B$5001,$A$77)))</f>
        <v/>
      </c>
      <c r="W93" s="103" t="str">
        <f>IF(W$3="","",IF(COUNTIFS(Base!$A$3:$A$5001,W$3,Base!$B$3:$B$5001,$A$77,Base!$R$3:$R$5001,"&lt;&gt;")=0,"",SUMIFS(Base!$R$3:$R$5001,Base!$A$3:$A$5001,W$3,Base!$B$3:$B$5001,$A$77)))</f>
        <v/>
      </c>
      <c r="X93" s="103" t="str">
        <f>IF(X$3="","",IF(COUNTIFS(Base!$A$3:$A$5001,X$3,Base!$B$3:$B$5001,$A$77,Base!$R$3:$R$5001,"&lt;&gt;")=0,"",SUMIFS(Base!$R$3:$R$5001,Base!$A$3:$A$5001,X$3,Base!$B$3:$B$5001,$A$77)))</f>
        <v/>
      </c>
      <c r="Y93" s="103" t="str">
        <f>IF(Y$3="","",IF(COUNTIFS(Base!$A$3:$A$5001,Y$3,Base!$B$3:$B$5001,$A$77,Base!$R$3:$R$5001,"&lt;&gt;")=0,"",SUMIFS(Base!$R$3:$R$5001,Base!$A$3:$A$5001,Y$3,Base!$B$3:$B$5001,$A$77)))</f>
        <v/>
      </c>
      <c r="Z93" s="103" t="str">
        <f>IF(Z$3="","",IF(COUNTIFS(Base!$A$3:$A$5001,Z$3,Base!$B$3:$B$5001,$A$77,Base!$R$3:$R$5001,"&lt;&gt;")=0,"",SUMIFS(Base!$R$3:$R$5001,Base!$A$3:$A$5001,Z$3,Base!$B$3:$B$5001,$A$77)))</f>
        <v/>
      </c>
      <c r="AA93" s="103" t="str">
        <f>IF(AA$3="","",IF(COUNTIFS(Base!$A$3:$A$5001,AA$3,Base!$B$3:$B$5001,$A$77,Base!$R$3:$R$5001,"&lt;&gt;")=0,"",SUMIFS(Base!$R$3:$R$5001,Base!$A$3:$A$5001,AA$3,Base!$B$3:$B$5001,$A$77)))</f>
        <v/>
      </c>
      <c r="AB93" s="103" t="str">
        <f>IF(AB$3="","",IF(COUNTIFS(Base!$A$3:$A$5001,AB$3,Base!$B$3:$B$5001,$A$77,Base!$R$3:$R$5001,"&lt;&gt;")=0,"",SUMIFS(Base!$R$3:$R$5001,Base!$A$3:$A$5001,AB$3,Base!$B$3:$B$5001,$A$77)))</f>
        <v/>
      </c>
      <c r="AC93" s="103" t="str">
        <f>IF(AC$3="","",IF(COUNTIFS(Base!$A$3:$A$5001,AC$3,Base!$B$3:$B$5001,$A$77,Base!$R$3:$R$5001,"&lt;&gt;")=0,"",SUMIFS(Base!$R$3:$R$5001,Base!$A$3:$A$5001,AC$3,Base!$B$3:$B$5001,$A$77)))</f>
        <v/>
      </c>
      <c r="AD93" s="103" t="str">
        <f>IF(AD$3="","",IF(COUNTIFS(Base!$A$3:$A$5001,AD$3,Base!$B$3:$B$5001,$A$77,Base!$R$3:$R$5001,"&lt;&gt;")=0,"",SUMIFS(Base!$R$3:$R$5001,Base!$A$3:$A$5001,AD$3,Base!$B$3:$B$5001,$A$77)))</f>
        <v/>
      </c>
      <c r="AE93" s="103" t="str">
        <f>IF(AE$3="","",IF(COUNTIFS(Base!$A$3:$A$5001,AE$3,Base!$B$3:$B$5001,$A$77,Base!$R$3:$R$5001,"&lt;&gt;")=0,"",SUMIFS(Base!$R$3:$R$5001,Base!$A$3:$A$5001,AE$3,Base!$B$3:$B$5001,$A$77)))</f>
        <v/>
      </c>
      <c r="AF93" s="103" t="str">
        <f>IF(AF$3="","",IF(COUNTIFS(Base!$A$3:$A$5001,AF$3,Base!$B$3:$B$5001,$A$77,Base!$R$3:$R$5001,"&lt;&gt;")=0,"",SUMIFS(Base!$R$3:$R$5001,Base!$A$3:$A$5001,AF$3,Base!$B$3:$B$5001,$A$77)))</f>
        <v/>
      </c>
      <c r="AG93" s="103" t="str">
        <f>IF(AG$3="","",IF(COUNTIFS(Base!$A$3:$A$5001,AG$3,Base!$B$3:$B$5001,$A$77,Base!$R$3:$R$5001,"&lt;&gt;")=0,"",SUMIFS(Base!$R$3:$R$5001,Base!$A$3:$A$5001,AG$3,Base!$B$3:$B$5001,$A$77)))</f>
        <v/>
      </c>
      <c r="AH93" s="103" t="str">
        <f>IF(AH$3="","",IF(COUNTIFS(Base!$A$3:$A$5001,AH$3,Base!$B$3:$B$5001,$A$77,Base!$R$3:$R$5001,"&lt;&gt;")=0,"",SUMIFS(Base!$R$3:$R$5001,Base!$A$3:$A$5001,AH$3,Base!$B$3:$B$5001,$A$77)))</f>
        <v/>
      </c>
      <c r="AI93" s="103" t="str">
        <f>IF(AI$3="","",IF(COUNTIFS(Base!$A$3:$A$5001,AI$3,Base!$B$3:$B$5001,$A$77,Base!$R$3:$R$5001,"&lt;&gt;")=0,"",SUMIFS(Base!$R$3:$R$5001,Base!$A$3:$A$5001,AI$3,Base!$B$3:$B$5001,$A$77)))</f>
        <v/>
      </c>
      <c r="AJ93" s="104" t="str">
        <f>IF(AJ$3="","",IF(COUNTIFS(Base!$A$3:$A$5001,AJ$3,Base!$B$3:$B$5001,$A$77,Base!$R$3:$R$5001,"&lt;&gt;")=0,"",SUMIFS(Base!$R$3:$R$5001,Base!$A$3:$A$5001,AJ$3,Base!$B$3:$B$5001,$A$77)))</f>
        <v/>
      </c>
      <c r="AK93" s="100" t="str">
        <f>IF(COUNT(F93:AJ93)=0,"",SUM(F93:AJ93))</f>
        <v/>
      </c>
    </row>
    <row r="95">
      <c r="A95" s="120" t="inlineStr">
        <is>
          <t xml:space="preserve">Mês / ano: filtro na célula vermelha do canto superior direito. Célula vazia = sem registro. MÊS: soma nos fluxos e NC; último dado em ocupação e efetivo. Taxa = ocupadas ÷ disponíveis (contrato). Destaques: incidente &gt; 0; ocupação ≥ 70% (atenção) e ≥ 90% (crítico). META: preenchida a partir de meta.metas do Power Automate, quando houver.</t>
        </is>
      </c>
    </row>
  </sheetData>
  <mergeCells count="37">
    <mergeCell ref="F1:AD1"/>
    <mergeCell ref="AE1:AK1"/>
    <mergeCell ref="A2:A3"/>
    <mergeCell ref="B2:C3"/>
    <mergeCell ref="D2:D3"/>
    <mergeCell ref="F2:AJ2"/>
    <mergeCell ref="AK2:AK3"/>
    <mergeCell ref="B5:B7"/>
    <mergeCell ref="B8:B10"/>
    <mergeCell ref="B11:B13"/>
    <mergeCell ref="B14:B16"/>
    <mergeCell ref="B17:B21"/>
    <mergeCell ref="A5:A21"/>
    <mergeCell ref="B23:B25"/>
    <mergeCell ref="B26:B28"/>
    <mergeCell ref="B29:B31"/>
    <mergeCell ref="B32:B34"/>
    <mergeCell ref="B35:B39"/>
    <mergeCell ref="A23:A39"/>
    <mergeCell ref="B41:B43"/>
    <mergeCell ref="B44:B46"/>
    <mergeCell ref="B47:B49"/>
    <mergeCell ref="B50:B52"/>
    <mergeCell ref="B53:B57"/>
    <mergeCell ref="A41:A57"/>
    <mergeCell ref="B59:B61"/>
    <mergeCell ref="B62:B64"/>
    <mergeCell ref="B65:B67"/>
    <mergeCell ref="B68:B70"/>
    <mergeCell ref="B71:B75"/>
    <mergeCell ref="A59:A75"/>
    <mergeCell ref="B77:B79"/>
    <mergeCell ref="B80:B82"/>
    <mergeCell ref="B83:B85"/>
    <mergeCell ref="B86:B88"/>
    <mergeCell ref="B89:B93"/>
    <mergeCell ref="A77:A93"/>
  </mergeCells>
  <conditionalFormatting sqref="F3:AJ3">
    <cfRule type="expression" dxfId="9" priority="30">
      <formula>AND(ISNUMBER(F3),WEEKDAY(F3,2)&gt;5)</formula>
    </cfRule>
  </conditionalFormatting>
  <conditionalFormatting sqref="F11:AJ11">
    <cfRule type="expression" dxfId="0" priority="1">
      <formula>AND(ISNUMBER(F11),F11&gt;0)</formula>
    </cfRule>
  </conditionalFormatting>
  <conditionalFormatting sqref="F16:AJ16 AK16">
    <cfRule type="expression" dxfId="1" priority="2" stopIfTrue="1">
      <formula>AND(ISNUMBER(F16),F16&gt;=0.9)</formula>
    </cfRule>
  </conditionalFormatting>
  <conditionalFormatting sqref="F16:AJ16 AK16">
    <cfRule type="expression" dxfId="2" priority="3">
      <formula>AND(ISNUMBER(F16),F16&gt;=0.7)</formula>
    </cfRule>
  </conditionalFormatting>
  <conditionalFormatting sqref="F29:AJ29">
    <cfRule type="expression" dxfId="0" priority="4">
      <formula>AND(ISNUMBER(F29),F29&gt;0)</formula>
    </cfRule>
  </conditionalFormatting>
  <conditionalFormatting sqref="F34:AJ34 AK34">
    <cfRule type="expression" dxfId="1" priority="5" stopIfTrue="1">
      <formula>AND(ISNUMBER(F34),F34&gt;=0.9)</formula>
    </cfRule>
  </conditionalFormatting>
  <conditionalFormatting sqref="F34:AJ34 AK34">
    <cfRule type="expression" dxfId="2" priority="6">
      <formula>AND(ISNUMBER(F34),F34&gt;=0.7)</formula>
    </cfRule>
  </conditionalFormatting>
  <conditionalFormatting sqref="F47:AJ47">
    <cfRule type="expression" dxfId="0" priority="7">
      <formula>AND(ISNUMBER(F47),F47&gt;0)</formula>
    </cfRule>
  </conditionalFormatting>
  <conditionalFormatting sqref="F52:AJ52 AK52">
    <cfRule type="expression" dxfId="1" priority="8" stopIfTrue="1">
      <formula>AND(ISNUMBER(F52),F52&gt;=0.9)</formula>
    </cfRule>
  </conditionalFormatting>
  <conditionalFormatting sqref="F52:AJ52 AK52">
    <cfRule type="expression" dxfId="2" priority="9">
      <formula>AND(ISNUMBER(F52),F52&gt;=0.7)</formula>
    </cfRule>
  </conditionalFormatting>
  <conditionalFormatting sqref="F65:AJ65">
    <cfRule type="expression" dxfId="0" priority="10">
      <formula>AND(ISNUMBER(F65),F65&gt;0)</formula>
    </cfRule>
  </conditionalFormatting>
  <conditionalFormatting sqref="F70:AJ70 AK70">
    <cfRule type="expression" dxfId="1" priority="11" stopIfTrue="1">
      <formula>AND(ISNUMBER(F70),F70&gt;=0.9)</formula>
    </cfRule>
  </conditionalFormatting>
  <conditionalFormatting sqref="F70:AJ70 AK70">
    <cfRule type="expression" dxfId="2" priority="12">
      <formula>AND(ISNUMBER(F70),F70&gt;=0.7)</formula>
    </cfRule>
  </conditionalFormatting>
  <conditionalFormatting sqref="F83:AJ83">
    <cfRule type="expression" dxfId="0" priority="13">
      <formula>AND(ISNUMBER(F83),F83&gt;0)</formula>
    </cfRule>
  </conditionalFormatting>
  <conditionalFormatting sqref="F88:AJ88 AK88">
    <cfRule type="expression" dxfId="1" priority="14" stopIfTrue="1">
      <formula>AND(ISNUMBER(F88),F88&gt;=0.9)</formula>
    </cfRule>
  </conditionalFormatting>
  <conditionalFormatting sqref="F88:AJ88 AK88">
    <cfRule type="expression" dxfId="2" priority="15">
      <formula>AND(ISNUMBER(F88),F88&gt;=0.7)</formula>
    </cfRule>
  </conditionalFormatting>
  <dataValidations count="1">
    <dataValidation type="list" allowBlank="0" showInputMessage="1" showErrorMessage="1" errorTitle="Mês / ano" error="Escolha um mês da lista." promptTitle="Mês / ano" prompt="Escolha o mês / ano desta aba. Os dados vêm da aba Base." sqref="AE1">
      <formula1>calculos!$AI$12:$AI$35</formula1>
    </dataValidation>
  </dataValidations>
  <pageMargins left="0.25" right="0.25" top="0.4" bottom="0.4" header="0.2" footer="0.2"/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AA45"/>
  <sheetViews>
    <sheetView showGridLines="0" zoomScale="85" zoomScaleNormal="85" workbookViewId="0">
      <pane ySplit="3" topLeftCell="A4" activePane="bottomLeft" state="frozen"/>
      <selection pane="bottomLeft" activeCell="A4" sqref="A4"/>
    </sheetView>
  </sheetViews>
  <sheetFormatPr defaultRowHeight="15"/>
  <cols>
    <col min="1" max="1" width="2" customWidth="1"/>
    <col min="2" max="2" width="10" customWidth="1"/>
    <col min="3" max="3" width="10" customWidth="1"/>
    <col min="4" max="4" width="10" customWidth="1"/>
    <col min="5" max="5" width="10" customWidth="1"/>
    <col min="6" max="6" width="2.5" customWidth="1"/>
    <col min="7" max="7" width="10" customWidth="1"/>
    <col min="8" max="8" width="10" customWidth="1"/>
    <col min="9" max="9" width="10" customWidth="1"/>
    <col min="10" max="10" width="10" customWidth="1"/>
    <col min="11" max="11" width="2.5" customWidth="1"/>
    <col min="12" max="12" width="10" customWidth="1"/>
    <col min="13" max="13" width="10" customWidth="1"/>
    <col min="14" max="14" width="10" customWidth="1"/>
    <col min="15" max="15" width="10" customWidth="1"/>
    <col min="16" max="16" width="2.5" customWidth="1"/>
    <col min="17" max="17" width="10" customWidth="1"/>
    <col min="18" max="18" width="10" customWidth="1"/>
    <col min="19" max="19" width="10" customWidth="1"/>
    <col min="20" max="20" width="10" customWidth="1"/>
    <col min="21" max="21" width="2.5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2" customWidth="1"/>
  </cols>
  <sheetData>
    <row r="1" ht="34.5" customHeight="1">
      <c r="A1" s="1"/>
      <c r="B1" s="1"/>
      <c r="C1" s="1"/>
      <c r="D1" s="1"/>
      <c r="E1" s="2" t="inlineStr">
        <is>
          <t xml:space="preserve">QUADRO DE INDICADORES · DETALHE DO MÊS</t>
        </is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 t="inlineStr">
        <is>
          <t xml:space="preserve">SETEMBRO · 2026</t>
        </is>
      </c>
      <c r="W1" s="3"/>
      <c r="X1" s="3"/>
      <c r="Y1" s="3"/>
      <c r="Z1" s="3"/>
      <c r="AA1" s="3"/>
    </row>
    <row r="3" ht="24" customHeight="1">
      <c r="B3" s="175" t="str">
        <f>"Cliente: "&amp;calculos_quadro!$B$2&amp;"     ·     para trocar o cliente, use o filtro da aba Indicadores"</f>
        <v>Cliente: Todos     ·     para trocar o cliente, use o filtro da aba Indicadores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Q3" s="176" t="str">
        <f>IF(calculos_quadro!$B$9=0,"Sem dados na Base para o mês escolhido","Dados até "&amp;TEXT(calculos_quadro!$C$7+calculos_quadro!$B$9-1,"dd/mm")&amp;"/"&amp;YEAR(calculos_quadro!$C$7)&amp;" · comparação: "&amp;calculos_quadro!$B$8&amp;", dias 1 a "&amp;calculos_quadro!$B$9)</f>
        <v>Dados até 29/09/2026 · comparação: Agosto/2026, dias 1 a 29</v>
      </c>
      <c r="R3" s="176"/>
      <c r="S3" s="176"/>
      <c r="T3" s="176"/>
      <c r="U3" s="176"/>
      <c r="V3" s="176"/>
      <c r="W3" s="176"/>
      <c r="X3" s="176"/>
      <c r="Y3" s="176"/>
      <c r="Z3" s="176"/>
    </row>
    <row r="5" ht="20" customHeight="1">
      <c r="B5" s="177" t="inlineStr">
        <is>
          <t xml:space="preserve">QUADRO DE INDICADORES · cliente e mês selecionados</t>
        </is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</row>
    <row r="6" ht="28" customHeight="1">
      <c r="B6" s="178" t="inlineStr">
        <is>
          <t xml:space="preserve">GRUPO</t>
        </is>
      </c>
      <c r="C6" s="179"/>
      <c r="D6" s="178" t="inlineStr">
        <is>
          <t xml:space="preserve">INDICADOR</t>
        </is>
      </c>
      <c r="E6" s="180"/>
      <c r="F6" s="180"/>
      <c r="G6" s="179"/>
      <c r="H6" s="181" t="inlineStr">
        <is>
          <t xml:space="preserve">META</t>
        </is>
      </c>
      <c r="I6" s="182"/>
      <c r="J6" s="181" t="inlineStr">
        <is>
          <t xml:space="preserve">REALIZADO</t>
        </is>
      </c>
      <c r="K6" s="183"/>
      <c r="L6" s="182"/>
      <c r="M6" s="181" t="inlineStr">
        <is>
          <t xml:space="preserve">MÉDIA / DIA</t>
        </is>
      </c>
      <c r="N6" s="182"/>
      <c r="O6" s="181" t="inlineStr">
        <is>
          <t xml:space="preserve">MÁXIMO NO DIA</t>
        </is>
      </c>
      <c r="P6" s="183"/>
      <c r="Q6" s="182"/>
      <c r="R6" s="181" t="inlineStr">
        <is>
          <t xml:space="preserve">MÊS ANTERIOR</t>
        </is>
      </c>
      <c r="S6" s="182"/>
      <c r="T6" s="181" t="inlineStr">
        <is>
          <t xml:space="preserve">VARIAÇÃO</t>
        </is>
      </c>
      <c r="U6" s="183"/>
      <c r="V6" s="182"/>
      <c r="W6" s="181" t="inlineStr">
        <is>
          <t xml:space="preserve">% DA META</t>
        </is>
      </c>
      <c r="X6" s="182"/>
      <c r="Y6" s="181" t="inlineStr">
        <is>
          <t xml:space="preserve">STATUS</t>
        </is>
      </c>
      <c r="Z6" s="182"/>
    </row>
    <row r="7" ht="16" customHeight="1">
      <c r="B7" s="394" t="inlineStr">
        <is>
          <t xml:space="preserve">IN</t>
        </is>
      </c>
      <c r="C7" s="21"/>
      <c r="D7" s="185" t="inlineStr">
        <is>
          <t xml:space="preserve">Veículos Recebidos</t>
        </is>
      </c>
      <c r="E7" s="184"/>
      <c r="F7" s="184"/>
      <c r="G7" s="184"/>
      <c r="H7" s="187" t="str">
        <f>calculos_quadro!$C$48</f>
        <v/>
      </c>
      <c r="I7" s="186"/>
      <c r="J7" s="189">
        <f>calculos_quadro!$C$43</f>
        <v>458</v>
      </c>
      <c r="K7" s="188"/>
      <c r="L7" s="188"/>
      <c r="M7" s="191">
        <f>calculos_quadro!$C$44</f>
        <v>17.6153846153846</v>
      </c>
      <c r="N7" s="190"/>
      <c r="O7" s="193">
        <f>calculos_quadro!$C$45</f>
        <v>35</v>
      </c>
      <c r="P7" s="192"/>
      <c r="Q7" s="192"/>
      <c r="R7" s="193">
        <f>calculos_quadro!$C$46</f>
        <v>468</v>
      </c>
      <c r="S7" s="192"/>
      <c r="T7" s="195">
        <f>calculos_quadro!$C$47</f>
        <v>-0.0213675213675214</v>
      </c>
      <c r="U7" s="194"/>
      <c r="V7" s="194"/>
      <c r="W7" s="197" t="str">
        <f>calculos_quadro!$C$49</f>
        <v/>
      </c>
      <c r="X7" s="196"/>
      <c r="Y7" s="199" t="str">
        <f>calculos_quadro!$C$50</f>
        <v/>
      </c>
      <c r="Z7" s="200"/>
    </row>
    <row r="8" ht="16" customHeight="1">
      <c r="B8" s="395"/>
      <c r="C8" s="28"/>
      <c r="D8" s="202" t="inlineStr">
        <is>
          <t xml:space="preserve">Pallets Movimentados</t>
        </is>
      </c>
      <c r="E8" s="201"/>
      <c r="F8" s="201"/>
      <c r="G8" s="201"/>
      <c r="H8" s="204" t="str">
        <f>calculos_quadro!$D$48</f>
        <v/>
      </c>
      <c r="I8" s="203"/>
      <c r="J8" s="206">
        <f>calculos_quadro!$D$43</f>
        <v>10957</v>
      </c>
      <c r="K8" s="205"/>
      <c r="L8" s="205"/>
      <c r="M8" s="208">
        <f>calculos_quadro!$D$44</f>
        <v>421.423076923077</v>
      </c>
      <c r="N8" s="207"/>
      <c r="O8" s="210">
        <f>calculos_quadro!$D$45</f>
        <v>872</v>
      </c>
      <c r="P8" s="209"/>
      <c r="Q8" s="209"/>
      <c r="R8" s="210">
        <f>calculos_quadro!$D$46</f>
        <v>11234</v>
      </c>
      <c r="S8" s="209"/>
      <c r="T8" s="212">
        <f>calculos_quadro!$D$47</f>
        <v>-0.0246572903685242</v>
      </c>
      <c r="U8" s="211"/>
      <c r="V8" s="211"/>
      <c r="W8" s="214" t="str">
        <f>calculos_quadro!$D$49</f>
        <v/>
      </c>
      <c r="X8" s="213"/>
      <c r="Y8" s="216" t="str">
        <f>calculos_quadro!$D$50</f>
        <v/>
      </c>
      <c r="Z8" s="217"/>
    </row>
    <row r="9" ht="16" customHeight="1">
      <c r="B9" s="396"/>
      <c r="C9" s="35"/>
      <c r="D9" s="219" t="inlineStr">
        <is>
          <t xml:space="preserve">Toneladas Movimentadas</t>
        </is>
      </c>
      <c r="E9" s="218"/>
      <c r="F9" s="218"/>
      <c r="G9" s="218"/>
      <c r="H9" s="221" t="str">
        <f>calculos_quadro!$E$48</f>
        <v/>
      </c>
      <c r="I9" s="220"/>
      <c r="J9" s="223">
        <f>calculos_quadro!$E$43</f>
        <v>7373.34</v>
      </c>
      <c r="K9" s="222"/>
      <c r="L9" s="222"/>
      <c r="M9" s="225">
        <f>calculos_quadro!$E$44</f>
        <v>283.59</v>
      </c>
      <c r="N9" s="224"/>
      <c r="O9" s="225">
        <f>calculos_quadro!$E$45</f>
        <v>604.59</v>
      </c>
      <c r="P9" s="224"/>
      <c r="Q9" s="224"/>
      <c r="R9" s="225">
        <f>calculos_quadro!$E$46</f>
        <v>7575.5</v>
      </c>
      <c r="S9" s="224"/>
      <c r="T9" s="227">
        <f>calculos_quadro!$E$47</f>
        <v>-0.026686027324929</v>
      </c>
      <c r="U9" s="226"/>
      <c r="V9" s="226"/>
      <c r="W9" s="229" t="str">
        <f>calculos_quadro!$E$49</f>
        <v/>
      </c>
      <c r="X9" s="228"/>
      <c r="Y9" s="231" t="str">
        <f>calculos_quadro!$E$50</f>
        <v/>
      </c>
      <c r="Z9" s="232"/>
    </row>
    <row r="10" ht="16" customHeight="1">
      <c r="B10" s="397" t="inlineStr">
        <is>
          <t xml:space="preserve">OUT</t>
        </is>
      </c>
      <c r="C10" s="41"/>
      <c r="D10" s="234" t="inlineStr">
        <is>
          <t xml:space="preserve">Veículos Expedidos</t>
        </is>
      </c>
      <c r="E10" s="233"/>
      <c r="F10" s="233"/>
      <c r="G10" s="233"/>
      <c r="H10" s="236" t="str">
        <f>calculos_quadro!$F$48</f>
        <v/>
      </c>
      <c r="I10" s="235"/>
      <c r="J10" s="238">
        <f>calculos_quadro!$F$43</f>
        <v>702</v>
      </c>
      <c r="K10" s="237"/>
      <c r="L10" s="237"/>
      <c r="M10" s="240">
        <f>calculos_quadro!$F$44</f>
        <v>25.0714285714286</v>
      </c>
      <c r="N10" s="239"/>
      <c r="O10" s="242">
        <f>calculos_quadro!$F$45</f>
        <v>54</v>
      </c>
      <c r="P10" s="241"/>
      <c r="Q10" s="241"/>
      <c r="R10" s="242">
        <f>calculos_quadro!$F$46</f>
        <v>698</v>
      </c>
      <c r="S10" s="241"/>
      <c r="T10" s="244">
        <f>calculos_quadro!$F$47</f>
        <v>0.00573065902578795</v>
      </c>
      <c r="U10" s="243"/>
      <c r="V10" s="243"/>
      <c r="W10" s="246" t="str">
        <f>calculos_quadro!$F$49</f>
        <v/>
      </c>
      <c r="X10" s="245"/>
      <c r="Y10" s="248" t="str">
        <f>calculos_quadro!$F$50</f>
        <v/>
      </c>
      <c r="Z10" s="249"/>
    </row>
    <row r="11" ht="16" customHeight="1">
      <c r="B11" s="398"/>
      <c r="C11" s="48"/>
      <c r="D11" s="251" t="inlineStr">
        <is>
          <t xml:space="preserve">Pallets Movimentados</t>
        </is>
      </c>
      <c r="E11" s="250"/>
      <c r="F11" s="250"/>
      <c r="G11" s="250"/>
      <c r="H11" s="253" t="str">
        <f>calculos_quadro!$G$48</f>
        <v/>
      </c>
      <c r="I11" s="252"/>
      <c r="J11" s="255">
        <f>calculos_quadro!$G$43</f>
        <v>12636</v>
      </c>
      <c r="K11" s="254"/>
      <c r="L11" s="254"/>
      <c r="M11" s="257">
        <f>calculos_quadro!$G$44</f>
        <v>451.285714285714</v>
      </c>
      <c r="N11" s="256"/>
      <c r="O11" s="259">
        <f>calculos_quadro!$G$45</f>
        <v>972</v>
      </c>
      <c r="P11" s="258"/>
      <c r="Q11" s="258"/>
      <c r="R11" s="259">
        <f>calculos_quadro!$G$46</f>
        <v>12564</v>
      </c>
      <c r="S11" s="258"/>
      <c r="T11" s="261">
        <f>calculos_quadro!$G$47</f>
        <v>0.00573065902578795</v>
      </c>
      <c r="U11" s="260"/>
      <c r="V11" s="260"/>
      <c r="W11" s="263" t="str">
        <f>calculos_quadro!$G$49</f>
        <v/>
      </c>
      <c r="X11" s="262"/>
      <c r="Y11" s="265" t="str">
        <f>calculos_quadro!$G$50</f>
        <v/>
      </c>
      <c r="Z11" s="266"/>
    </row>
    <row r="12" ht="16" customHeight="1">
      <c r="B12" s="399"/>
      <c r="C12" s="55"/>
      <c r="D12" s="268" t="inlineStr">
        <is>
          <t xml:space="preserve">Toneladas Movimentadas</t>
        </is>
      </c>
      <c r="E12" s="267"/>
      <c r="F12" s="267"/>
      <c r="G12" s="267"/>
      <c r="H12" s="270" t="str">
        <f>calculos_quadro!$H$48</f>
        <v/>
      </c>
      <c r="I12" s="269"/>
      <c r="J12" s="272">
        <f>calculos_quadro!$H$43</f>
        <v>8393.51</v>
      </c>
      <c r="K12" s="271"/>
      <c r="L12" s="271"/>
      <c r="M12" s="274">
        <f>calculos_quadro!$H$44</f>
        <v>299.768214285714</v>
      </c>
      <c r="N12" s="273"/>
      <c r="O12" s="274">
        <f>calculos_quadro!$H$45</f>
        <v>746.88</v>
      </c>
      <c r="P12" s="273"/>
      <c r="Q12" s="273"/>
      <c r="R12" s="274">
        <f>calculos_quadro!$H$46</f>
        <v>8685.76</v>
      </c>
      <c r="S12" s="273"/>
      <c r="T12" s="276">
        <f>calculos_quadro!$H$47</f>
        <v>-0.0336470268577536</v>
      </c>
      <c r="U12" s="275"/>
      <c r="V12" s="275"/>
      <c r="W12" s="278" t="str">
        <f>calculos_quadro!$H$49</f>
        <v/>
      </c>
      <c r="X12" s="277"/>
      <c r="Y12" s="280" t="str">
        <f>calculos_quadro!$H$50</f>
        <v/>
      </c>
      <c r="Z12" s="281"/>
    </row>
    <row r="13" ht="16" customHeight="1">
      <c r="B13" s="400" t="inlineStr">
        <is>
          <t xml:space="preserve">NC</t>
        </is>
      </c>
      <c r="C13" s="61"/>
      <c r="D13" s="283" t="inlineStr">
        <is>
          <t xml:space="preserve">Incidentes</t>
        </is>
      </c>
      <c r="E13" s="282"/>
      <c r="F13" s="282"/>
      <c r="G13" s="282"/>
      <c r="H13" s="285" t="str">
        <f>calculos_quadro!$I$48</f>
        <v/>
      </c>
      <c r="I13" s="284"/>
      <c r="J13" s="287">
        <f>calculos_quadro!$I$43</f>
        <v>11</v>
      </c>
      <c r="K13" s="286"/>
      <c r="L13" s="286"/>
      <c r="M13" s="289">
        <f>calculos_quadro!$I$44</f>
        <v>1.22222222222222</v>
      </c>
      <c r="N13" s="288"/>
      <c r="O13" s="291">
        <f>calculos_quadro!$I$45</f>
        <v>3</v>
      </c>
      <c r="P13" s="290"/>
      <c r="Q13" s="290"/>
      <c r="R13" s="291">
        <f>calculos_quadro!$I$46</f>
        <v>4</v>
      </c>
      <c r="S13" s="290"/>
      <c r="T13" s="293">
        <f>calculos_quadro!$I$47</f>
        <v>1.75</v>
      </c>
      <c r="U13" s="292"/>
      <c r="V13" s="292"/>
      <c r="W13" s="295" t="str">
        <f>calculos_quadro!$I$49</f>
        <v/>
      </c>
      <c r="X13" s="294"/>
      <c r="Y13" s="297" t="str">
        <f>calculos_quadro!$I$50</f>
        <v/>
      </c>
      <c r="Z13" s="298"/>
    </row>
    <row r="14" ht="16" customHeight="1">
      <c r="B14" s="401"/>
      <c r="C14" s="68"/>
      <c r="D14" s="300" t="inlineStr">
        <is>
          <t xml:space="preserve">No show</t>
        </is>
      </c>
      <c r="E14" s="299"/>
      <c r="F14" s="299"/>
      <c r="G14" s="299"/>
      <c r="H14" s="302" t="str">
        <f>calculos_quadro!$J$48</f>
        <v/>
      </c>
      <c r="I14" s="301"/>
      <c r="J14" s="304">
        <f>calculos_quadro!$J$43</f>
        <v>0</v>
      </c>
      <c r="K14" s="303"/>
      <c r="L14" s="303"/>
      <c r="M14" s="306" t="str">
        <f>calculos_quadro!$J$44</f>
        <v/>
      </c>
      <c r="N14" s="305"/>
      <c r="O14" s="308">
        <f>calculos_quadro!$J$45</f>
        <v>0</v>
      </c>
      <c r="P14" s="307"/>
      <c r="Q14" s="307"/>
      <c r="R14" s="308">
        <f>calculos_quadro!$J$46</f>
        <v>0</v>
      </c>
      <c r="S14" s="307"/>
      <c r="T14" s="310" t="str">
        <f>calculos_quadro!$J$47</f>
        <v/>
      </c>
      <c r="U14" s="309"/>
      <c r="V14" s="309"/>
      <c r="W14" s="312" t="str">
        <f>calculos_quadro!$J$49</f>
        <v/>
      </c>
      <c r="X14" s="311"/>
      <c r="Y14" s="314" t="str">
        <f>calculos_quadro!$J$50</f>
        <v/>
      </c>
      <c r="Z14" s="315"/>
    </row>
    <row r="15" ht="16" customHeight="1">
      <c r="B15" s="402"/>
      <c r="C15" s="75"/>
      <c r="D15" s="317" t="inlineStr">
        <is>
          <t xml:space="preserve">Backlog</t>
        </is>
      </c>
      <c r="E15" s="316"/>
      <c r="F15" s="316"/>
      <c r="G15" s="316"/>
      <c r="H15" s="319" t="str">
        <f>calculos_quadro!$K$48</f>
        <v/>
      </c>
      <c r="I15" s="318"/>
      <c r="J15" s="321" t="str">
        <f>calculos_quadro!$K$43</f>
        <v/>
      </c>
      <c r="K15" s="320"/>
      <c r="L15" s="320"/>
      <c r="M15" s="323" t="str">
        <f>calculos_quadro!$K$44</f>
        <v/>
      </c>
      <c r="N15" s="322"/>
      <c r="O15" s="325" t="str">
        <f>calculos_quadro!$K$45</f>
        <v/>
      </c>
      <c r="P15" s="324"/>
      <c r="Q15" s="324"/>
      <c r="R15" s="325" t="str">
        <f>calculos_quadro!$K$46</f>
        <v/>
      </c>
      <c r="S15" s="324"/>
      <c r="T15" s="327" t="str">
        <f>calculos_quadro!$K$47</f>
        <v/>
      </c>
      <c r="U15" s="326"/>
      <c r="V15" s="326"/>
      <c r="W15" s="329" t="str">
        <f>calculos_quadro!$K$49</f>
        <v/>
      </c>
      <c r="X15" s="328"/>
      <c r="Y15" s="331" t="str">
        <f>calculos_quadro!$K$50</f>
        <v/>
      </c>
      <c r="Z15" s="332"/>
    </row>
    <row r="16" ht="16" customHeight="1">
      <c r="B16" s="394" t="inlineStr">
        <is>
          <t xml:space="preserve">OCUPAÇÃO (P.P)</t>
        </is>
      </c>
      <c r="C16" s="21"/>
      <c r="D16" s="185" t="inlineStr">
        <is>
          <t xml:space="preserve">Posições Disponíveis</t>
        </is>
      </c>
      <c r="E16" s="184"/>
      <c r="F16" s="184"/>
      <c r="G16" s="184"/>
      <c r="H16" s="187" t="str">
        <f>calculos_quadro!$L$48</f>
        <v/>
      </c>
      <c r="I16" s="186"/>
      <c r="J16" s="334">
        <f>calculos_quadro!$L$43</f>
        <v>5872</v>
      </c>
      <c r="K16" s="333"/>
      <c r="L16" s="333"/>
      <c r="M16" s="191"/>
      <c r="N16" s="190"/>
      <c r="O16" s="336">
        <f>calculos_quadro!$L$45</f>
        <v>5872</v>
      </c>
      <c r="P16" s="335"/>
      <c r="Q16" s="335"/>
      <c r="R16" s="336">
        <f>calculos_quadro!$L$46</f>
        <v>5872</v>
      </c>
      <c r="S16" s="335"/>
      <c r="T16" s="195">
        <f>calculos_quadro!$L$47</f>
        <v>0</v>
      </c>
      <c r="U16" s="194"/>
      <c r="V16" s="194"/>
      <c r="W16" s="197" t="str">
        <f>calculos_quadro!$L$49</f>
        <v/>
      </c>
      <c r="X16" s="196"/>
      <c r="Y16" s="199" t="str">
        <f>calculos_quadro!$L$50</f>
        <v/>
      </c>
      <c r="Z16" s="200"/>
    </row>
    <row r="17" ht="16" customHeight="1">
      <c r="B17" s="395"/>
      <c r="C17" s="28"/>
      <c r="D17" s="202" t="inlineStr">
        <is>
          <t xml:space="preserve">Posições Ocupadas</t>
        </is>
      </c>
      <c r="E17" s="201"/>
      <c r="F17" s="201"/>
      <c r="G17" s="201"/>
      <c r="H17" s="204" t="str">
        <f>calculos_quadro!$M$48</f>
        <v/>
      </c>
      <c r="I17" s="203"/>
      <c r="J17" s="206">
        <f>calculos_quadro!$M$43</f>
        <v>4227</v>
      </c>
      <c r="K17" s="205"/>
      <c r="L17" s="205"/>
      <c r="M17" s="208">
        <f>calculos_quadro!$M$44</f>
        <v>3511.24137931034</v>
      </c>
      <c r="N17" s="207"/>
      <c r="O17" s="210">
        <f>calculos_quadro!$M$45</f>
        <v>4227</v>
      </c>
      <c r="P17" s="209"/>
      <c r="Q17" s="209"/>
      <c r="R17" s="210">
        <f>calculos_quadro!$M$46</f>
        <v>3928</v>
      </c>
      <c r="S17" s="209"/>
      <c r="T17" s="212">
        <f>calculos_quadro!$M$47</f>
        <v>0.0761201629327901</v>
      </c>
      <c r="U17" s="211"/>
      <c r="V17" s="211"/>
      <c r="W17" s="214" t="str">
        <f>calculos_quadro!$M$49</f>
        <v/>
      </c>
      <c r="X17" s="213"/>
      <c r="Y17" s="216" t="str">
        <f>calculos_quadro!$M$50</f>
        <v/>
      </c>
      <c r="Z17" s="217"/>
    </row>
    <row r="18" ht="16" customHeight="1">
      <c r="B18" s="396"/>
      <c r="C18" s="35"/>
      <c r="D18" s="219" t="inlineStr">
        <is>
          <t xml:space="preserve">Taxa de Ocupação</t>
        </is>
      </c>
      <c r="E18" s="218"/>
      <c r="F18" s="218"/>
      <c r="G18" s="218"/>
      <c r="H18" s="338" t="str">
        <f>calculos_quadro!$N$48</f>
        <v/>
      </c>
      <c r="I18" s="337"/>
      <c r="J18" s="340">
        <f>calculos_quadro!$N$43</f>
        <v>0.719856948228883</v>
      </c>
      <c r="K18" s="339"/>
      <c r="L18" s="339"/>
      <c r="M18" s="342">
        <f>calculos_quadro!$N$44</f>
        <v>0.597963450155032</v>
      </c>
      <c r="N18" s="341"/>
      <c r="O18" s="342">
        <f>calculos_quadro!$N$45</f>
        <v>0.719856948228883</v>
      </c>
      <c r="P18" s="341"/>
      <c r="Q18" s="341"/>
      <c r="R18" s="342">
        <f>calculos_quadro!$N$46</f>
        <v>0.668937329700273</v>
      </c>
      <c r="S18" s="341"/>
      <c r="T18" s="227">
        <f>calculos_quadro!$N$47</f>
        <v>0.0761201629327901</v>
      </c>
      <c r="U18" s="226"/>
      <c r="V18" s="226"/>
      <c r="W18" s="229" t="str">
        <f>calculos_quadro!$N$49</f>
        <v/>
      </c>
      <c r="X18" s="228"/>
      <c r="Y18" s="231" t="str">
        <f>calculos_quadro!$N$50</f>
        <v>atenção</v>
      </c>
      <c r="Z18" s="232"/>
    </row>
    <row r="19" ht="16" customHeight="1">
      <c r="B19" s="403" t="inlineStr">
        <is>
          <t xml:space="preserve">GENTE</t>
        </is>
      </c>
      <c r="C19" s="85"/>
      <c r="D19" s="344" t="inlineStr">
        <is>
          <t xml:space="preserve">Efetivo Op.</t>
        </is>
      </c>
      <c r="E19" s="343"/>
      <c r="F19" s="343"/>
      <c r="G19" s="343"/>
      <c r="H19" s="346" t="str">
        <f>calculos_quadro!$O$48</f>
        <v/>
      </c>
      <c r="I19" s="345"/>
      <c r="J19" s="348">
        <f>calculos_quadro!$O$43</f>
        <v>26</v>
      </c>
      <c r="K19" s="347"/>
      <c r="L19" s="347"/>
      <c r="M19" s="350">
        <f>calculos_quadro!$O$44</f>
        <v>29.6206896551724</v>
      </c>
      <c r="N19" s="349"/>
      <c r="O19" s="352">
        <f>calculos_quadro!$O$45</f>
        <v>38</v>
      </c>
      <c r="P19" s="351"/>
      <c r="Q19" s="351"/>
      <c r="R19" s="352">
        <f>calculos_quadro!$O$46</f>
        <v>26</v>
      </c>
      <c r="S19" s="351"/>
      <c r="T19" s="354">
        <f>calculos_quadro!$O$47</f>
        <v>0</v>
      </c>
      <c r="U19" s="353"/>
      <c r="V19" s="353"/>
      <c r="W19" s="356" t="str">
        <f>calculos_quadro!$O$49</f>
        <v/>
      </c>
      <c r="X19" s="355"/>
      <c r="Y19" s="358" t="str">
        <f>calculos_quadro!$O$50</f>
        <v/>
      </c>
      <c r="Z19" s="359"/>
    </row>
    <row r="20" ht="16" customHeight="1">
      <c r="B20" s="404"/>
      <c r="C20" s="92"/>
      <c r="D20" s="361" t="inlineStr">
        <is>
          <t xml:space="preserve">Falta</t>
        </is>
      </c>
      <c r="E20" s="360"/>
      <c r="F20" s="360"/>
      <c r="G20" s="360"/>
      <c r="H20" s="363" t="str">
        <f>calculos_quadro!$P$48</f>
        <v/>
      </c>
      <c r="I20" s="362"/>
      <c r="J20" s="365">
        <f>calculos_quadro!$P$43</f>
        <v>0</v>
      </c>
      <c r="K20" s="364"/>
      <c r="L20" s="364"/>
      <c r="M20" s="367" t="str">
        <f>calculos_quadro!$P$44</f>
        <v/>
      </c>
      <c r="N20" s="366"/>
      <c r="O20" s="369">
        <f>calculos_quadro!$P$45</f>
        <v>0</v>
      </c>
      <c r="P20" s="368"/>
      <c r="Q20" s="368"/>
      <c r="R20" s="369">
        <f>calculos_quadro!$P$46</f>
        <v>0</v>
      </c>
      <c r="S20" s="368"/>
      <c r="T20" s="371" t="str">
        <f>calculos_quadro!$P$47</f>
        <v/>
      </c>
      <c r="U20" s="370"/>
      <c r="V20" s="370"/>
      <c r="W20" s="373" t="str">
        <f>calculos_quadro!$P$49</f>
        <v/>
      </c>
      <c r="X20" s="372"/>
      <c r="Y20" s="375" t="str">
        <f>calculos_quadro!$P$50</f>
        <v/>
      </c>
      <c r="Z20" s="376"/>
    </row>
    <row r="21" ht="16" customHeight="1">
      <c r="B21" s="404"/>
      <c r="C21" s="92"/>
      <c r="D21" s="361" t="inlineStr">
        <is>
          <t xml:space="preserve">Folga</t>
        </is>
      </c>
      <c r="E21" s="360"/>
      <c r="F21" s="360"/>
      <c r="G21" s="360"/>
      <c r="H21" s="363" t="str">
        <f>calculos_quadro!$Q$48</f>
        <v/>
      </c>
      <c r="I21" s="362"/>
      <c r="J21" s="365">
        <f>calculos_quadro!$Q$43</f>
        <v>0</v>
      </c>
      <c r="K21" s="364"/>
      <c r="L21" s="364"/>
      <c r="M21" s="367" t="str">
        <f>calculos_quadro!$Q$44</f>
        <v/>
      </c>
      <c r="N21" s="366"/>
      <c r="O21" s="369">
        <f>calculos_quadro!$Q$45</f>
        <v>0</v>
      </c>
      <c r="P21" s="368"/>
      <c r="Q21" s="368"/>
      <c r="R21" s="369">
        <f>calculos_quadro!$Q$46</f>
        <v>0</v>
      </c>
      <c r="S21" s="368"/>
      <c r="T21" s="371" t="str">
        <f>calculos_quadro!$Q$47</f>
        <v/>
      </c>
      <c r="U21" s="370"/>
      <c r="V21" s="370"/>
      <c r="W21" s="373" t="str">
        <f>calculos_quadro!$Q$49</f>
        <v/>
      </c>
      <c r="X21" s="372"/>
      <c r="Y21" s="375" t="str">
        <f>calculos_quadro!$Q$50</f>
        <v/>
      </c>
      <c r="Z21" s="376"/>
    </row>
    <row r="22" ht="16" customHeight="1">
      <c r="B22" s="404"/>
      <c r="C22" s="92"/>
      <c r="D22" s="361" t="inlineStr">
        <is>
          <t xml:space="preserve">Férias</t>
        </is>
      </c>
      <c r="E22" s="360"/>
      <c r="F22" s="360"/>
      <c r="G22" s="360"/>
      <c r="H22" s="363" t="str">
        <f>calculos_quadro!$R$48</f>
        <v/>
      </c>
      <c r="I22" s="362"/>
      <c r="J22" s="365">
        <f>calculos_quadro!$R$43</f>
        <v>0</v>
      </c>
      <c r="K22" s="364"/>
      <c r="L22" s="364"/>
      <c r="M22" s="367" t="str">
        <f>calculos_quadro!$R$44</f>
        <v/>
      </c>
      <c r="N22" s="366"/>
      <c r="O22" s="369">
        <f>calculos_quadro!$R$45</f>
        <v>0</v>
      </c>
      <c r="P22" s="368"/>
      <c r="Q22" s="368"/>
      <c r="R22" s="369">
        <f>calculos_quadro!$R$46</f>
        <v>0</v>
      </c>
      <c r="S22" s="368"/>
      <c r="T22" s="371" t="str">
        <f>calculos_quadro!$R$47</f>
        <v/>
      </c>
      <c r="U22" s="370"/>
      <c r="V22" s="370"/>
      <c r="W22" s="373" t="str">
        <f>calculos_quadro!$R$49</f>
        <v/>
      </c>
      <c r="X22" s="372"/>
      <c r="Y22" s="375" t="str">
        <f>calculos_quadro!$R$50</f>
        <v/>
      </c>
      <c r="Z22" s="376"/>
    </row>
    <row r="23" ht="16" customHeight="1">
      <c r="B23" s="405"/>
      <c r="C23" s="99"/>
      <c r="D23" s="378" t="inlineStr">
        <is>
          <t xml:space="preserve">Desligamento</t>
        </is>
      </c>
      <c r="E23" s="377"/>
      <c r="F23" s="377"/>
      <c r="G23" s="377"/>
      <c r="H23" s="380" t="str">
        <f>calculos_quadro!$S$48</f>
        <v/>
      </c>
      <c r="I23" s="379"/>
      <c r="J23" s="382">
        <f>calculos_quadro!$S$43</f>
        <v>0</v>
      </c>
      <c r="K23" s="381"/>
      <c r="L23" s="381"/>
      <c r="M23" s="384" t="str">
        <f>calculos_quadro!$S$44</f>
        <v/>
      </c>
      <c r="N23" s="383"/>
      <c r="O23" s="386">
        <f>calculos_quadro!$S$45</f>
        <v>0</v>
      </c>
      <c r="P23" s="385"/>
      <c r="Q23" s="385"/>
      <c r="R23" s="386">
        <f>calculos_quadro!$S$46</f>
        <v>0</v>
      </c>
      <c r="S23" s="385"/>
      <c r="T23" s="388" t="str">
        <f>calculos_quadro!$S$47</f>
        <v/>
      </c>
      <c r="U23" s="387"/>
      <c r="V23" s="387"/>
      <c r="W23" s="390" t="str">
        <f>calculos_quadro!$S$49</f>
        <v/>
      </c>
      <c r="X23" s="389"/>
      <c r="Y23" s="392" t="str">
        <f>calculos_quadro!$S$50</f>
        <v/>
      </c>
      <c r="Z23" s="393"/>
    </row>
    <row r="24">
      <c r="B24" s="120" t="inlineStr">
        <is>
          <t xml:space="preserve">Realizado: soma do mês nos fluxos (IN, OUT, incidentes, no show, falta, folga, férias, desligamento); último valor informado por cliente em backlog, posições, taxa e efetivo (dia sem lançamento mantém o valor anterior). Média/dia: dias com movimento. Metas e faixas: aba calculos (células amarelas). Vazio = sem registro.</t>
        </is>
      </c>
    </row>
    <row r="26" ht="20" customHeight="1">
      <c r="B26" s="177" t="inlineStr">
        <is>
          <t xml:space="preserve">RESUMO POR CLIENTE · mês inteiro (todos os clientes)</t>
        </is>
      </c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</row>
    <row r="27" ht="30" customHeight="1">
      <c r="B27" s="406" t="inlineStr">
        <is>
          <t xml:space="preserve">GRUPO</t>
        </is>
      </c>
      <c r="C27" s="407"/>
      <c r="D27" s="406" t="inlineStr">
        <is>
          <t xml:space="preserve">INDICADOR</t>
        </is>
      </c>
      <c r="E27" s="408"/>
      <c r="F27" s="408"/>
      <c r="G27" s="407"/>
      <c r="H27" s="409" t="inlineStr">
        <is>
          <t xml:space="preserve">Barry Callebaut</t>
        </is>
      </c>
      <c r="I27" s="410"/>
      <c r="J27" s="409" t="inlineStr">
        <is>
          <t xml:space="preserve">PMB</t>
        </is>
      </c>
      <c r="K27" s="411"/>
      <c r="L27" s="410"/>
      <c r="M27" s="409" t="inlineStr">
        <is>
          <t xml:space="preserve">Nestlé</t>
        </is>
      </c>
      <c r="N27" s="410"/>
      <c r="O27" s="409" t="inlineStr">
        <is>
          <t xml:space="preserve">Mondelez</t>
        </is>
      </c>
      <c r="P27" s="411"/>
      <c r="Q27" s="410"/>
      <c r="R27" s="409" t="inlineStr">
        <is>
          <t xml:space="preserve">Gm</t>
        </is>
      </c>
      <c r="S27" s="410"/>
      <c r="T27" s="412" t="inlineStr">
        <is>
          <t xml:space="preserve">TOTAL CD</t>
        </is>
      </c>
      <c r="U27" s="413"/>
      <c r="V27" s="414"/>
    </row>
    <row r="28" ht="15.75" customHeight="1">
      <c r="B28" s="394" t="inlineStr">
        <is>
          <t xml:space="preserve">IN</t>
        </is>
      </c>
      <c r="C28" s="21"/>
      <c r="D28" s="185" t="inlineStr">
        <is>
          <t xml:space="preserve">Veículos Recebidos</t>
        </is>
      </c>
      <c r="E28" s="184"/>
      <c r="F28" s="184"/>
      <c r="G28" s="184"/>
      <c r="H28" s="193">
        <f>calculos_quadro!B88</f>
        <v>84</v>
      </c>
      <c r="I28" s="192"/>
      <c r="J28" s="193">
        <f>calculos_quadro!C88</f>
        <v>102</v>
      </c>
      <c r="K28" s="192"/>
      <c r="L28" s="192"/>
      <c r="M28" s="193">
        <f>calculos_quadro!D88</f>
        <v>104</v>
      </c>
      <c r="N28" s="192"/>
      <c r="O28" s="193">
        <f>calculos_quadro!E88</f>
        <v>88</v>
      </c>
      <c r="P28" s="192"/>
      <c r="Q28" s="192"/>
      <c r="R28" s="193">
        <f>calculos_quadro!F88</f>
        <v>80</v>
      </c>
      <c r="S28" s="192"/>
      <c r="T28" s="187">
        <f>calculos_quadro!G88</f>
        <v>458</v>
      </c>
      <c r="U28" s="186"/>
      <c r="V28" s="415"/>
    </row>
    <row r="29" ht="15.75" customHeight="1">
      <c r="B29" s="395"/>
      <c r="C29" s="28"/>
      <c r="D29" s="202" t="inlineStr">
        <is>
          <t xml:space="preserve">Pallets Movimentados</t>
        </is>
      </c>
      <c r="E29" s="201"/>
      <c r="F29" s="201"/>
      <c r="G29" s="201"/>
      <c r="H29" s="210">
        <f>calculos_quadro!B89</f>
        <v>1960</v>
      </c>
      <c r="I29" s="209"/>
      <c r="J29" s="210">
        <f>calculos_quadro!C89</f>
        <v>2417</v>
      </c>
      <c r="K29" s="209"/>
      <c r="L29" s="209"/>
      <c r="M29" s="210">
        <f>calculos_quadro!D89</f>
        <v>2547</v>
      </c>
      <c r="N29" s="209"/>
      <c r="O29" s="210">
        <f>calculos_quadro!E89</f>
        <v>2131</v>
      </c>
      <c r="P29" s="209"/>
      <c r="Q29" s="209"/>
      <c r="R29" s="210">
        <f>calculos_quadro!F89</f>
        <v>1902</v>
      </c>
      <c r="S29" s="209"/>
      <c r="T29" s="204">
        <f>calculos_quadro!G89</f>
        <v>10957</v>
      </c>
      <c r="U29" s="203"/>
      <c r="V29" s="416"/>
    </row>
    <row r="30" ht="15.75" customHeight="1">
      <c r="B30" s="396"/>
      <c r="C30" s="35"/>
      <c r="D30" s="219" t="inlineStr">
        <is>
          <t xml:space="preserve">Toneladas Movimentadas</t>
        </is>
      </c>
      <c r="E30" s="218"/>
      <c r="F30" s="218"/>
      <c r="G30" s="218"/>
      <c r="H30" s="225">
        <f>calculos_quadro!B90</f>
        <v>1445.28</v>
      </c>
      <c r="I30" s="224"/>
      <c r="J30" s="225">
        <f>calculos_quadro!C90</f>
        <v>1557.8</v>
      </c>
      <c r="K30" s="224"/>
      <c r="L30" s="224"/>
      <c r="M30" s="225">
        <f>calculos_quadro!D90</f>
        <v>1592.76</v>
      </c>
      <c r="N30" s="224"/>
      <c r="O30" s="225">
        <f>calculos_quadro!E90</f>
        <v>1409.33</v>
      </c>
      <c r="P30" s="224"/>
      <c r="Q30" s="224"/>
      <c r="R30" s="225">
        <f>calculos_quadro!F90</f>
        <v>1368.17</v>
      </c>
      <c r="S30" s="224"/>
      <c r="T30" s="418">
        <f>calculos_quadro!G90</f>
        <v>7373.34</v>
      </c>
      <c r="U30" s="417"/>
      <c r="V30" s="419"/>
    </row>
    <row r="31" ht="15.75" customHeight="1">
      <c r="B31" s="397" t="inlineStr">
        <is>
          <t xml:space="preserve">OUT</t>
        </is>
      </c>
      <c r="C31" s="41"/>
      <c r="D31" s="234" t="inlineStr">
        <is>
          <t xml:space="preserve">Veículos Expedidos</t>
        </is>
      </c>
      <c r="E31" s="233"/>
      <c r="F31" s="233"/>
      <c r="G31" s="233"/>
      <c r="H31" s="242">
        <f>calculos_quadro!B91</f>
        <v>205</v>
      </c>
      <c r="I31" s="241"/>
      <c r="J31" s="242">
        <f>calculos_quadro!C91</f>
        <v>141</v>
      </c>
      <c r="K31" s="241"/>
      <c r="L31" s="241"/>
      <c r="M31" s="242">
        <f>calculos_quadro!D91</f>
        <v>130</v>
      </c>
      <c r="N31" s="241"/>
      <c r="O31" s="242">
        <f>calculos_quadro!E91</f>
        <v>140</v>
      </c>
      <c r="P31" s="241"/>
      <c r="Q31" s="241"/>
      <c r="R31" s="242">
        <f>calculos_quadro!F91</f>
        <v>86</v>
      </c>
      <c r="S31" s="241"/>
      <c r="T31" s="236">
        <f>calculos_quadro!G91</f>
        <v>702</v>
      </c>
      <c r="U31" s="235"/>
      <c r="V31" s="420"/>
    </row>
    <row r="32" ht="15.75" customHeight="1">
      <c r="B32" s="398"/>
      <c r="C32" s="48"/>
      <c r="D32" s="251" t="inlineStr">
        <is>
          <t xml:space="preserve">Pallets Movimentados</t>
        </is>
      </c>
      <c r="E32" s="250"/>
      <c r="F32" s="250"/>
      <c r="G32" s="250"/>
      <c r="H32" s="259">
        <f>calculos_quadro!B92</f>
        <v>3690</v>
      </c>
      <c r="I32" s="258"/>
      <c r="J32" s="259">
        <f>calculos_quadro!C92</f>
        <v>2538</v>
      </c>
      <c r="K32" s="258"/>
      <c r="L32" s="258"/>
      <c r="M32" s="259">
        <f>calculos_quadro!D92</f>
        <v>2340</v>
      </c>
      <c r="N32" s="258"/>
      <c r="O32" s="259">
        <f>calculos_quadro!E92</f>
        <v>2520</v>
      </c>
      <c r="P32" s="258"/>
      <c r="Q32" s="258"/>
      <c r="R32" s="259">
        <f>calculos_quadro!F92</f>
        <v>1548</v>
      </c>
      <c r="S32" s="258"/>
      <c r="T32" s="253">
        <f>calculos_quadro!G92</f>
        <v>12636</v>
      </c>
      <c r="U32" s="252"/>
      <c r="V32" s="421"/>
    </row>
    <row r="33" ht="15.75" customHeight="1">
      <c r="B33" s="399"/>
      <c r="C33" s="55"/>
      <c r="D33" s="268" t="inlineStr">
        <is>
          <t xml:space="preserve">Toneladas Movimentadas</t>
        </is>
      </c>
      <c r="E33" s="267"/>
      <c r="F33" s="267"/>
      <c r="G33" s="267"/>
      <c r="H33" s="274">
        <f>calculos_quadro!B93</f>
        <v>2495.13</v>
      </c>
      <c r="I33" s="273"/>
      <c r="J33" s="274">
        <f>calculos_quadro!C93</f>
        <v>1592.22</v>
      </c>
      <c r="K33" s="273"/>
      <c r="L33" s="273"/>
      <c r="M33" s="274">
        <f>calculos_quadro!D93</f>
        <v>1318.34</v>
      </c>
      <c r="N33" s="273"/>
      <c r="O33" s="274">
        <f>calculos_quadro!E93</f>
        <v>1864.14</v>
      </c>
      <c r="P33" s="273"/>
      <c r="Q33" s="273"/>
      <c r="R33" s="274">
        <f>calculos_quadro!F93</f>
        <v>1123.68</v>
      </c>
      <c r="S33" s="273"/>
      <c r="T33" s="423">
        <f>calculos_quadro!G93</f>
        <v>8393.51</v>
      </c>
      <c r="U33" s="422"/>
      <c r="V33" s="424"/>
    </row>
    <row r="34" ht="15.75" customHeight="1">
      <c r="B34" s="400" t="inlineStr">
        <is>
          <t xml:space="preserve">NC</t>
        </is>
      </c>
      <c r="C34" s="61"/>
      <c r="D34" s="283" t="inlineStr">
        <is>
          <t xml:space="preserve">Incidentes</t>
        </is>
      </c>
      <c r="E34" s="282"/>
      <c r="F34" s="282"/>
      <c r="G34" s="282"/>
      <c r="H34" s="291">
        <f>calculos_quadro!B94</f>
        <v>2</v>
      </c>
      <c r="I34" s="290"/>
      <c r="J34" s="291">
        <f>calculos_quadro!C94</f>
        <v>2</v>
      </c>
      <c r="K34" s="290"/>
      <c r="L34" s="290"/>
      <c r="M34" s="291">
        <f>calculos_quadro!D94</f>
        <v>5</v>
      </c>
      <c r="N34" s="290"/>
      <c r="O34" s="291">
        <f>calculos_quadro!E94</f>
        <v>1</v>
      </c>
      <c r="P34" s="290"/>
      <c r="Q34" s="290"/>
      <c r="R34" s="291">
        <f>calculos_quadro!F94</f>
        <v>1</v>
      </c>
      <c r="S34" s="290"/>
      <c r="T34" s="285">
        <f>calculos_quadro!G94</f>
        <v>11</v>
      </c>
      <c r="U34" s="284"/>
      <c r="V34" s="425"/>
    </row>
    <row r="35" ht="15.75" customHeight="1">
      <c r="B35" s="401"/>
      <c r="C35" s="68"/>
      <c r="D35" s="300" t="inlineStr">
        <is>
          <t xml:space="preserve">No show</t>
        </is>
      </c>
      <c r="E35" s="299"/>
      <c r="F35" s="299"/>
      <c r="G35" s="299"/>
      <c r="H35" s="308">
        <f>calculos_quadro!B95</f>
        <v>0</v>
      </c>
      <c r="I35" s="307"/>
      <c r="J35" s="308">
        <f>calculos_quadro!C95</f>
        <v>0</v>
      </c>
      <c r="K35" s="307"/>
      <c r="L35" s="307"/>
      <c r="M35" s="308">
        <f>calculos_quadro!D95</f>
        <v>0</v>
      </c>
      <c r="N35" s="307"/>
      <c r="O35" s="308">
        <f>calculos_quadro!E95</f>
        <v>0</v>
      </c>
      <c r="P35" s="307"/>
      <c r="Q35" s="307"/>
      <c r="R35" s="308">
        <f>calculos_quadro!F95</f>
        <v>0</v>
      </c>
      <c r="S35" s="307"/>
      <c r="T35" s="302">
        <f>calculos_quadro!G95</f>
        <v>0</v>
      </c>
      <c r="U35" s="301"/>
      <c r="V35" s="426"/>
    </row>
    <row r="36" ht="15.75" customHeight="1">
      <c r="B36" s="402"/>
      <c r="C36" s="75"/>
      <c r="D36" s="317" t="inlineStr">
        <is>
          <t xml:space="preserve">Backlog</t>
        </is>
      </c>
      <c r="E36" s="316"/>
      <c r="F36" s="316"/>
      <c r="G36" s="316"/>
      <c r="H36" s="325" t="str">
        <f>calculos_quadro!B96</f>
        <v/>
      </c>
      <c r="I36" s="324"/>
      <c r="J36" s="325" t="str">
        <f>calculos_quadro!C96</f>
        <v/>
      </c>
      <c r="K36" s="324"/>
      <c r="L36" s="324"/>
      <c r="M36" s="325" t="str">
        <f>calculos_quadro!D96</f>
        <v/>
      </c>
      <c r="N36" s="324"/>
      <c r="O36" s="325" t="str">
        <f>calculos_quadro!E96</f>
        <v/>
      </c>
      <c r="P36" s="324"/>
      <c r="Q36" s="324"/>
      <c r="R36" s="325" t="str">
        <f>calculos_quadro!F96</f>
        <v/>
      </c>
      <c r="S36" s="324"/>
      <c r="T36" s="319">
        <f>calculos_quadro!G96</f>
        <v>0</v>
      </c>
      <c r="U36" s="318"/>
      <c r="V36" s="427"/>
    </row>
    <row r="37" ht="15.75" customHeight="1">
      <c r="B37" s="394" t="inlineStr">
        <is>
          <t xml:space="preserve">OCUPAÇÃO (P.P)</t>
        </is>
      </c>
      <c r="C37" s="21"/>
      <c r="D37" s="185" t="inlineStr">
        <is>
          <t xml:space="preserve">Posições Disponíveis</t>
        </is>
      </c>
      <c r="E37" s="184"/>
      <c r="F37" s="184"/>
      <c r="G37" s="184"/>
      <c r="H37" s="193">
        <f>calculos_quadro!B97</f>
        <v>1950</v>
      </c>
      <c r="I37" s="192"/>
      <c r="J37" s="193" t="str">
        <f>calculos_quadro!C97</f>
        <v>Cross</v>
      </c>
      <c r="K37" s="192"/>
      <c r="L37" s="192"/>
      <c r="M37" s="193">
        <f>calculos_quadro!D97</f>
        <v>1400</v>
      </c>
      <c r="N37" s="192"/>
      <c r="O37" s="193" t="str">
        <f>calculos_quadro!E97</f>
        <v>Spot</v>
      </c>
      <c r="P37" s="192"/>
      <c r="Q37" s="192"/>
      <c r="R37" s="193">
        <f>calculos_quadro!F97</f>
        <v>800</v>
      </c>
      <c r="S37" s="192"/>
      <c r="T37" s="187">
        <f>calculos_quadro!G97</f>
        <v>5872</v>
      </c>
      <c r="U37" s="186"/>
      <c r="V37" s="415"/>
    </row>
    <row r="38" ht="15.75" customHeight="1">
      <c r="B38" s="395"/>
      <c r="C38" s="28"/>
      <c r="D38" s="202" t="inlineStr">
        <is>
          <t xml:space="preserve">Posições Ocupadas</t>
        </is>
      </c>
      <c r="E38" s="201"/>
      <c r="F38" s="201"/>
      <c r="G38" s="201"/>
      <c r="H38" s="210">
        <f>calculos_quadro!B98</f>
        <v>1872</v>
      </c>
      <c r="I38" s="209"/>
      <c r="J38" s="210">
        <f>calculos_quadro!C98</f>
        <v>221</v>
      </c>
      <c r="K38" s="209"/>
      <c r="L38" s="209"/>
      <c r="M38" s="210">
        <f>calculos_quadro!D98</f>
        <v>1196</v>
      </c>
      <c r="N38" s="209"/>
      <c r="O38" s="210">
        <f>calculos_quadro!E98</f>
        <v>373</v>
      </c>
      <c r="P38" s="209"/>
      <c r="Q38" s="209"/>
      <c r="R38" s="210">
        <f>calculos_quadro!F98</f>
        <v>565</v>
      </c>
      <c r="S38" s="209"/>
      <c r="T38" s="204">
        <f>calculos_quadro!G98</f>
        <v>4227</v>
      </c>
      <c r="U38" s="203"/>
      <c r="V38" s="416"/>
    </row>
    <row r="39" ht="15.75" customHeight="1">
      <c r="B39" s="396"/>
      <c r="C39" s="35"/>
      <c r="D39" s="219" t="inlineStr">
        <is>
          <t xml:space="preserve">Taxa de Ocupação</t>
        </is>
      </c>
      <c r="E39" s="218"/>
      <c r="F39" s="218"/>
      <c r="G39" s="218"/>
      <c r="H39" s="229">
        <f>calculos_quadro!B99</f>
        <v>0.96</v>
      </c>
      <c r="I39" s="228"/>
      <c r="J39" s="229" t="str">
        <f>calculos_quadro!C99</f>
        <v/>
      </c>
      <c r="K39" s="228"/>
      <c r="L39" s="228"/>
      <c r="M39" s="229">
        <f>calculos_quadro!D99</f>
        <v>0.854285714285714</v>
      </c>
      <c r="N39" s="228"/>
      <c r="O39" s="229" t="str">
        <f>calculos_quadro!E99</f>
        <v/>
      </c>
      <c r="P39" s="228"/>
      <c r="Q39" s="228"/>
      <c r="R39" s="229">
        <f>calculos_quadro!F99</f>
        <v>0.70625</v>
      </c>
      <c r="S39" s="228"/>
      <c r="T39" s="338">
        <f>calculos_quadro!G99</f>
        <v>0.719856948228883</v>
      </c>
      <c r="U39" s="337"/>
      <c r="V39" s="428"/>
    </row>
    <row r="40" ht="15.75" customHeight="1">
      <c r="B40" s="403" t="inlineStr">
        <is>
          <t xml:space="preserve">GENTE</t>
        </is>
      </c>
      <c r="C40" s="85"/>
      <c r="D40" s="344" t="inlineStr">
        <is>
          <t xml:space="preserve">Efetivo Op.</t>
        </is>
      </c>
      <c r="E40" s="343"/>
      <c r="F40" s="343"/>
      <c r="G40" s="343"/>
      <c r="H40" s="352">
        <f>calculos_quadro!B100</f>
        <v>5</v>
      </c>
      <c r="I40" s="351"/>
      <c r="J40" s="352">
        <f>calculos_quadro!C100</f>
        <v>3</v>
      </c>
      <c r="K40" s="351"/>
      <c r="L40" s="351"/>
      <c r="M40" s="352">
        <f>calculos_quadro!D100</f>
        <v>8</v>
      </c>
      <c r="N40" s="351"/>
      <c r="O40" s="352">
        <f>calculos_quadro!E100</f>
        <v>5</v>
      </c>
      <c r="P40" s="351"/>
      <c r="Q40" s="351"/>
      <c r="R40" s="352">
        <f>calculos_quadro!F100</f>
        <v>5</v>
      </c>
      <c r="S40" s="351"/>
      <c r="T40" s="346">
        <f>calculos_quadro!G100</f>
        <v>26</v>
      </c>
      <c r="U40" s="345"/>
      <c r="V40" s="429"/>
    </row>
    <row r="41" ht="15.75" customHeight="1">
      <c r="B41" s="404"/>
      <c r="C41" s="92"/>
      <c r="D41" s="361" t="inlineStr">
        <is>
          <t xml:space="preserve">Falta</t>
        </is>
      </c>
      <c r="E41" s="360"/>
      <c r="F41" s="360"/>
      <c r="G41" s="360"/>
      <c r="H41" s="369">
        <f>calculos_quadro!B101</f>
        <v>0</v>
      </c>
      <c r="I41" s="368"/>
      <c r="J41" s="369">
        <f>calculos_quadro!C101</f>
        <v>0</v>
      </c>
      <c r="K41" s="368"/>
      <c r="L41" s="368"/>
      <c r="M41" s="369">
        <f>calculos_quadro!D101</f>
        <v>0</v>
      </c>
      <c r="N41" s="368"/>
      <c r="O41" s="369">
        <f>calculos_quadro!E101</f>
        <v>0</v>
      </c>
      <c r="P41" s="368"/>
      <c r="Q41" s="368"/>
      <c r="R41" s="369">
        <f>calculos_quadro!F101</f>
        <v>0</v>
      </c>
      <c r="S41" s="368"/>
      <c r="T41" s="363">
        <f>calculos_quadro!G101</f>
        <v>0</v>
      </c>
      <c r="U41" s="362"/>
      <c r="V41" s="430"/>
    </row>
    <row r="42" ht="15.75" customHeight="1">
      <c r="B42" s="404"/>
      <c r="C42" s="92"/>
      <c r="D42" s="361" t="inlineStr">
        <is>
          <t xml:space="preserve">Folga</t>
        </is>
      </c>
      <c r="E42" s="360"/>
      <c r="F42" s="360"/>
      <c r="G42" s="360"/>
      <c r="H42" s="369">
        <f>calculos_quadro!B102</f>
        <v>0</v>
      </c>
      <c r="I42" s="368"/>
      <c r="J42" s="369">
        <f>calculos_quadro!C102</f>
        <v>0</v>
      </c>
      <c r="K42" s="368"/>
      <c r="L42" s="368"/>
      <c r="M42" s="369">
        <f>calculos_quadro!D102</f>
        <v>0</v>
      </c>
      <c r="N42" s="368"/>
      <c r="O42" s="369">
        <f>calculos_quadro!E102</f>
        <v>0</v>
      </c>
      <c r="P42" s="368"/>
      <c r="Q42" s="368"/>
      <c r="R42" s="369">
        <f>calculos_quadro!F102</f>
        <v>0</v>
      </c>
      <c r="S42" s="368"/>
      <c r="T42" s="363">
        <f>calculos_quadro!G102</f>
        <v>0</v>
      </c>
      <c r="U42" s="362"/>
      <c r="V42" s="430"/>
    </row>
    <row r="43" ht="15.75" customHeight="1">
      <c r="B43" s="404"/>
      <c r="C43" s="92"/>
      <c r="D43" s="361" t="inlineStr">
        <is>
          <t xml:space="preserve">Férias</t>
        </is>
      </c>
      <c r="E43" s="360"/>
      <c r="F43" s="360"/>
      <c r="G43" s="360"/>
      <c r="H43" s="369">
        <f>calculos_quadro!B103</f>
        <v>0</v>
      </c>
      <c r="I43" s="368"/>
      <c r="J43" s="369">
        <f>calculos_quadro!C103</f>
        <v>0</v>
      </c>
      <c r="K43" s="368"/>
      <c r="L43" s="368"/>
      <c r="M43" s="369">
        <f>calculos_quadro!D103</f>
        <v>0</v>
      </c>
      <c r="N43" s="368"/>
      <c r="O43" s="369">
        <f>calculos_quadro!E103</f>
        <v>0</v>
      </c>
      <c r="P43" s="368"/>
      <c r="Q43" s="368"/>
      <c r="R43" s="369">
        <f>calculos_quadro!F103</f>
        <v>0</v>
      </c>
      <c r="S43" s="368"/>
      <c r="T43" s="363">
        <f>calculos_quadro!G103</f>
        <v>0</v>
      </c>
      <c r="U43" s="362"/>
      <c r="V43" s="430"/>
    </row>
    <row r="44" ht="15.75" customHeight="1">
      <c r="B44" s="405"/>
      <c r="C44" s="99"/>
      <c r="D44" s="378" t="inlineStr">
        <is>
          <t xml:space="preserve">Desligamento</t>
        </is>
      </c>
      <c r="E44" s="377"/>
      <c r="F44" s="377"/>
      <c r="G44" s="377"/>
      <c r="H44" s="386">
        <f>calculos_quadro!B104</f>
        <v>0</v>
      </c>
      <c r="I44" s="385"/>
      <c r="J44" s="386">
        <f>calculos_quadro!C104</f>
        <v>0</v>
      </c>
      <c r="K44" s="385"/>
      <c r="L44" s="385"/>
      <c r="M44" s="386">
        <f>calculos_quadro!D104</f>
        <v>0</v>
      </c>
      <c r="N44" s="385"/>
      <c r="O44" s="386">
        <f>calculos_quadro!E104</f>
        <v>0</v>
      </c>
      <c r="P44" s="385"/>
      <c r="Q44" s="385"/>
      <c r="R44" s="386">
        <f>calculos_quadro!F104</f>
        <v>0</v>
      </c>
      <c r="S44" s="385"/>
      <c r="T44" s="380">
        <f>calculos_quadro!G104</f>
        <v>0</v>
      </c>
      <c r="U44" s="379"/>
      <c r="V44" s="431"/>
    </row>
    <row r="45">
      <c r="B45" s="120" t="inlineStr">
        <is>
          <t xml:space="preserve">Fluxos: soma do mês · Estoques (backlog, posições, efetivo): último dado do mês · TOTAL CD: posições disponíveis = capacidade física do CD; taxa = ocupadas ÷ capacidade.</t>
        </is>
      </c>
    </row>
  </sheetData>
  <mergeCells count="306">
    <mergeCell ref="E1:U1"/>
    <mergeCell ref="V1:AA1"/>
    <mergeCell ref="B3:N3"/>
    <mergeCell ref="Q3:Z3"/>
    <mergeCell ref="B5:Z5"/>
    <mergeCell ref="B6:C6"/>
    <mergeCell ref="D6:G6"/>
    <mergeCell ref="H6:I6"/>
    <mergeCell ref="J6:L6"/>
    <mergeCell ref="M6:N6"/>
    <mergeCell ref="O6:Q6"/>
    <mergeCell ref="R6:S6"/>
    <mergeCell ref="T6:V6"/>
    <mergeCell ref="W6:X6"/>
    <mergeCell ref="Y6:Z6"/>
    <mergeCell ref="D7:G7"/>
    <mergeCell ref="H7:I7"/>
    <mergeCell ref="J7:L7"/>
    <mergeCell ref="M7:N7"/>
    <mergeCell ref="O7:Q7"/>
    <mergeCell ref="R7:S7"/>
    <mergeCell ref="T7:V7"/>
    <mergeCell ref="W7:X7"/>
    <mergeCell ref="Y7:Z7"/>
    <mergeCell ref="D8:G8"/>
    <mergeCell ref="H8:I8"/>
    <mergeCell ref="J8:L8"/>
    <mergeCell ref="M8:N8"/>
    <mergeCell ref="O8:Q8"/>
    <mergeCell ref="R8:S8"/>
    <mergeCell ref="T8:V8"/>
    <mergeCell ref="W8:X8"/>
    <mergeCell ref="Y8:Z8"/>
    <mergeCell ref="D9:G9"/>
    <mergeCell ref="H9:I9"/>
    <mergeCell ref="J9:L9"/>
    <mergeCell ref="M9:N9"/>
    <mergeCell ref="O9:Q9"/>
    <mergeCell ref="R9:S9"/>
    <mergeCell ref="T9:V9"/>
    <mergeCell ref="W9:X9"/>
    <mergeCell ref="Y9:Z9"/>
    <mergeCell ref="D10:G10"/>
    <mergeCell ref="H10:I10"/>
    <mergeCell ref="J10:L10"/>
    <mergeCell ref="M10:N10"/>
    <mergeCell ref="O10:Q10"/>
    <mergeCell ref="R10:S10"/>
    <mergeCell ref="T10:V10"/>
    <mergeCell ref="W10:X10"/>
    <mergeCell ref="Y10:Z10"/>
    <mergeCell ref="D11:G11"/>
    <mergeCell ref="H11:I11"/>
    <mergeCell ref="J11:L11"/>
    <mergeCell ref="M11:N11"/>
    <mergeCell ref="O11:Q11"/>
    <mergeCell ref="R11:S11"/>
    <mergeCell ref="T11:V11"/>
    <mergeCell ref="W11:X11"/>
    <mergeCell ref="Y11:Z11"/>
    <mergeCell ref="D12:G12"/>
    <mergeCell ref="H12:I12"/>
    <mergeCell ref="J12:L12"/>
    <mergeCell ref="M12:N12"/>
    <mergeCell ref="O12:Q12"/>
    <mergeCell ref="R12:S12"/>
    <mergeCell ref="T12:V12"/>
    <mergeCell ref="W12:X12"/>
    <mergeCell ref="Y12:Z12"/>
    <mergeCell ref="D13:G13"/>
    <mergeCell ref="H13:I13"/>
    <mergeCell ref="J13:L13"/>
    <mergeCell ref="M13:N13"/>
    <mergeCell ref="O13:Q13"/>
    <mergeCell ref="R13:S13"/>
    <mergeCell ref="T13:V13"/>
    <mergeCell ref="W13:X13"/>
    <mergeCell ref="Y13:Z13"/>
    <mergeCell ref="D14:G14"/>
    <mergeCell ref="H14:I14"/>
    <mergeCell ref="J14:L14"/>
    <mergeCell ref="M14:N14"/>
    <mergeCell ref="O14:Q14"/>
    <mergeCell ref="R14:S14"/>
    <mergeCell ref="T14:V14"/>
    <mergeCell ref="W14:X14"/>
    <mergeCell ref="Y14:Z14"/>
    <mergeCell ref="D15:G15"/>
    <mergeCell ref="H15:I15"/>
    <mergeCell ref="J15:L15"/>
    <mergeCell ref="M15:N15"/>
    <mergeCell ref="O15:Q15"/>
    <mergeCell ref="R15:S15"/>
    <mergeCell ref="T15:V15"/>
    <mergeCell ref="W15:X15"/>
    <mergeCell ref="Y15:Z15"/>
    <mergeCell ref="D16:G16"/>
    <mergeCell ref="H16:I16"/>
    <mergeCell ref="J16:L16"/>
    <mergeCell ref="M16:N16"/>
    <mergeCell ref="O16:Q16"/>
    <mergeCell ref="R16:S16"/>
    <mergeCell ref="T16:V16"/>
    <mergeCell ref="W16:X16"/>
    <mergeCell ref="Y16:Z16"/>
    <mergeCell ref="D17:G17"/>
    <mergeCell ref="H17:I17"/>
    <mergeCell ref="J17:L17"/>
    <mergeCell ref="M17:N17"/>
    <mergeCell ref="O17:Q17"/>
    <mergeCell ref="R17:S17"/>
    <mergeCell ref="T17:V17"/>
    <mergeCell ref="W17:X17"/>
    <mergeCell ref="Y17:Z17"/>
    <mergeCell ref="D18:G18"/>
    <mergeCell ref="H18:I18"/>
    <mergeCell ref="J18:L18"/>
    <mergeCell ref="M18:N18"/>
    <mergeCell ref="O18:Q18"/>
    <mergeCell ref="R18:S18"/>
    <mergeCell ref="T18:V18"/>
    <mergeCell ref="W18:X18"/>
    <mergeCell ref="Y18:Z18"/>
    <mergeCell ref="D19:G19"/>
    <mergeCell ref="H19:I19"/>
    <mergeCell ref="J19:L19"/>
    <mergeCell ref="M19:N19"/>
    <mergeCell ref="O19:Q19"/>
    <mergeCell ref="R19:S19"/>
    <mergeCell ref="T19:V19"/>
    <mergeCell ref="W19:X19"/>
    <mergeCell ref="Y19:Z19"/>
    <mergeCell ref="D20:G20"/>
    <mergeCell ref="H20:I20"/>
    <mergeCell ref="J20:L20"/>
    <mergeCell ref="M20:N20"/>
    <mergeCell ref="O20:Q20"/>
    <mergeCell ref="R20:S20"/>
    <mergeCell ref="T20:V20"/>
    <mergeCell ref="W20:X20"/>
    <mergeCell ref="Y20:Z20"/>
    <mergeCell ref="D21:G21"/>
    <mergeCell ref="H21:I21"/>
    <mergeCell ref="J21:L21"/>
    <mergeCell ref="M21:N21"/>
    <mergeCell ref="O21:Q21"/>
    <mergeCell ref="R21:S21"/>
    <mergeCell ref="T21:V21"/>
    <mergeCell ref="W21:X21"/>
    <mergeCell ref="Y21:Z21"/>
    <mergeCell ref="D22:G22"/>
    <mergeCell ref="H22:I22"/>
    <mergeCell ref="J22:L22"/>
    <mergeCell ref="M22:N22"/>
    <mergeCell ref="O22:Q22"/>
    <mergeCell ref="R22:S22"/>
    <mergeCell ref="T22:V22"/>
    <mergeCell ref="W22:X22"/>
    <mergeCell ref="Y22:Z22"/>
    <mergeCell ref="B7:C9"/>
    <mergeCell ref="B10:C12"/>
    <mergeCell ref="B13:C15"/>
    <mergeCell ref="B16:C18"/>
    <mergeCell ref="B19:C23"/>
    <mergeCell ref="B26:Z26"/>
    <mergeCell ref="B27:C27"/>
    <mergeCell ref="D27:G27"/>
    <mergeCell ref="H27:I27"/>
    <mergeCell ref="J27:L27"/>
    <mergeCell ref="M27:N27"/>
    <mergeCell ref="O27:Q27"/>
    <mergeCell ref="R27:S27"/>
    <mergeCell ref="T27:V27"/>
    <mergeCell ref="D28:G28"/>
    <mergeCell ref="H28:I28"/>
    <mergeCell ref="J28:L28"/>
    <mergeCell ref="M28:N28"/>
    <mergeCell ref="O28:Q28"/>
    <mergeCell ref="R28:S28"/>
    <mergeCell ref="T28:V28"/>
    <mergeCell ref="D29:G29"/>
    <mergeCell ref="H29:I29"/>
    <mergeCell ref="J29:L29"/>
    <mergeCell ref="M29:N29"/>
    <mergeCell ref="O29:Q29"/>
    <mergeCell ref="R29:S29"/>
    <mergeCell ref="T29:V29"/>
    <mergeCell ref="D30:G30"/>
    <mergeCell ref="H30:I30"/>
    <mergeCell ref="J30:L30"/>
    <mergeCell ref="M30:N30"/>
    <mergeCell ref="O30:Q30"/>
    <mergeCell ref="R30:S30"/>
    <mergeCell ref="T30:V30"/>
    <mergeCell ref="D31:G31"/>
    <mergeCell ref="H31:I31"/>
    <mergeCell ref="J31:L31"/>
    <mergeCell ref="M31:N31"/>
    <mergeCell ref="O31:Q31"/>
    <mergeCell ref="R31:S31"/>
    <mergeCell ref="T31:V31"/>
    <mergeCell ref="D32:G32"/>
    <mergeCell ref="H32:I32"/>
    <mergeCell ref="J32:L32"/>
    <mergeCell ref="M32:N32"/>
    <mergeCell ref="O32:Q32"/>
    <mergeCell ref="R32:S32"/>
    <mergeCell ref="T32:V32"/>
    <mergeCell ref="D33:G33"/>
    <mergeCell ref="H33:I33"/>
    <mergeCell ref="J33:L33"/>
    <mergeCell ref="M33:N33"/>
    <mergeCell ref="O33:Q33"/>
    <mergeCell ref="R33:S33"/>
    <mergeCell ref="T33:V33"/>
    <mergeCell ref="D34:G34"/>
    <mergeCell ref="H34:I34"/>
    <mergeCell ref="J34:L34"/>
    <mergeCell ref="M34:N34"/>
    <mergeCell ref="O34:Q34"/>
    <mergeCell ref="R34:S34"/>
    <mergeCell ref="T34:V34"/>
    <mergeCell ref="D35:G35"/>
    <mergeCell ref="H35:I35"/>
    <mergeCell ref="J35:L35"/>
    <mergeCell ref="M35:N35"/>
    <mergeCell ref="O35:Q35"/>
    <mergeCell ref="R35:S35"/>
    <mergeCell ref="T35:V35"/>
    <mergeCell ref="D36:G36"/>
    <mergeCell ref="H36:I36"/>
    <mergeCell ref="J36:L36"/>
    <mergeCell ref="M36:N36"/>
    <mergeCell ref="O36:Q36"/>
    <mergeCell ref="R36:S36"/>
    <mergeCell ref="T36:V36"/>
    <mergeCell ref="D37:G37"/>
    <mergeCell ref="H37:I37"/>
    <mergeCell ref="J37:L37"/>
    <mergeCell ref="M37:N37"/>
    <mergeCell ref="O37:Q37"/>
    <mergeCell ref="R37:S37"/>
    <mergeCell ref="T37:V37"/>
    <mergeCell ref="D38:G38"/>
    <mergeCell ref="H38:I38"/>
    <mergeCell ref="J38:L38"/>
    <mergeCell ref="M38:N38"/>
    <mergeCell ref="O38:Q38"/>
    <mergeCell ref="R38:S38"/>
    <mergeCell ref="T38:V38"/>
    <mergeCell ref="D39:G39"/>
    <mergeCell ref="H39:I39"/>
    <mergeCell ref="J39:L39"/>
    <mergeCell ref="M39:N39"/>
    <mergeCell ref="O39:Q39"/>
    <mergeCell ref="R39:S39"/>
    <mergeCell ref="T39:V39"/>
    <mergeCell ref="D40:G40"/>
    <mergeCell ref="H40:I40"/>
    <mergeCell ref="J40:L40"/>
    <mergeCell ref="M40:N40"/>
    <mergeCell ref="O40:Q40"/>
    <mergeCell ref="R40:S40"/>
    <mergeCell ref="T40:V40"/>
    <mergeCell ref="D41:G41"/>
    <mergeCell ref="H41:I41"/>
    <mergeCell ref="J41:L41"/>
    <mergeCell ref="M41:N41"/>
    <mergeCell ref="O41:Q41"/>
    <mergeCell ref="R41:S41"/>
    <mergeCell ref="T41:V41"/>
    <mergeCell ref="D42:G42"/>
    <mergeCell ref="H42:I42"/>
    <mergeCell ref="J42:L42"/>
    <mergeCell ref="M42:N42"/>
    <mergeCell ref="O42:Q42"/>
    <mergeCell ref="R42:S42"/>
    <mergeCell ref="T42:V42"/>
    <mergeCell ref="D43:G43"/>
    <mergeCell ref="H43:I43"/>
    <mergeCell ref="J43:L43"/>
    <mergeCell ref="M43:N43"/>
    <mergeCell ref="O43:Q43"/>
    <mergeCell ref="R43:S43"/>
    <mergeCell ref="T43:V43"/>
    <mergeCell ref="B28:C30"/>
    <mergeCell ref="B31:C33"/>
    <mergeCell ref="B34:C36"/>
    <mergeCell ref="B37:C39"/>
    <mergeCell ref="B40:C44"/>
    <mergeCell ref="D23:G23"/>
    <mergeCell ref="H23:I23"/>
    <mergeCell ref="J23:L23"/>
    <mergeCell ref="M23:N23"/>
    <mergeCell ref="O23:Q23"/>
    <mergeCell ref="R23:S23"/>
    <mergeCell ref="T23:V23"/>
    <mergeCell ref="W23:X23"/>
    <mergeCell ref="Y23:Z23"/>
    <mergeCell ref="D44:G44"/>
    <mergeCell ref="H44:I44"/>
    <mergeCell ref="J44:L44"/>
    <mergeCell ref="M44:N44"/>
    <mergeCell ref="O44:Q44"/>
    <mergeCell ref="R44:S44"/>
    <mergeCell ref="T44:V44"/>
  </mergeCells>
  <conditionalFormatting sqref="T7">
    <cfRule type="expression" dxfId="3" priority="1">
      <formula>AND(ISNUMBER(T7),T7&gt;0)</formula>
    </cfRule>
  </conditionalFormatting>
  <conditionalFormatting sqref="T7">
    <cfRule type="expression" dxfId="4" priority="2">
      <formula>AND(ISNUMBER(T7),T7&lt;0)</formula>
    </cfRule>
  </conditionalFormatting>
  <conditionalFormatting sqref="Y7">
    <cfRule type="expression" dxfId="3" priority="3">
      <formula>OR(Y7="meta atingida",Y7="dentro do limite",Y7="dentro da faixa")</formula>
    </cfRule>
  </conditionalFormatting>
  <conditionalFormatting sqref="Y7">
    <cfRule type="expression" dxfId="5" priority="4">
      <formula>OR(Y7="atenção",Y7="abaixo da meta")</formula>
    </cfRule>
  </conditionalFormatting>
  <conditionalFormatting sqref="Y7">
    <cfRule type="expression" dxfId="4" priority="5">
      <formula>OR(Y7="crítico",Y7="acima do limite")</formula>
    </cfRule>
  </conditionalFormatting>
  <conditionalFormatting sqref="T8">
    <cfRule type="expression" dxfId="3" priority="6">
      <formula>AND(ISNUMBER(T8),T8&gt;0)</formula>
    </cfRule>
  </conditionalFormatting>
  <conditionalFormatting sqref="T8">
    <cfRule type="expression" dxfId="4" priority="7">
      <formula>AND(ISNUMBER(T8),T8&lt;0)</formula>
    </cfRule>
  </conditionalFormatting>
  <conditionalFormatting sqref="Y8">
    <cfRule type="expression" dxfId="3" priority="8">
      <formula>OR(Y8="meta atingida",Y8="dentro do limite",Y8="dentro da faixa")</formula>
    </cfRule>
  </conditionalFormatting>
  <conditionalFormatting sqref="Y8">
    <cfRule type="expression" dxfId="5" priority="9">
      <formula>OR(Y8="atenção",Y8="abaixo da meta")</formula>
    </cfRule>
  </conditionalFormatting>
  <conditionalFormatting sqref="Y8">
    <cfRule type="expression" dxfId="4" priority="10">
      <formula>OR(Y8="crítico",Y8="acima do limite")</formula>
    </cfRule>
  </conditionalFormatting>
  <conditionalFormatting sqref="T9">
    <cfRule type="expression" dxfId="3" priority="11">
      <formula>AND(ISNUMBER(T9),T9&gt;0)</formula>
    </cfRule>
  </conditionalFormatting>
  <conditionalFormatting sqref="T9">
    <cfRule type="expression" dxfId="4" priority="12">
      <formula>AND(ISNUMBER(T9),T9&lt;0)</formula>
    </cfRule>
  </conditionalFormatting>
  <conditionalFormatting sqref="Y9">
    <cfRule type="expression" dxfId="3" priority="13">
      <formula>OR(Y9="meta atingida",Y9="dentro do limite",Y9="dentro da faixa")</formula>
    </cfRule>
  </conditionalFormatting>
  <conditionalFormatting sqref="Y9">
    <cfRule type="expression" dxfId="5" priority="14">
      <formula>OR(Y9="atenção",Y9="abaixo da meta")</formula>
    </cfRule>
  </conditionalFormatting>
  <conditionalFormatting sqref="Y9">
    <cfRule type="expression" dxfId="4" priority="15">
      <formula>OR(Y9="crítico",Y9="acima do limite")</formula>
    </cfRule>
  </conditionalFormatting>
  <conditionalFormatting sqref="T10">
    <cfRule type="expression" dxfId="3" priority="16">
      <formula>AND(ISNUMBER(T10),T10&gt;0)</formula>
    </cfRule>
  </conditionalFormatting>
  <conditionalFormatting sqref="T10">
    <cfRule type="expression" dxfId="4" priority="17">
      <formula>AND(ISNUMBER(T10),T10&lt;0)</formula>
    </cfRule>
  </conditionalFormatting>
  <conditionalFormatting sqref="Y10">
    <cfRule type="expression" dxfId="3" priority="18">
      <formula>OR(Y10="meta atingida",Y10="dentro do limite",Y10="dentro da faixa")</formula>
    </cfRule>
  </conditionalFormatting>
  <conditionalFormatting sqref="Y10">
    <cfRule type="expression" dxfId="5" priority="19">
      <formula>OR(Y10="atenção",Y10="abaixo da meta")</formula>
    </cfRule>
  </conditionalFormatting>
  <conditionalFormatting sqref="Y10">
    <cfRule type="expression" dxfId="4" priority="20">
      <formula>OR(Y10="crítico",Y10="acima do limite")</formula>
    </cfRule>
  </conditionalFormatting>
  <conditionalFormatting sqref="T11">
    <cfRule type="expression" dxfId="3" priority="21">
      <formula>AND(ISNUMBER(T11),T11&gt;0)</formula>
    </cfRule>
  </conditionalFormatting>
  <conditionalFormatting sqref="T11">
    <cfRule type="expression" dxfId="4" priority="22">
      <formula>AND(ISNUMBER(T11),T11&lt;0)</formula>
    </cfRule>
  </conditionalFormatting>
  <conditionalFormatting sqref="Y11">
    <cfRule type="expression" dxfId="3" priority="23">
      <formula>OR(Y11="meta atingida",Y11="dentro do limite",Y11="dentro da faixa")</formula>
    </cfRule>
  </conditionalFormatting>
  <conditionalFormatting sqref="Y11">
    <cfRule type="expression" dxfId="5" priority="24">
      <formula>OR(Y11="atenção",Y11="abaixo da meta")</formula>
    </cfRule>
  </conditionalFormatting>
  <conditionalFormatting sqref="Y11">
    <cfRule type="expression" dxfId="4" priority="25">
      <formula>OR(Y11="crítico",Y11="acima do limite")</formula>
    </cfRule>
  </conditionalFormatting>
  <conditionalFormatting sqref="T12">
    <cfRule type="expression" dxfId="3" priority="26">
      <formula>AND(ISNUMBER(T12),T12&gt;0)</formula>
    </cfRule>
  </conditionalFormatting>
  <conditionalFormatting sqref="T12">
    <cfRule type="expression" dxfId="4" priority="27">
      <formula>AND(ISNUMBER(T12),T12&lt;0)</formula>
    </cfRule>
  </conditionalFormatting>
  <conditionalFormatting sqref="Y12">
    <cfRule type="expression" dxfId="3" priority="28">
      <formula>OR(Y12="meta atingida",Y12="dentro do limite",Y12="dentro da faixa")</formula>
    </cfRule>
  </conditionalFormatting>
  <conditionalFormatting sqref="Y12">
    <cfRule type="expression" dxfId="5" priority="29">
      <formula>OR(Y12="atenção",Y12="abaixo da meta")</formula>
    </cfRule>
  </conditionalFormatting>
  <conditionalFormatting sqref="Y12">
    <cfRule type="expression" dxfId="4" priority="30">
      <formula>OR(Y12="crítico",Y12="acima do limite")</formula>
    </cfRule>
  </conditionalFormatting>
  <conditionalFormatting sqref="T13">
    <cfRule type="expression" dxfId="3" priority="31">
      <formula>AND(ISNUMBER(T13),T13&lt;0)</formula>
    </cfRule>
  </conditionalFormatting>
  <conditionalFormatting sqref="T13">
    <cfRule type="expression" dxfId="4" priority="32">
      <formula>AND(ISNUMBER(T13),T13&gt;0)</formula>
    </cfRule>
  </conditionalFormatting>
  <conditionalFormatting sqref="Y13">
    <cfRule type="expression" dxfId="3" priority="33">
      <formula>OR(Y13="meta atingida",Y13="dentro do limite",Y13="dentro da faixa")</formula>
    </cfRule>
  </conditionalFormatting>
  <conditionalFormatting sqref="Y13">
    <cfRule type="expression" dxfId="5" priority="34">
      <formula>OR(Y13="atenção",Y13="abaixo da meta")</formula>
    </cfRule>
  </conditionalFormatting>
  <conditionalFormatting sqref="Y13">
    <cfRule type="expression" dxfId="4" priority="35">
      <formula>OR(Y13="crítico",Y13="acima do limite")</formula>
    </cfRule>
  </conditionalFormatting>
  <conditionalFormatting sqref="T14">
    <cfRule type="expression" dxfId="3" priority="36">
      <formula>AND(ISNUMBER(T14),T14&lt;0)</formula>
    </cfRule>
  </conditionalFormatting>
  <conditionalFormatting sqref="T14">
    <cfRule type="expression" dxfId="4" priority="37">
      <formula>AND(ISNUMBER(T14),T14&gt;0)</formula>
    </cfRule>
  </conditionalFormatting>
  <conditionalFormatting sqref="Y14">
    <cfRule type="expression" dxfId="3" priority="38">
      <formula>OR(Y14="meta atingida",Y14="dentro do limite",Y14="dentro da faixa")</formula>
    </cfRule>
  </conditionalFormatting>
  <conditionalFormatting sqref="Y14">
    <cfRule type="expression" dxfId="5" priority="39">
      <formula>OR(Y14="atenção",Y14="abaixo da meta")</formula>
    </cfRule>
  </conditionalFormatting>
  <conditionalFormatting sqref="Y14">
    <cfRule type="expression" dxfId="4" priority="40">
      <formula>OR(Y14="crítico",Y14="acima do limite")</formula>
    </cfRule>
  </conditionalFormatting>
  <conditionalFormatting sqref="T15">
    <cfRule type="expression" dxfId="3" priority="41">
      <formula>AND(ISNUMBER(T15),T15&lt;0)</formula>
    </cfRule>
  </conditionalFormatting>
  <conditionalFormatting sqref="T15">
    <cfRule type="expression" dxfId="4" priority="42">
      <formula>AND(ISNUMBER(T15),T15&gt;0)</formula>
    </cfRule>
  </conditionalFormatting>
  <conditionalFormatting sqref="Y15">
    <cfRule type="expression" dxfId="3" priority="43">
      <formula>OR(Y15="meta atingida",Y15="dentro do limite",Y15="dentro da faixa")</formula>
    </cfRule>
  </conditionalFormatting>
  <conditionalFormatting sqref="Y15">
    <cfRule type="expression" dxfId="5" priority="44">
      <formula>OR(Y15="atenção",Y15="abaixo da meta")</formula>
    </cfRule>
  </conditionalFormatting>
  <conditionalFormatting sqref="Y15">
    <cfRule type="expression" dxfId="4" priority="45">
      <formula>OR(Y15="crítico",Y15="acima do limite")</formula>
    </cfRule>
  </conditionalFormatting>
  <conditionalFormatting sqref="Y16">
    <cfRule type="expression" dxfId="3" priority="46">
      <formula>OR(Y16="meta atingida",Y16="dentro do limite",Y16="dentro da faixa")</formula>
    </cfRule>
  </conditionalFormatting>
  <conditionalFormatting sqref="Y16">
    <cfRule type="expression" dxfId="5" priority="47">
      <formula>OR(Y16="atenção",Y16="abaixo da meta")</formula>
    </cfRule>
  </conditionalFormatting>
  <conditionalFormatting sqref="Y16">
    <cfRule type="expression" dxfId="4" priority="48">
      <formula>OR(Y16="crítico",Y16="acima do limite")</formula>
    </cfRule>
  </conditionalFormatting>
  <conditionalFormatting sqref="Y17">
    <cfRule type="expression" dxfId="3" priority="49">
      <formula>OR(Y17="meta atingida",Y17="dentro do limite",Y17="dentro da faixa")</formula>
    </cfRule>
  </conditionalFormatting>
  <conditionalFormatting sqref="Y17">
    <cfRule type="expression" dxfId="5" priority="50">
      <formula>OR(Y17="atenção",Y17="abaixo da meta")</formula>
    </cfRule>
  </conditionalFormatting>
  <conditionalFormatting sqref="Y17">
    <cfRule type="expression" dxfId="4" priority="51">
      <formula>OR(Y17="crítico",Y17="acima do limite")</formula>
    </cfRule>
  </conditionalFormatting>
  <conditionalFormatting sqref="Y18">
    <cfRule type="expression" dxfId="3" priority="52">
      <formula>OR(Y18="meta atingida",Y18="dentro do limite",Y18="dentro da faixa")</formula>
    </cfRule>
  </conditionalFormatting>
  <conditionalFormatting sqref="Y18">
    <cfRule type="expression" dxfId="5" priority="53">
      <formula>OR(Y18="atenção",Y18="abaixo da meta")</formula>
    </cfRule>
  </conditionalFormatting>
  <conditionalFormatting sqref="Y18">
    <cfRule type="expression" dxfId="4" priority="54">
      <formula>OR(Y18="crítico",Y18="acima do limite")</formula>
    </cfRule>
  </conditionalFormatting>
  <conditionalFormatting sqref="T19">
    <cfRule type="expression" dxfId="3" priority="55">
      <formula>AND(ISNUMBER(T19),T19&gt;0)</formula>
    </cfRule>
  </conditionalFormatting>
  <conditionalFormatting sqref="T19">
    <cfRule type="expression" dxfId="4" priority="56">
      <formula>AND(ISNUMBER(T19),T19&lt;0)</formula>
    </cfRule>
  </conditionalFormatting>
  <conditionalFormatting sqref="Y19">
    <cfRule type="expression" dxfId="3" priority="57">
      <formula>OR(Y19="meta atingida",Y19="dentro do limite",Y19="dentro da faixa")</formula>
    </cfRule>
  </conditionalFormatting>
  <conditionalFormatting sqref="Y19">
    <cfRule type="expression" dxfId="5" priority="58">
      <formula>OR(Y19="atenção",Y19="abaixo da meta")</formula>
    </cfRule>
  </conditionalFormatting>
  <conditionalFormatting sqref="Y19">
    <cfRule type="expression" dxfId="4" priority="59">
      <formula>OR(Y19="crítico",Y19="acima do limite")</formula>
    </cfRule>
  </conditionalFormatting>
  <conditionalFormatting sqref="T20">
    <cfRule type="expression" dxfId="3" priority="60">
      <formula>AND(ISNUMBER(T20),T20&lt;0)</formula>
    </cfRule>
  </conditionalFormatting>
  <conditionalFormatting sqref="T20">
    <cfRule type="expression" dxfId="4" priority="61">
      <formula>AND(ISNUMBER(T20),T20&gt;0)</formula>
    </cfRule>
  </conditionalFormatting>
  <conditionalFormatting sqref="Y20">
    <cfRule type="expression" dxfId="3" priority="62">
      <formula>OR(Y20="meta atingida",Y20="dentro do limite",Y20="dentro da faixa")</formula>
    </cfRule>
  </conditionalFormatting>
  <conditionalFormatting sqref="Y20">
    <cfRule type="expression" dxfId="5" priority="63">
      <formula>OR(Y20="atenção",Y20="abaixo da meta")</formula>
    </cfRule>
  </conditionalFormatting>
  <conditionalFormatting sqref="Y20">
    <cfRule type="expression" dxfId="4" priority="64">
      <formula>OR(Y20="crítico",Y20="acima do limite")</formula>
    </cfRule>
  </conditionalFormatting>
  <conditionalFormatting sqref="Y21">
    <cfRule type="expression" dxfId="3" priority="65">
      <formula>OR(Y21="meta atingida",Y21="dentro do limite",Y21="dentro da faixa")</formula>
    </cfRule>
  </conditionalFormatting>
  <conditionalFormatting sqref="Y21">
    <cfRule type="expression" dxfId="5" priority="66">
      <formula>OR(Y21="atenção",Y21="abaixo da meta")</formula>
    </cfRule>
  </conditionalFormatting>
  <conditionalFormatting sqref="Y21">
    <cfRule type="expression" dxfId="4" priority="67">
      <formula>OR(Y21="crítico",Y21="acima do limite")</formula>
    </cfRule>
  </conditionalFormatting>
  <conditionalFormatting sqref="Y22">
    <cfRule type="expression" dxfId="3" priority="68">
      <formula>OR(Y22="meta atingida",Y22="dentro do limite",Y22="dentro da faixa")</formula>
    </cfRule>
  </conditionalFormatting>
  <conditionalFormatting sqref="Y22">
    <cfRule type="expression" dxfId="5" priority="69">
      <formula>OR(Y22="atenção",Y22="abaixo da meta")</formula>
    </cfRule>
  </conditionalFormatting>
  <conditionalFormatting sqref="Y22">
    <cfRule type="expression" dxfId="4" priority="70">
      <formula>OR(Y22="crítico",Y22="acima do limite")</formula>
    </cfRule>
  </conditionalFormatting>
  <dataValidations count="1">
    <dataValidation type="list" allowBlank="0" showInputMessage="1" showErrorMessage="1" errorTitle="Mês / ano" error="Escolha um mês da lista." promptTitle="Mês / ano" prompt="Escolha o mês / ano do Quadro. Para trocar o cliente, use o filtro da aba Indicadores." sqref="V1">
      <formula1>calculos!$AH$12:$AH$35</formula1>
    </dataValidation>
  </dataValidations>
  <pageMargins left="0.25" right="0.25" top="0.4" bottom="0.4" header="0.2" footer="0.2"/>
  <pageSetup paperSize="9" orientation="landscape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AH244"/>
  <sheetViews>
    <sheetView showGridLines="0" zoomScale="100" zoomScaleNormal="100" workbookViewId="0">
      <pane xSplit="2" ySplit="11" topLeftCell="C12" activePane="bottomRight" state="frozen"/>
      <selection pane="bottomRight" activeCell="C12" sqref="C12"/>
    </sheetView>
  </sheetViews>
  <sheetFormatPr defaultRowHeight="15"/>
  <cols>
    <col min="1" max="1" width="26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2" customWidth="1"/>
    <col min="28" max="28" width="14" customWidth="1"/>
    <col min="29" max="29" width="2" customWidth="1"/>
    <col min="30" max="30" width="20" customWidth="1"/>
    <col min="31" max="31" width="2" customWidth="1"/>
    <col min="32" max="32" width="52" customWidth="1"/>
    <col min="33" max="33" width="2" customWidth="1"/>
    <col min="34" max="34" width="22" customWidth="1"/>
  </cols>
  <sheetData>
    <row r="1">
      <c r="A1" s="137" t="inlineStr">
        <is>
          <t xml:space="preserve">CÁLCULOS — base dos KPIs, quadro e gráficos da aba Indicadores (gerado automaticamente; células amarelas podem ser editadas)</t>
        </is>
      </c>
    </row>
    <row r="2">
      <c r="A2" s="138" t="inlineStr">
        <is>
          <t xml:space="preserve">Cliente selecionado</t>
        </is>
      </c>
      <c r="B2" s="138" t="str">
        <f>IF(OR(Indicadores!$D$3="",Indicadores!$D$3="Todos"),"Todos",Indicadores!$D$3)</f>
        <v>Todos</v>
      </c>
    </row>
    <row r="3">
      <c r="A3" s="138" t="inlineStr">
        <is>
          <t xml:space="preserve">Métrica dos gráficos</t>
        </is>
      </c>
      <c r="B3" s="138" t="inlineStr">
        <is>
          <t xml:space="preserve">Veículos</t>
        </is>
      </c>
      <c r="C3" s="139">
        <f>IFERROR(MATCH($B$3,$AB$12:$AB$14,0),1)</f>
        <v>1</v>
      </c>
    </row>
    <row r="4">
      <c r="A4" s="138" t="inlineStr">
        <is>
          <t xml:space="preserve">Capacidade do CD (posições)</t>
        </is>
      </c>
      <c r="B4" s="140">
        <v>5872</v>
      </c>
      <c r="C4" s="120" t="inlineStr">
        <is>
          <t xml:space="preserve">Fonte: informada (meta.capacidadeCD do Power Automate)</t>
        </is>
      </c>
    </row>
    <row r="5">
      <c r="A5" s="138" t="inlineStr">
        <is>
          <t xml:space="preserve">Faixa de atenção (ocupação)</t>
        </is>
      </c>
      <c r="B5" s="141">
        <v>0.7</v>
      </c>
    </row>
    <row r="6">
      <c r="A6" s="138" t="inlineStr">
        <is>
          <t xml:space="preserve">Faixa crítica (ocupação)</t>
        </is>
      </c>
      <c r="B6" s="141">
        <v>0.9</v>
      </c>
    </row>
    <row r="7">
      <c r="A7" s="138" t="inlineStr">
        <is>
          <t xml:space="preserve">Competência</t>
        </is>
      </c>
      <c r="B7" s="142" t="str">
        <f>INDEX({"Janeiro","Fevereiro","Março","Abril","Maio","Junho","Julho","Agosto","Setembro","Outubro","Novembro","Dezembro"},MONTH($C$7))&amp;"/"&amp;YEAR($C$7)</f>
        <v>Setembro/2026</v>
      </c>
      <c r="C7" s="143">
        <f>IF(ISNUMBER(Indicadores!$U$1),DATE(YEAR(Indicadores!$U$1),MONTH(Indicadores!$U$1),1),IFERROR(DATE(VALUE(RIGHT(TRIM(Indicadores!$U$1),4)),MATCH(TRIM(LEFT(Indicadores!$U$1,FIND("·",Indicadores!$U$1)-1)),{"JANEIRO","FEVEREIRO","MARÇO","ABRIL","MAIO","JUNHO","JULHO","AGOSTO","SETEMBRO","OUTUBRO","NOVEMBRO","DEZEMBRO"},0),1),DATE(2026,9,1)))</f>
        <v>46266</v>
      </c>
      <c r="D7" s="143">
        <f>DATE(YEAR($C$7),MONTH($C$7)+1,0)</f>
        <v>46295</v>
      </c>
    </row>
    <row r="8">
      <c r="A8" s="138" t="inlineStr">
        <is>
          <t xml:space="preserve">Mês anterior (comparação)</t>
        </is>
      </c>
      <c r="B8" s="142" t="str">
        <f>INDEX({"Janeiro","Fevereiro","Março","Abril","Maio","Junho","Julho","Agosto","Setembro","Outubro","Novembro","Dezembro"},MONTH($C$8))&amp;"/"&amp;YEAR($C$8)</f>
        <v>Agosto/2026</v>
      </c>
      <c r="C8" s="143">
        <f>DATE(YEAR($C$7),MONTH($C$7)-1,1)</f>
        <v>46235</v>
      </c>
      <c r="D8" s="143">
        <f>IF($B$9=0,$C$8-1,MIN($C$8+MAX(MIN($B$9,31),1)-1,DATE(YEAR($C$8),MONTH($C$8)+1,0)))</f>
        <v>46263</v>
      </c>
    </row>
    <row r="9">
      <c r="A9" s="138" t="inlineStr">
        <is>
          <t xml:space="preserve">Comparar até o dia</t>
        </is>
      </c>
      <c r="B9" s="144">
        <f>IFERROR(IF(_xlfn.MAXIFS(Base!$A$3:$A$5001,Base!$A$3:$A$5001,"&gt;="&amp;$C$7,Base!$A$3:$A$5001,"&lt;="&amp;$D$7)=0,0,DAY(_xlfn.MAXIFS(Base!$A$3:$A$5001,Base!$A$3:$A$5001,"&gt;="&amp;$C$7,Base!$A$3:$A$5001,"&lt;="&amp;$D$7))),0)</f>
        <v>29</v>
      </c>
      <c r="C9" s="120" t="inlineStr">
        <is>
          <t xml:space="preserve">o mês anterior é somado do dia 1 até este dia (último dia com dado no mês escolhido)</t>
        </is>
      </c>
    </row>
    <row r="11" ht="34" customHeight="1">
      <c r="A11" s="145" t="inlineStr">
        <is>
          <t xml:space="preserve">Dia</t>
        </is>
      </c>
      <c r="B11" s="145" t="inlineStr">
        <is>
          <t xml:space="preserve">Data</t>
        </is>
      </c>
      <c r="C11" s="145" t="inlineStr">
        <is>
          <t xml:space="preserve">IN Veículos Recebidos</t>
        </is>
      </c>
      <c r="D11" s="145" t="inlineStr">
        <is>
          <t xml:space="preserve">IN Pallets Movimentados</t>
        </is>
      </c>
      <c r="E11" s="145" t="inlineStr">
        <is>
          <t xml:space="preserve">IN Toneladas Movimentadas</t>
        </is>
      </c>
      <c r="F11" s="145" t="inlineStr">
        <is>
          <t xml:space="preserve">OUT Veículos Expedidos</t>
        </is>
      </c>
      <c r="G11" s="145" t="inlineStr">
        <is>
          <t xml:space="preserve">OUT Pallets Movimentados</t>
        </is>
      </c>
      <c r="H11" s="145" t="inlineStr">
        <is>
          <t xml:space="preserve">OUT Toneladas Movimentadas</t>
        </is>
      </c>
      <c r="I11" s="145" t="inlineStr">
        <is>
          <t xml:space="preserve">NC Incidentes</t>
        </is>
      </c>
      <c r="J11" s="145" t="inlineStr">
        <is>
          <t xml:space="preserve">NC No show</t>
        </is>
      </c>
      <c r="K11" s="145" t="inlineStr">
        <is>
          <t xml:space="preserve">NC Backlog</t>
        </is>
      </c>
      <c r="L11" s="145" t="inlineStr">
        <is>
          <t xml:space="preserve">OCC Posições Disponíveis</t>
        </is>
      </c>
      <c r="M11" s="145" t="inlineStr">
        <is>
          <t xml:space="preserve">OCC Posições Ocupadas</t>
        </is>
      </c>
      <c r="N11" s="145" t="inlineStr">
        <is>
          <t xml:space="preserve">OCC Taxa de Ocupação</t>
        </is>
      </c>
      <c r="O11" s="145" t="inlineStr">
        <is>
          <t xml:space="preserve">GENTE Efetivo Op.</t>
        </is>
      </c>
      <c r="P11" s="145" t="inlineStr">
        <is>
          <t xml:space="preserve">GENTE Falta</t>
        </is>
      </c>
      <c r="Q11" s="145" t="inlineStr">
        <is>
          <t xml:space="preserve">GENTE Folga</t>
        </is>
      </c>
      <c r="R11" s="145" t="inlineStr">
        <is>
          <t xml:space="preserve">GENTE Férias</t>
        </is>
      </c>
      <c r="S11" s="145" t="inlineStr">
        <is>
          <t xml:space="preserve">GENTE Desligamento</t>
        </is>
      </c>
      <c r="T11" s="145" t="inlineStr">
        <is>
          <t xml:space="preserve">Dia da semana</t>
        </is>
      </c>
      <c r="U11" s="145" t="inlineStr">
        <is>
          <t xml:space="preserve">IN métrica</t>
        </is>
      </c>
      <c r="V11" s="145" t="inlineStr">
        <is>
          <t xml:space="preserve">OUT métrica</t>
        </is>
      </c>
      <c r="W11" s="145" t="inlineStr">
        <is>
          <t xml:space="preserve">Média IN</t>
        </is>
      </c>
      <c r="X11" s="145" t="inlineStr">
        <is>
          <t xml:space="preserve">Média OUT</t>
        </is>
      </c>
      <c r="Y11" s="145" t="inlineStr">
        <is>
          <t xml:space="preserve">Faixa atenção</t>
        </is>
      </c>
      <c r="Z11" s="145" t="inlineStr">
        <is>
          <t xml:space="preserve">Faixa crítica</t>
        </is>
      </c>
      <c r="AB11" s="145" t="inlineStr">
        <is>
          <t xml:space="preserve">Métricas</t>
        </is>
      </c>
      <c r="AD11" s="145" t="inlineStr">
        <is>
          <t xml:space="preserve">Clientes (filtro)</t>
        </is>
      </c>
      <c r="AF11" s="145" t="inlineStr">
        <is>
          <t xml:space="preserve">Títulos dos gráficos (seguem os filtros)</t>
        </is>
      </c>
      <c r="AH11" s="145" t="inlineStr">
        <is>
          <t xml:space="preserve">Meses (filtros das abas)</t>
        </is>
      </c>
    </row>
    <row r="12">
      <c r="A12" s="139">
        <v>1</v>
      </c>
      <c r="B12" s="152">
        <f>IF(ISNUMBER($A12),$C$7+$A12-1,"")</f>
        <v>46266</v>
      </c>
      <c r="C12" s="153">
        <f>IF($B$2="Todos",SUMIFS(Base!$C$3:$C$5001,Base!$A$3:$A$5001,$B12),SUMIFS(Base!$C$3:$C$5001,Base!$A$3:$A$5001,$B12,Base!$B$3:$B$5001,$B$2))</f>
        <v>24</v>
      </c>
      <c r="D12" s="153">
        <f>IF($B$2="Todos",SUMIFS(Base!$D$3:$D$5001,Base!$A$3:$A$5001,$B12),SUMIFS(Base!$D$3:$D$5001,Base!$A$3:$A$5001,$B12,Base!$B$3:$B$5001,$B$2))</f>
        <v>573</v>
      </c>
      <c r="E12" s="154">
        <f>IF($B$2="Todos",SUMIFS(Base!$E$3:$E$5001,Base!$A$3:$A$5001,$B12),SUMIFS(Base!$E$3:$E$5001,Base!$A$3:$A$5001,$B12,Base!$B$3:$B$5001,$B$2))</f>
        <v>426.82</v>
      </c>
      <c r="F12" s="153">
        <f>IF($B$2="Todos",SUMIFS(Base!$F$3:$F$5001,Base!$A$3:$A$5001,$B12),SUMIFS(Base!$F$3:$F$5001,Base!$A$3:$A$5001,$B12,Base!$B$3:$B$5001,$B$2))</f>
        <v>34</v>
      </c>
      <c r="G12" s="153">
        <f>IF($B$2="Todos",SUMIFS(Base!$G$3:$G$5001,Base!$A$3:$A$5001,$B12),SUMIFS(Base!$G$3:$G$5001,Base!$A$3:$A$5001,$B12,Base!$B$3:$B$5001,$B$2))</f>
        <v>612</v>
      </c>
      <c r="H12" s="154">
        <f>IF($B$2="Todos",SUMIFS(Base!$H$3:$H$5001,Base!$A$3:$A$5001,$B12),SUMIFS(Base!$H$3:$H$5001,Base!$A$3:$A$5001,$B12,Base!$B$3:$B$5001,$B$2))</f>
        <v>368.03</v>
      </c>
      <c r="I12" s="153">
        <f>IF($B$2="Todos",SUMIFS(Base!$I$3:$I$5001,Base!$A$3:$A$5001,$B12),SUMIFS(Base!$I$3:$I$5001,Base!$A$3:$A$5001,$B12,Base!$B$3:$B$5001,$B$2))</f>
        <v>1</v>
      </c>
      <c r="J12" s="153">
        <f>IF($B$2="Todos",SUMIFS(Base!$J$3:$J$5001,Base!$A$3:$A$5001,$B12),SUMIFS(Base!$J$3:$J$5001,Base!$A$3:$A$5001,$B12,Base!$B$3:$B$5001,$B$2))</f>
        <v>0</v>
      </c>
      <c r="K12" s="153" t="str">
        <f>IF($B$2="Todos",IF(COUNT($C$109:$G$109)=0,"",SUM($C$109:$G$109)),IFERROR(INDEX($C$109:$G$109,MATCH($B$2,$C$108:$G$108,0)),""))</f>
        <v/>
      </c>
      <c r="L12" s="155">
        <f>IF(M12="","",IF($B$2="Todos",$B$4,IFERROR(INDEX($C$179:$G$179,MATCH($B$2,$C$178:$G$178,0)),"")))</f>
        <v>5872</v>
      </c>
      <c r="M12" s="153">
        <f>IF($B$2="Todos",IF(COUNT($C$144:$G$144)=0,"",SUM($C$144:$G$144)),IFERROR(INDEX($C$144:$G$144,MATCH($B$2,$C$143:$G$143,0)),""))</f>
        <v>3718</v>
      </c>
      <c r="N12" s="156">
        <f>IF(AND(ISNUMBER(M12),ISNUMBER(L12)),IF(L12&gt;0,M12/L12,""),"")</f>
        <v>0.633174386920981</v>
      </c>
      <c r="O12" s="153">
        <f>IF($B$2="Todos",IF(COUNT($C$214:$G$214)=0,"",SUM($C$214:$G$214)),IFERROR(INDEX($C$214:$G$214,MATCH($B$2,$C$213:$G$213,0)),""))</f>
        <v>36</v>
      </c>
      <c r="P12" s="153">
        <f>IF($B$2="Todos",SUMIFS(Base!$O$3:$O$5001,Base!$A$3:$A$5001,$B12),SUMIFS(Base!$O$3:$O$5001,Base!$A$3:$A$5001,$B12,Base!$B$3:$B$5001,$B$2))</f>
        <v>0</v>
      </c>
      <c r="Q12" s="153">
        <f>IF($B$2="Todos",SUMIFS(Base!$P$3:$P$5001,Base!$A$3:$A$5001,$B12),SUMIFS(Base!$P$3:$P$5001,Base!$A$3:$A$5001,$B12,Base!$B$3:$B$5001,$B$2))</f>
        <v>0</v>
      </c>
      <c r="R12" s="153">
        <f>IF($B$2="Todos",SUMIFS(Base!$Q$3:$Q$5001,Base!$A$3:$A$5001,$B12),SUMIFS(Base!$Q$3:$Q$5001,Base!$A$3:$A$5001,$B12,Base!$B$3:$B$5001,$B$2))</f>
        <v>0</v>
      </c>
      <c r="S12" s="153">
        <f>IF($B$2="Todos",SUMIFS(Base!$R$3:$R$5001,Base!$A$3:$A$5001,$B12),SUMIFS(Base!$R$3:$R$5001,Base!$A$3:$A$5001,$B12,Base!$B$3:$B$5001,$B$2))</f>
        <v>0</v>
      </c>
      <c r="T12" s="139">
        <f>IF(ISNUMBER($B12),WEEKDAY($B12,2),"")</f>
        <v>2</v>
      </c>
      <c r="U12" s="157">
        <f>CHOOSE($C$3,C12,D12,E12)</f>
        <v>24</v>
      </c>
      <c r="V12" s="157">
        <f>CHOOSE($C$3,F12,G12,H12)</f>
        <v>34</v>
      </c>
      <c r="W12" s="157">
        <f>IFERROR(AVERAGEIF(U12:U42,"&gt;0"),0)</f>
        <v>17.6153846153846</v>
      </c>
      <c r="X12" s="157">
        <f>IFERROR(AVERAGEIF(V12:V42,"&gt;0"),0)</f>
        <v>25.0714285714286</v>
      </c>
      <c r="Y12" s="158">
        <f>$B$5</f>
        <v>0.7</v>
      </c>
      <c r="Z12" s="158">
        <f>$B$6</f>
        <v>0.9</v>
      </c>
      <c r="AB12" s="159" t="inlineStr">
        <is>
          <t xml:space="preserve">Veículos</t>
        </is>
      </c>
      <c r="AD12" s="159" t="inlineStr">
        <is>
          <t xml:space="preserve">Todos</t>
        </is>
      </c>
      <c r="AF12" s="159" t="str">
        <f>"Recebimento diário · "&amp;LOWER($B$3)&amp;" — "&amp;IF($B$2="Todos","todos os clientes",$B$2)</f>
        <v>Recebimento diário · veículos — todos os clientes</v>
      </c>
      <c r="AH12" s="159" t="inlineStr">
        <is>
          <t xml:space="preserve">JANEIRO · 2026</t>
        </is>
      </c>
    </row>
    <row r="13">
      <c r="A13" s="139">
        <v>2</v>
      </c>
      <c r="B13" s="152">
        <f>IF(ISNUMBER($A13),$C$7+$A13-1,"")</f>
        <v>46267</v>
      </c>
      <c r="C13" s="153">
        <f>IF($B$2="Todos",SUMIFS(Base!$C$3:$C$5001,Base!$A$3:$A$5001,$B13),SUMIFS(Base!$C$3:$C$5001,Base!$A$3:$A$5001,$B13,Base!$B$3:$B$5001,$B$2))</f>
        <v>15</v>
      </c>
      <c r="D13" s="153">
        <f>IF($B$2="Todos",SUMIFS(Base!$D$3:$D$5001,Base!$A$3:$A$5001,$B13),SUMIFS(Base!$D$3:$D$5001,Base!$A$3:$A$5001,$B13,Base!$B$3:$B$5001,$B$2))</f>
        <v>356</v>
      </c>
      <c r="E13" s="154">
        <f>IF($B$2="Todos",SUMIFS(Base!$E$3:$E$5001,Base!$A$3:$A$5001,$B13),SUMIFS(Base!$E$3:$E$5001,Base!$A$3:$A$5001,$B13,Base!$B$3:$B$5001,$B$2))</f>
        <v>242.51</v>
      </c>
      <c r="F13" s="153">
        <f>IF($B$2="Todos",SUMIFS(Base!$F$3:$F$5001,Base!$A$3:$A$5001,$B13),SUMIFS(Base!$F$3:$F$5001,Base!$A$3:$A$5001,$B13,Base!$B$3:$B$5001,$B$2))</f>
        <v>30</v>
      </c>
      <c r="G13" s="153">
        <f>IF($B$2="Todos",SUMIFS(Base!$G$3:$G$5001,Base!$A$3:$A$5001,$B13),SUMIFS(Base!$G$3:$G$5001,Base!$A$3:$A$5001,$B13,Base!$B$3:$B$5001,$B$2))</f>
        <v>540</v>
      </c>
      <c r="H13" s="154">
        <f>IF($B$2="Todos",SUMIFS(Base!$H$3:$H$5001,Base!$A$3:$A$5001,$B13),SUMIFS(Base!$H$3:$H$5001,Base!$A$3:$A$5001,$B13,Base!$B$3:$B$5001,$B$2))</f>
        <v>358.12</v>
      </c>
      <c r="I13" s="153">
        <f>IF($B$2="Todos",SUMIFS(Base!$I$3:$I$5001,Base!$A$3:$A$5001,$B13),SUMIFS(Base!$I$3:$I$5001,Base!$A$3:$A$5001,$B13,Base!$B$3:$B$5001,$B$2))</f>
        <v>0</v>
      </c>
      <c r="J13" s="153">
        <f>IF($B$2="Todos",SUMIFS(Base!$J$3:$J$5001,Base!$A$3:$A$5001,$B13),SUMIFS(Base!$J$3:$J$5001,Base!$A$3:$A$5001,$B13,Base!$B$3:$B$5001,$B$2))</f>
        <v>0</v>
      </c>
      <c r="K13" s="153" t="str">
        <f>IF($B$2="Todos",IF(COUNT($C$110:$G$110)=0,"",SUM($C$110:$G$110)),IFERROR(INDEX($C$110:$G$110,MATCH($B$2,$C$108:$G$108,0)),""))</f>
        <v/>
      </c>
      <c r="L13" s="155">
        <f>IF(M13="","",IF($B$2="Todos",$B$4,IFERROR(INDEX($C$180:$G$180,MATCH($B$2,$C$178:$G$178,0)),"")))</f>
        <v>5872</v>
      </c>
      <c r="M13" s="153">
        <f>IF($B$2="Todos",IF(COUNT($C$145:$G$145)=0,"",SUM($C$145:$G$145)),IFERROR(INDEX($C$145:$G$145,MATCH($B$2,$C$143:$G$143,0)),""))</f>
        <v>3233</v>
      </c>
      <c r="N13" s="156">
        <f>IF(AND(ISNUMBER(M13),ISNUMBER(L13)),IF(L13&gt;0,M13/L13,""),"")</f>
        <v>0.550579019073569</v>
      </c>
      <c r="O13" s="153">
        <f>IF($B$2="Todos",IF(COUNT($C$215:$G$215)=0,"",SUM($C$215:$G$215)),IFERROR(INDEX($C$215:$G$215,MATCH($B$2,$C$213:$G$213,0)),""))</f>
        <v>36</v>
      </c>
      <c r="P13" s="153">
        <f>IF($B$2="Todos",SUMIFS(Base!$O$3:$O$5001,Base!$A$3:$A$5001,$B13),SUMIFS(Base!$O$3:$O$5001,Base!$A$3:$A$5001,$B13,Base!$B$3:$B$5001,$B$2))</f>
        <v>0</v>
      </c>
      <c r="Q13" s="153">
        <f>IF($B$2="Todos",SUMIFS(Base!$P$3:$P$5001,Base!$A$3:$A$5001,$B13),SUMIFS(Base!$P$3:$P$5001,Base!$A$3:$A$5001,$B13,Base!$B$3:$B$5001,$B$2))</f>
        <v>0</v>
      </c>
      <c r="R13" s="153">
        <f>IF($B$2="Todos",SUMIFS(Base!$Q$3:$Q$5001,Base!$A$3:$A$5001,$B13),SUMIFS(Base!$Q$3:$Q$5001,Base!$A$3:$A$5001,$B13,Base!$B$3:$B$5001,$B$2))</f>
        <v>0</v>
      </c>
      <c r="S13" s="153">
        <f>IF($B$2="Todos",SUMIFS(Base!$R$3:$R$5001,Base!$A$3:$A$5001,$B13),SUMIFS(Base!$R$3:$R$5001,Base!$A$3:$A$5001,$B13,Base!$B$3:$B$5001,$B$2))</f>
        <v>0</v>
      </c>
      <c r="T13" s="139">
        <f>IF(ISNUMBER($B13),WEEKDAY($B13,2),"")</f>
        <v>3</v>
      </c>
      <c r="U13" s="157">
        <f>CHOOSE($C$3,C13,D13,E13)</f>
        <v>15</v>
      </c>
      <c r="V13" s="157">
        <f>CHOOSE($C$3,F13,G13,H13)</f>
        <v>30</v>
      </c>
      <c r="W13" s="157">
        <f>IFERROR(AVERAGEIF(U12:U42,"&gt;0"),0)</f>
        <v>17.6153846153846</v>
      </c>
      <c r="X13" s="157">
        <f>IFERROR(AVERAGEIF(V12:V42,"&gt;0"),0)</f>
        <v>25.0714285714286</v>
      </c>
      <c r="Y13" s="158">
        <f>$B$5</f>
        <v>0.7</v>
      </c>
      <c r="Z13" s="158">
        <f>$B$6</f>
        <v>0.9</v>
      </c>
      <c r="AB13" s="159" t="inlineStr">
        <is>
          <t xml:space="preserve">Pallets</t>
        </is>
      </c>
      <c r="AD13" s="159" t="inlineStr">
        <is>
          <t xml:space="preserve">Barry Callebaut</t>
        </is>
      </c>
      <c r="AF13" s="159" t="str">
        <f>"Expedição diária · "&amp;LOWER($B$3)&amp;" — "&amp;IF($B$2="Todos","todos os clientes",$B$2)</f>
        <v>Expedição diária · veículos — todos os clientes</v>
      </c>
      <c r="AH13" s="159" t="inlineStr">
        <is>
          <t xml:space="preserve">FEVEREIRO · 2026</t>
        </is>
      </c>
    </row>
    <row r="14">
      <c r="A14" s="139">
        <v>3</v>
      </c>
      <c r="B14" s="152">
        <f>IF(ISNUMBER($A14),$C$7+$A14-1,"")</f>
        <v>46268</v>
      </c>
      <c r="C14" s="153">
        <f>IF($B$2="Todos",SUMIFS(Base!$C$3:$C$5001,Base!$A$3:$A$5001,$B14),SUMIFS(Base!$C$3:$C$5001,Base!$A$3:$A$5001,$B14,Base!$B$3:$B$5001,$B$2))</f>
        <v>25</v>
      </c>
      <c r="D14" s="153">
        <f>IF($B$2="Todos",SUMIFS(Base!$D$3:$D$5001,Base!$A$3:$A$5001,$B14),SUMIFS(Base!$D$3:$D$5001,Base!$A$3:$A$5001,$B14,Base!$B$3:$B$5001,$B$2))</f>
        <v>572</v>
      </c>
      <c r="E14" s="154">
        <f>IF($B$2="Todos",SUMIFS(Base!$E$3:$E$5001,Base!$A$3:$A$5001,$B14),SUMIFS(Base!$E$3:$E$5001,Base!$A$3:$A$5001,$B14,Base!$B$3:$B$5001,$B$2))</f>
        <v>501.26</v>
      </c>
      <c r="F14" s="153">
        <f>IF($B$2="Todos",SUMIFS(Base!$F$3:$F$5001,Base!$A$3:$A$5001,$B14),SUMIFS(Base!$F$3:$F$5001,Base!$A$3:$A$5001,$B14,Base!$B$3:$B$5001,$B$2))</f>
        <v>33</v>
      </c>
      <c r="G14" s="153">
        <f>IF($B$2="Todos",SUMIFS(Base!$G$3:$G$5001,Base!$A$3:$A$5001,$B14),SUMIFS(Base!$G$3:$G$5001,Base!$A$3:$A$5001,$B14,Base!$B$3:$B$5001,$B$2))</f>
        <v>594</v>
      </c>
      <c r="H14" s="154">
        <f>IF($B$2="Todos",SUMIFS(Base!$H$3:$H$5001,Base!$A$3:$A$5001,$B14),SUMIFS(Base!$H$3:$H$5001,Base!$A$3:$A$5001,$B14,Base!$B$3:$B$5001,$B$2))</f>
        <v>352.11</v>
      </c>
      <c r="I14" s="153">
        <f>IF($B$2="Todos",SUMIFS(Base!$I$3:$I$5001,Base!$A$3:$A$5001,$B14),SUMIFS(Base!$I$3:$I$5001,Base!$A$3:$A$5001,$B14,Base!$B$3:$B$5001,$B$2))</f>
        <v>0</v>
      </c>
      <c r="J14" s="153">
        <f>IF($B$2="Todos",SUMIFS(Base!$J$3:$J$5001,Base!$A$3:$A$5001,$B14),SUMIFS(Base!$J$3:$J$5001,Base!$A$3:$A$5001,$B14,Base!$B$3:$B$5001,$B$2))</f>
        <v>0</v>
      </c>
      <c r="K14" s="153" t="str">
        <f>IF($B$2="Todos",IF(COUNT($C$111:$G$111)=0,"",SUM($C$111:$G$111)),IFERROR(INDEX($C$111:$G$111,MATCH($B$2,$C$108:$G$108,0)),""))</f>
        <v/>
      </c>
      <c r="L14" s="155">
        <f>IF(M14="","",IF($B$2="Todos",$B$4,IFERROR(INDEX($C$181:$G$181,MATCH($B$2,$C$178:$G$178,0)),"")))</f>
        <v>5872</v>
      </c>
      <c r="M14" s="153">
        <f>IF($B$2="Todos",IF(COUNT($C$146:$G$146)=0,"",SUM($C$146:$G$146)),IFERROR(INDEX($C$146:$G$146,MATCH($B$2,$C$143:$G$143,0)),""))</f>
        <v>3968</v>
      </c>
      <c r="N14" s="156">
        <f>IF(AND(ISNUMBER(M14),ISNUMBER(L14)),IF(L14&gt;0,M14/L14,""),"")</f>
        <v>0.67574931880109</v>
      </c>
      <c r="O14" s="153">
        <f>IF($B$2="Todos",IF(COUNT($C$216:$G$216)=0,"",SUM($C$216:$G$216)),IFERROR(INDEX($C$216:$G$216,MATCH($B$2,$C$213:$G$213,0)),""))</f>
        <v>35</v>
      </c>
      <c r="P14" s="153">
        <f>IF($B$2="Todos",SUMIFS(Base!$O$3:$O$5001,Base!$A$3:$A$5001,$B14),SUMIFS(Base!$O$3:$O$5001,Base!$A$3:$A$5001,$B14,Base!$B$3:$B$5001,$B$2))</f>
        <v>0</v>
      </c>
      <c r="Q14" s="153">
        <f>IF($B$2="Todos",SUMIFS(Base!$P$3:$P$5001,Base!$A$3:$A$5001,$B14),SUMIFS(Base!$P$3:$P$5001,Base!$A$3:$A$5001,$B14,Base!$B$3:$B$5001,$B$2))</f>
        <v>0</v>
      </c>
      <c r="R14" s="153">
        <f>IF($B$2="Todos",SUMIFS(Base!$Q$3:$Q$5001,Base!$A$3:$A$5001,$B14),SUMIFS(Base!$Q$3:$Q$5001,Base!$A$3:$A$5001,$B14,Base!$B$3:$B$5001,$B$2))</f>
        <v>0</v>
      </c>
      <c r="S14" s="153">
        <f>IF($B$2="Todos",SUMIFS(Base!$R$3:$R$5001,Base!$A$3:$A$5001,$B14),SUMIFS(Base!$R$3:$R$5001,Base!$A$3:$A$5001,$B14,Base!$B$3:$B$5001,$B$2))</f>
        <v>0</v>
      </c>
      <c r="T14" s="139">
        <f>IF(ISNUMBER($B14),WEEKDAY($B14,2),"")</f>
        <v>4</v>
      </c>
      <c r="U14" s="157">
        <f>CHOOSE($C$3,C14,D14,E14)</f>
        <v>25</v>
      </c>
      <c r="V14" s="157">
        <f>CHOOSE($C$3,F14,G14,H14)</f>
        <v>33</v>
      </c>
      <c r="W14" s="157">
        <f>IFERROR(AVERAGEIF(U12:U42,"&gt;0"),0)</f>
        <v>17.6153846153846</v>
      </c>
      <c r="X14" s="157">
        <f>IFERROR(AVERAGEIF(V12:V42,"&gt;0"),0)</f>
        <v>25.0714285714286</v>
      </c>
      <c r="Y14" s="158">
        <f>$B$5</f>
        <v>0.7</v>
      </c>
      <c r="Z14" s="158">
        <f>$B$6</f>
        <v>0.9</v>
      </c>
      <c r="AB14" s="159" t="inlineStr">
        <is>
          <t xml:space="preserve">Toneladas</t>
        </is>
      </c>
      <c r="AD14" s="159" t="inlineStr">
        <is>
          <t xml:space="preserve">Gm</t>
        </is>
      </c>
      <c r="AF14" s="159" t="str">
        <f>"NC diário · incidentes, no show e backlog — "&amp;IF($B$2="Todos","todos os clientes",$B$2)</f>
        <v>NC diário · incidentes, no show e backlog — todos os clientes</v>
      </c>
      <c r="AH14" s="159" t="inlineStr">
        <is>
          <t xml:space="preserve">MARÇO · 2026</t>
        </is>
      </c>
    </row>
    <row r="15">
      <c r="A15" s="139">
        <v>4</v>
      </c>
      <c r="B15" s="152">
        <f>IF(ISNUMBER($A15),$C$7+$A15-1,"")</f>
        <v>46269</v>
      </c>
      <c r="C15" s="153">
        <f>IF($B$2="Todos",SUMIFS(Base!$C$3:$C$5001,Base!$A$3:$A$5001,$B15),SUMIFS(Base!$C$3:$C$5001,Base!$A$3:$A$5001,$B15,Base!$B$3:$B$5001,$B$2))</f>
        <v>20</v>
      </c>
      <c r="D15" s="153">
        <f>IF($B$2="Todos",SUMIFS(Base!$D$3:$D$5001,Base!$A$3:$A$5001,$B15),SUMIFS(Base!$D$3:$D$5001,Base!$A$3:$A$5001,$B15,Base!$B$3:$B$5001,$B$2))</f>
        <v>490</v>
      </c>
      <c r="E15" s="154">
        <f>IF($B$2="Todos",SUMIFS(Base!$E$3:$E$5001,Base!$A$3:$A$5001,$B15),SUMIFS(Base!$E$3:$E$5001,Base!$A$3:$A$5001,$B15,Base!$B$3:$B$5001,$B$2))</f>
        <v>279.97</v>
      </c>
      <c r="F15" s="153">
        <f>IF($B$2="Todos",SUMIFS(Base!$F$3:$F$5001,Base!$A$3:$A$5001,$B15),SUMIFS(Base!$F$3:$F$5001,Base!$A$3:$A$5001,$B15,Base!$B$3:$B$5001,$B$2))</f>
        <v>36</v>
      </c>
      <c r="G15" s="153">
        <f>IF($B$2="Todos",SUMIFS(Base!$G$3:$G$5001,Base!$A$3:$A$5001,$B15),SUMIFS(Base!$G$3:$G$5001,Base!$A$3:$A$5001,$B15,Base!$B$3:$B$5001,$B$2))</f>
        <v>648</v>
      </c>
      <c r="H15" s="154">
        <f>IF($B$2="Todos",SUMIFS(Base!$H$3:$H$5001,Base!$A$3:$A$5001,$B15),SUMIFS(Base!$H$3:$H$5001,Base!$A$3:$A$5001,$B15,Base!$B$3:$B$5001,$B$2))</f>
        <v>507.85</v>
      </c>
      <c r="I15" s="153">
        <f>IF($B$2="Todos",SUMIFS(Base!$I$3:$I$5001,Base!$A$3:$A$5001,$B15),SUMIFS(Base!$I$3:$I$5001,Base!$A$3:$A$5001,$B15,Base!$B$3:$B$5001,$B$2))</f>
        <v>1</v>
      </c>
      <c r="J15" s="153">
        <f>IF($B$2="Todos",SUMIFS(Base!$J$3:$J$5001,Base!$A$3:$A$5001,$B15),SUMIFS(Base!$J$3:$J$5001,Base!$A$3:$A$5001,$B15,Base!$B$3:$B$5001,$B$2))</f>
        <v>0</v>
      </c>
      <c r="K15" s="153" t="str">
        <f>IF($B$2="Todos",IF(COUNT($C$112:$G$112)=0,"",SUM($C$112:$G$112)),IFERROR(INDEX($C$112:$G$112,MATCH($B$2,$C$108:$G$108,0)),""))</f>
        <v/>
      </c>
      <c r="L15" s="155">
        <f>IF(M15="","",IF($B$2="Todos",$B$4,IFERROR(INDEX($C$182:$G$182,MATCH($B$2,$C$178:$G$178,0)),"")))</f>
        <v>5872</v>
      </c>
      <c r="M15" s="153">
        <f>IF($B$2="Todos",IF(COUNT($C$147:$G$147)=0,"",SUM($C$147:$G$147)),IFERROR(INDEX($C$147:$G$147,MATCH($B$2,$C$143:$G$143,0)),""))</f>
        <v>3082</v>
      </c>
      <c r="N15" s="156">
        <f>IF(AND(ISNUMBER(M15),ISNUMBER(L15)),IF(L15&gt;0,M15/L15,""),"")</f>
        <v>0.524863760217984</v>
      </c>
      <c r="O15" s="153">
        <f>IF($B$2="Todos",IF(COUNT($C$217:$G$217)=0,"",SUM($C$217:$G$217)),IFERROR(INDEX($C$217:$G$217,MATCH($B$2,$C$213:$G$213,0)),""))</f>
        <v>28</v>
      </c>
      <c r="P15" s="153">
        <f>IF($B$2="Todos",SUMIFS(Base!$O$3:$O$5001,Base!$A$3:$A$5001,$B15),SUMIFS(Base!$O$3:$O$5001,Base!$A$3:$A$5001,$B15,Base!$B$3:$B$5001,$B$2))</f>
        <v>0</v>
      </c>
      <c r="Q15" s="153">
        <f>IF($B$2="Todos",SUMIFS(Base!$P$3:$P$5001,Base!$A$3:$A$5001,$B15),SUMIFS(Base!$P$3:$P$5001,Base!$A$3:$A$5001,$B15,Base!$B$3:$B$5001,$B$2))</f>
        <v>0</v>
      </c>
      <c r="R15" s="153">
        <f>IF($B$2="Todos",SUMIFS(Base!$Q$3:$Q$5001,Base!$A$3:$A$5001,$B15),SUMIFS(Base!$Q$3:$Q$5001,Base!$A$3:$A$5001,$B15,Base!$B$3:$B$5001,$B$2))</f>
        <v>0</v>
      </c>
      <c r="S15" s="153">
        <f>IF($B$2="Todos",SUMIFS(Base!$R$3:$R$5001,Base!$A$3:$A$5001,$B15),SUMIFS(Base!$R$3:$R$5001,Base!$A$3:$A$5001,$B15,Base!$B$3:$B$5001,$B$2))</f>
        <v>0</v>
      </c>
      <c r="T15" s="139">
        <f>IF(ISNUMBER($B15),WEEKDAY($B15,2),"")</f>
        <v>5</v>
      </c>
      <c r="U15" s="157">
        <f>CHOOSE($C$3,C15,D15,E15)</f>
        <v>20</v>
      </c>
      <c r="V15" s="157">
        <f>CHOOSE($C$3,F15,G15,H15)</f>
        <v>36</v>
      </c>
      <c r="W15" s="157">
        <f>IFERROR(AVERAGEIF(U12:U42,"&gt;0"),0)</f>
        <v>17.6153846153846</v>
      </c>
      <c r="X15" s="157">
        <f>IFERROR(AVERAGEIF(V12:V42,"&gt;0"),0)</f>
        <v>25.0714285714286</v>
      </c>
      <c r="Y15" s="158">
        <f>$B$5</f>
        <v>0.7</v>
      </c>
      <c r="Z15" s="158">
        <f>$B$6</f>
        <v>0.9</v>
      </c>
      <c r="AD15" s="159" t="inlineStr">
        <is>
          <t xml:space="preserve">Mondelez</t>
        </is>
      </c>
      <c r="AF15" s="159" t="str">
        <f>"Gente diário · efetivo, falta, folga, férias e desligamento — "&amp;IF($B$2="Todos","todos os clientes",$B$2)</f>
        <v>Gente diário · efetivo, falta, folga, férias e desligamento — todos os clientes</v>
      </c>
      <c r="AH15" s="159" t="inlineStr">
        <is>
          <t xml:space="preserve">ABRIL · 2026</t>
        </is>
      </c>
    </row>
    <row r="16">
      <c r="A16" s="139">
        <v>5</v>
      </c>
      <c r="B16" s="152">
        <f>IF(ISNUMBER($A16),$C$7+$A16-1,"")</f>
        <v>46270</v>
      </c>
      <c r="C16" s="153">
        <f>IF($B$2="Todos",SUMIFS(Base!$C$3:$C$5001,Base!$A$3:$A$5001,$B16),SUMIFS(Base!$C$3:$C$5001,Base!$A$3:$A$5001,$B16,Base!$B$3:$B$5001,$B$2))</f>
        <v>3</v>
      </c>
      <c r="D16" s="153">
        <f>IF($B$2="Todos",SUMIFS(Base!$D$3:$D$5001,Base!$A$3:$A$5001,$B16),SUMIFS(Base!$D$3:$D$5001,Base!$A$3:$A$5001,$B16,Base!$B$3:$B$5001,$B$2))</f>
        <v>80</v>
      </c>
      <c r="E16" s="154">
        <f>IF($B$2="Todos",SUMIFS(Base!$E$3:$E$5001,Base!$A$3:$A$5001,$B16),SUMIFS(Base!$E$3:$E$5001,Base!$A$3:$A$5001,$B16,Base!$B$3:$B$5001,$B$2))</f>
        <v>42.41</v>
      </c>
      <c r="F16" s="153">
        <f>IF($B$2="Todos",SUMIFS(Base!$F$3:$F$5001,Base!$A$3:$A$5001,$B16),SUMIFS(Base!$F$3:$F$5001,Base!$A$3:$A$5001,$B16,Base!$B$3:$B$5001,$B$2))</f>
        <v>18</v>
      </c>
      <c r="G16" s="153">
        <f>IF($B$2="Todos",SUMIFS(Base!$G$3:$G$5001,Base!$A$3:$A$5001,$B16),SUMIFS(Base!$G$3:$G$5001,Base!$A$3:$A$5001,$B16,Base!$B$3:$B$5001,$B$2))</f>
        <v>324</v>
      </c>
      <c r="H16" s="154">
        <f>IF($B$2="Todos",SUMIFS(Base!$H$3:$H$5001,Base!$A$3:$A$5001,$B16),SUMIFS(Base!$H$3:$H$5001,Base!$A$3:$A$5001,$B16,Base!$B$3:$B$5001,$B$2))</f>
        <v>277.76</v>
      </c>
      <c r="I16" s="153">
        <f>IF($B$2="Todos",SUMIFS(Base!$I$3:$I$5001,Base!$A$3:$A$5001,$B16),SUMIFS(Base!$I$3:$I$5001,Base!$A$3:$A$5001,$B16,Base!$B$3:$B$5001,$B$2))</f>
        <v>1</v>
      </c>
      <c r="J16" s="153">
        <f>IF($B$2="Todos",SUMIFS(Base!$J$3:$J$5001,Base!$A$3:$A$5001,$B16),SUMIFS(Base!$J$3:$J$5001,Base!$A$3:$A$5001,$B16,Base!$B$3:$B$5001,$B$2))</f>
        <v>0</v>
      </c>
      <c r="K16" s="153" t="str">
        <f>IF($B$2="Todos",IF(COUNT($C$113:$G$113)=0,"",SUM($C$113:$G$113)),IFERROR(INDEX($C$113:$G$113,MATCH($B$2,$C$108:$G$108,0)),""))</f>
        <v/>
      </c>
      <c r="L16" s="155">
        <f>IF(M16="","",IF($B$2="Todos",$B$4,IFERROR(INDEX($C$183:$G$183,MATCH($B$2,$C$178:$G$178,0)),"")))</f>
        <v>5872</v>
      </c>
      <c r="M16" s="153">
        <f>IF($B$2="Todos",IF(COUNT($C$148:$G$148)=0,"",SUM($C$148:$G$148)),IFERROR(INDEX($C$148:$G$148,MATCH($B$2,$C$143:$G$143,0)),""))</f>
        <v>3266</v>
      </c>
      <c r="N16" s="156">
        <f>IF(AND(ISNUMBER(M16),ISNUMBER(L16)),IF(L16&gt;0,M16/L16,""),"")</f>
        <v>0.556198910081744</v>
      </c>
      <c r="O16" s="153">
        <f>IF($B$2="Todos",IF(COUNT($C$218:$G$218)=0,"",SUM($C$218:$G$218)),IFERROR(INDEX($C$218:$G$218,MATCH($B$2,$C$213:$G$213,0)),""))</f>
        <v>20</v>
      </c>
      <c r="P16" s="153">
        <f>IF($B$2="Todos",SUMIFS(Base!$O$3:$O$5001,Base!$A$3:$A$5001,$B16),SUMIFS(Base!$O$3:$O$5001,Base!$A$3:$A$5001,$B16,Base!$B$3:$B$5001,$B$2))</f>
        <v>0</v>
      </c>
      <c r="Q16" s="153">
        <f>IF($B$2="Todos",SUMIFS(Base!$P$3:$P$5001,Base!$A$3:$A$5001,$B16),SUMIFS(Base!$P$3:$P$5001,Base!$A$3:$A$5001,$B16,Base!$B$3:$B$5001,$B$2))</f>
        <v>0</v>
      </c>
      <c r="R16" s="153">
        <f>IF($B$2="Todos",SUMIFS(Base!$Q$3:$Q$5001,Base!$A$3:$A$5001,$B16),SUMIFS(Base!$Q$3:$Q$5001,Base!$A$3:$A$5001,$B16,Base!$B$3:$B$5001,$B$2))</f>
        <v>0</v>
      </c>
      <c r="S16" s="153">
        <f>IF($B$2="Todos",SUMIFS(Base!$R$3:$R$5001,Base!$A$3:$A$5001,$B16),SUMIFS(Base!$R$3:$R$5001,Base!$A$3:$A$5001,$B16,Base!$B$3:$B$5001,$B$2))</f>
        <v>0</v>
      </c>
      <c r="T16" s="139">
        <f>IF(ISNUMBER($B16),WEEKDAY($B16,2),"")</f>
        <v>6</v>
      </c>
      <c r="U16" s="157">
        <f>CHOOSE($C$3,C16,D16,E16)</f>
        <v>3</v>
      </c>
      <c r="V16" s="157">
        <f>CHOOSE($C$3,F16,G16,H16)</f>
        <v>18</v>
      </c>
      <c r="W16" s="157">
        <f>IFERROR(AVERAGEIF(U12:U42,"&gt;0"),0)</f>
        <v>17.6153846153846</v>
      </c>
      <c r="X16" s="157">
        <f>IFERROR(AVERAGEIF(V12:V42,"&gt;0"),0)</f>
        <v>25.0714285714286</v>
      </c>
      <c r="Y16" s="158">
        <f>$B$5</f>
        <v>0.7</v>
      </c>
      <c r="Z16" s="158">
        <f>$B$6</f>
        <v>0.9</v>
      </c>
      <c r="AD16" s="159" t="inlineStr">
        <is>
          <t xml:space="preserve">Nestlé</t>
        </is>
      </c>
      <c r="AF16" s="159" t="str">
        <f>"Posições ocupadas x disponíveis — "&amp;IF($B$2="Todos","todos os clientes",$B$2)</f>
        <v>Posições ocupadas x disponíveis — todos os clientes</v>
      </c>
      <c r="AH16" s="159" t="inlineStr">
        <is>
          <t xml:space="preserve">MAIO · 2026</t>
        </is>
      </c>
    </row>
    <row r="17">
      <c r="A17" s="139">
        <v>6</v>
      </c>
      <c r="B17" s="152">
        <f>IF(ISNUMBER($A17),$C$7+$A17-1,"")</f>
        <v>46271</v>
      </c>
      <c r="C17" s="153">
        <f>IF($B$2="Todos",SUMIFS(Base!$C$3:$C$5001,Base!$A$3:$A$5001,$B17),SUMIFS(Base!$C$3:$C$5001,Base!$A$3:$A$5001,$B17,Base!$B$3:$B$5001,$B$2))</f>
        <v>4</v>
      </c>
      <c r="D17" s="153">
        <f>IF($B$2="Todos",SUMIFS(Base!$D$3:$D$5001,Base!$A$3:$A$5001,$B17),SUMIFS(Base!$D$3:$D$5001,Base!$A$3:$A$5001,$B17,Base!$B$3:$B$5001,$B$2))</f>
        <v>100</v>
      </c>
      <c r="E17" s="154">
        <f>IF($B$2="Todos",SUMIFS(Base!$E$3:$E$5001,Base!$A$3:$A$5001,$B17),SUMIFS(Base!$E$3:$E$5001,Base!$A$3:$A$5001,$B17,Base!$B$3:$B$5001,$B$2))</f>
        <v>74.36</v>
      </c>
      <c r="F17" s="153">
        <f>IF($B$2="Todos",SUMIFS(Base!$F$3:$F$5001,Base!$A$3:$A$5001,$B17),SUMIFS(Base!$F$3:$F$5001,Base!$A$3:$A$5001,$B17,Base!$B$3:$B$5001,$B$2))</f>
        <v>17</v>
      </c>
      <c r="G17" s="153">
        <f>IF($B$2="Todos",SUMIFS(Base!$G$3:$G$5001,Base!$A$3:$A$5001,$B17),SUMIFS(Base!$G$3:$G$5001,Base!$A$3:$A$5001,$B17,Base!$B$3:$B$5001,$B$2))</f>
        <v>306</v>
      </c>
      <c r="H17" s="154">
        <f>IF($B$2="Todos",SUMIFS(Base!$H$3:$H$5001,Base!$A$3:$A$5001,$B17),SUMIFS(Base!$H$3:$H$5001,Base!$A$3:$A$5001,$B17,Base!$B$3:$B$5001,$B$2))</f>
        <v>197.72</v>
      </c>
      <c r="I17" s="153">
        <f>IF($B$2="Todos",SUMIFS(Base!$I$3:$I$5001,Base!$A$3:$A$5001,$B17),SUMIFS(Base!$I$3:$I$5001,Base!$A$3:$A$5001,$B17,Base!$B$3:$B$5001,$B$2))</f>
        <v>0</v>
      </c>
      <c r="J17" s="153">
        <f>IF($B$2="Todos",SUMIFS(Base!$J$3:$J$5001,Base!$A$3:$A$5001,$B17),SUMIFS(Base!$J$3:$J$5001,Base!$A$3:$A$5001,$B17,Base!$B$3:$B$5001,$B$2))</f>
        <v>0</v>
      </c>
      <c r="K17" s="153" t="str">
        <f>IF($B$2="Todos",IF(COUNT($C$114:$G$114)=0,"",SUM($C$114:$G$114)),IFERROR(INDEX($C$114:$G$114,MATCH($B$2,$C$108:$G$108,0)),""))</f>
        <v/>
      </c>
      <c r="L17" s="155">
        <f>IF(M17="","",IF($B$2="Todos",$B$4,IFERROR(INDEX($C$184:$G$184,MATCH($B$2,$C$178:$G$178,0)),"")))</f>
        <v>5872</v>
      </c>
      <c r="M17" s="153">
        <f>IF($B$2="Todos",IF(COUNT($C$149:$G$149)=0,"",SUM($C$149:$G$149)),IFERROR(INDEX($C$149:$G$149,MATCH($B$2,$C$143:$G$143,0)),""))</f>
        <v>3456</v>
      </c>
      <c r="N17" s="156">
        <f>IF(AND(ISNUMBER(M17),ISNUMBER(L17)),IF(L17&gt;0,M17/L17,""),"")</f>
        <v>0.588555858310627</v>
      </c>
      <c r="O17" s="153">
        <f>IF($B$2="Todos",IF(COUNT($C$219:$G$219)=0,"",SUM($C$219:$G$219)),IFERROR(INDEX($C$219:$G$219,MATCH($B$2,$C$213:$G$213,0)),""))</f>
        <v>26</v>
      </c>
      <c r="P17" s="153">
        <f>IF($B$2="Todos",SUMIFS(Base!$O$3:$O$5001,Base!$A$3:$A$5001,$B17),SUMIFS(Base!$O$3:$O$5001,Base!$A$3:$A$5001,$B17,Base!$B$3:$B$5001,$B$2))</f>
        <v>0</v>
      </c>
      <c r="Q17" s="153">
        <f>IF($B$2="Todos",SUMIFS(Base!$P$3:$P$5001,Base!$A$3:$A$5001,$B17),SUMIFS(Base!$P$3:$P$5001,Base!$A$3:$A$5001,$B17,Base!$B$3:$B$5001,$B$2))</f>
        <v>0</v>
      </c>
      <c r="R17" s="153">
        <f>IF($B$2="Todos",SUMIFS(Base!$Q$3:$Q$5001,Base!$A$3:$A$5001,$B17),SUMIFS(Base!$Q$3:$Q$5001,Base!$A$3:$A$5001,$B17,Base!$B$3:$B$5001,$B$2))</f>
        <v>0</v>
      </c>
      <c r="S17" s="153">
        <f>IF($B$2="Todos",SUMIFS(Base!$R$3:$R$5001,Base!$A$3:$A$5001,$B17),SUMIFS(Base!$R$3:$R$5001,Base!$A$3:$A$5001,$B17,Base!$B$3:$B$5001,$B$2))</f>
        <v>0</v>
      </c>
      <c r="T17" s="139">
        <f>IF(ISNUMBER($B17),WEEKDAY($B17,2),"")</f>
        <v>7</v>
      </c>
      <c r="U17" s="157">
        <f>CHOOSE($C$3,C17,D17,E17)</f>
        <v>4</v>
      </c>
      <c r="V17" s="157">
        <f>CHOOSE($C$3,F17,G17,H17)</f>
        <v>17</v>
      </c>
      <c r="W17" s="157">
        <f>IFERROR(AVERAGEIF(U12:U42,"&gt;0"),0)</f>
        <v>17.6153846153846</v>
      </c>
      <c r="X17" s="157">
        <f>IFERROR(AVERAGEIF(V12:V42,"&gt;0"),0)</f>
        <v>25.0714285714286</v>
      </c>
      <c r="Y17" s="158">
        <f>$B$5</f>
        <v>0.7</v>
      </c>
      <c r="Z17" s="158">
        <f>$B$6</f>
        <v>0.9</v>
      </c>
      <c r="AD17" s="159" t="inlineStr">
        <is>
          <t xml:space="preserve">PMB</t>
        </is>
      </c>
      <c r="AF17" s="159" t="str">
        <f>"Taxa de ocupação diária — "&amp;IF($B$2="Todos","todos os clientes",$B$2)</f>
        <v>Taxa de ocupação diária — todos os clientes</v>
      </c>
      <c r="AH17" s="159" t="inlineStr">
        <is>
          <t xml:space="preserve">JUNHO · 2026</t>
        </is>
      </c>
    </row>
    <row r="18">
      <c r="A18" s="139">
        <v>7</v>
      </c>
      <c r="B18" s="152">
        <f>IF(ISNUMBER($A18),$C$7+$A18-1,"")</f>
        <v>46272</v>
      </c>
      <c r="C18" s="153">
        <f>IF($B$2="Todos",SUMIFS(Base!$C$3:$C$5001,Base!$A$3:$A$5001,$B18),SUMIFS(Base!$C$3:$C$5001,Base!$A$3:$A$5001,$B18,Base!$B$3:$B$5001,$B$2))</f>
        <v>16</v>
      </c>
      <c r="D18" s="153">
        <f>IF($B$2="Todos",SUMIFS(Base!$D$3:$D$5001,Base!$A$3:$A$5001,$B18),SUMIFS(Base!$D$3:$D$5001,Base!$A$3:$A$5001,$B18,Base!$B$3:$B$5001,$B$2))</f>
        <v>371</v>
      </c>
      <c r="E18" s="154">
        <f>IF($B$2="Todos",SUMIFS(Base!$E$3:$E$5001,Base!$A$3:$A$5001,$B18),SUMIFS(Base!$E$3:$E$5001,Base!$A$3:$A$5001,$B18,Base!$B$3:$B$5001,$B$2))</f>
        <v>301.93</v>
      </c>
      <c r="F18" s="153">
        <f>IF($B$2="Todos",SUMIFS(Base!$F$3:$F$5001,Base!$A$3:$A$5001,$B18),SUMIFS(Base!$F$3:$F$5001,Base!$A$3:$A$5001,$B18,Base!$B$3:$B$5001,$B$2))</f>
        <v>29</v>
      </c>
      <c r="G18" s="153">
        <f>IF($B$2="Todos",SUMIFS(Base!$G$3:$G$5001,Base!$A$3:$A$5001,$B18),SUMIFS(Base!$G$3:$G$5001,Base!$A$3:$A$5001,$B18,Base!$B$3:$B$5001,$B$2))</f>
        <v>522</v>
      </c>
      <c r="H18" s="154">
        <f>IF($B$2="Todos",SUMIFS(Base!$H$3:$H$5001,Base!$A$3:$A$5001,$B18),SUMIFS(Base!$H$3:$H$5001,Base!$A$3:$A$5001,$B18,Base!$B$3:$B$5001,$B$2))</f>
        <v>342.16</v>
      </c>
      <c r="I18" s="153">
        <f>IF($B$2="Todos",SUMIFS(Base!$I$3:$I$5001,Base!$A$3:$A$5001,$B18),SUMIFS(Base!$I$3:$I$5001,Base!$A$3:$A$5001,$B18,Base!$B$3:$B$5001,$B$2))</f>
        <v>0</v>
      </c>
      <c r="J18" s="153">
        <f>IF($B$2="Todos",SUMIFS(Base!$J$3:$J$5001,Base!$A$3:$A$5001,$B18),SUMIFS(Base!$J$3:$J$5001,Base!$A$3:$A$5001,$B18,Base!$B$3:$B$5001,$B$2))</f>
        <v>0</v>
      </c>
      <c r="K18" s="153" t="str">
        <f>IF($B$2="Todos",IF(COUNT($C$115:$G$115)=0,"",SUM($C$115:$G$115)),IFERROR(INDEX($C$115:$G$115,MATCH($B$2,$C$108:$G$108,0)),""))</f>
        <v/>
      </c>
      <c r="L18" s="155">
        <f>IF(M18="","",IF($B$2="Todos",$B$4,IFERROR(INDEX($C$185:$G$185,MATCH($B$2,$C$178:$G$178,0)),"")))</f>
        <v>5872</v>
      </c>
      <c r="M18" s="153">
        <f>IF($B$2="Todos",IF(COUNT($C$150:$G$150)=0,"",SUM($C$150:$G$150)),IFERROR(INDEX($C$150:$G$150,MATCH($B$2,$C$143:$G$143,0)),""))</f>
        <v>3227</v>
      </c>
      <c r="N18" s="156">
        <f>IF(AND(ISNUMBER(M18),ISNUMBER(L18)),IF(L18&gt;0,M18/L18,""),"")</f>
        <v>0.549557220708447</v>
      </c>
      <c r="O18" s="153">
        <f>IF($B$2="Todos",IF(COUNT($C$220:$G$220)=0,"",SUM($C$220:$G$220)),IFERROR(INDEX($C$220:$G$220,MATCH($B$2,$C$213:$G$213,0)),""))</f>
        <v>38</v>
      </c>
      <c r="P18" s="153">
        <f>IF($B$2="Todos",SUMIFS(Base!$O$3:$O$5001,Base!$A$3:$A$5001,$B18),SUMIFS(Base!$O$3:$O$5001,Base!$A$3:$A$5001,$B18,Base!$B$3:$B$5001,$B$2))</f>
        <v>0</v>
      </c>
      <c r="Q18" s="153">
        <f>IF($B$2="Todos",SUMIFS(Base!$P$3:$P$5001,Base!$A$3:$A$5001,$B18),SUMIFS(Base!$P$3:$P$5001,Base!$A$3:$A$5001,$B18,Base!$B$3:$B$5001,$B$2))</f>
        <v>0</v>
      </c>
      <c r="R18" s="153">
        <f>IF($B$2="Todos",SUMIFS(Base!$Q$3:$Q$5001,Base!$A$3:$A$5001,$B18),SUMIFS(Base!$Q$3:$Q$5001,Base!$A$3:$A$5001,$B18,Base!$B$3:$B$5001,$B$2))</f>
        <v>0</v>
      </c>
      <c r="S18" s="153">
        <f>IF($B$2="Todos",SUMIFS(Base!$R$3:$R$5001,Base!$A$3:$A$5001,$B18),SUMIFS(Base!$R$3:$R$5001,Base!$A$3:$A$5001,$B18,Base!$B$3:$B$5001,$B$2))</f>
        <v>0</v>
      </c>
      <c r="T18" s="139">
        <f>IF(ISNUMBER($B18),WEEKDAY($B18,2),"")</f>
        <v>1</v>
      </c>
      <c r="U18" s="157">
        <f>CHOOSE($C$3,C18,D18,E18)</f>
        <v>16</v>
      </c>
      <c r="V18" s="157">
        <f>CHOOSE($C$3,F18,G18,H18)</f>
        <v>29</v>
      </c>
      <c r="W18" s="157">
        <f>IFERROR(AVERAGEIF(U12:U42,"&gt;0"),0)</f>
        <v>17.6153846153846</v>
      </c>
      <c r="X18" s="157">
        <f>IFERROR(AVERAGEIF(V12:V42,"&gt;0"),0)</f>
        <v>25.0714285714286</v>
      </c>
      <c r="Y18" s="158">
        <f>$B$5</f>
        <v>0.7</v>
      </c>
      <c r="Z18" s="158">
        <f>$B$6</f>
        <v>0.9</v>
      </c>
      <c r="AF18" s="159" t="str">
        <f>"Média por dia da semana · "&amp;LOWER($B$3)&amp;" — "&amp;IF($B$2="Todos","todos os clientes",$B$2)</f>
        <v>Média por dia da semana · veículos — todos os clientes</v>
      </c>
      <c r="AH18" s="159" t="inlineStr">
        <is>
          <t xml:space="preserve">JULHO · 2026</t>
        </is>
      </c>
    </row>
    <row r="19">
      <c r="A19" s="139">
        <v>8</v>
      </c>
      <c r="B19" s="152">
        <f>IF(ISNUMBER($A19),$C$7+$A19-1,"")</f>
        <v>46273</v>
      </c>
      <c r="C19" s="153">
        <f>IF($B$2="Todos",SUMIFS(Base!$C$3:$C$5001,Base!$A$3:$A$5001,$B19),SUMIFS(Base!$C$3:$C$5001,Base!$A$3:$A$5001,$B19,Base!$B$3:$B$5001,$B$2))</f>
        <v>19</v>
      </c>
      <c r="D19" s="153">
        <f>IF($B$2="Todos",SUMIFS(Base!$D$3:$D$5001,Base!$A$3:$A$5001,$B19),SUMIFS(Base!$D$3:$D$5001,Base!$A$3:$A$5001,$B19,Base!$B$3:$B$5001,$B$2))</f>
        <v>473</v>
      </c>
      <c r="E19" s="154">
        <f>IF($B$2="Todos",SUMIFS(Base!$E$3:$E$5001,Base!$A$3:$A$5001,$B19),SUMIFS(Base!$E$3:$E$5001,Base!$A$3:$A$5001,$B19,Base!$B$3:$B$5001,$B$2))</f>
        <v>327.24</v>
      </c>
      <c r="F19" s="153">
        <f>IF($B$2="Todos",SUMIFS(Base!$F$3:$F$5001,Base!$A$3:$A$5001,$B19),SUMIFS(Base!$F$3:$F$5001,Base!$A$3:$A$5001,$B19,Base!$B$3:$B$5001,$B$2))</f>
        <v>40</v>
      </c>
      <c r="G19" s="153">
        <f>IF($B$2="Todos",SUMIFS(Base!$G$3:$G$5001,Base!$A$3:$A$5001,$B19),SUMIFS(Base!$G$3:$G$5001,Base!$A$3:$A$5001,$B19,Base!$B$3:$B$5001,$B$2))</f>
        <v>720</v>
      </c>
      <c r="H19" s="154">
        <f>IF($B$2="Todos",SUMIFS(Base!$H$3:$H$5001,Base!$A$3:$A$5001,$B19),SUMIFS(Base!$H$3:$H$5001,Base!$A$3:$A$5001,$B19,Base!$B$3:$B$5001,$B$2))</f>
        <v>570.18</v>
      </c>
      <c r="I19" s="153">
        <f>IF($B$2="Todos",SUMIFS(Base!$I$3:$I$5001,Base!$A$3:$A$5001,$B19),SUMIFS(Base!$I$3:$I$5001,Base!$A$3:$A$5001,$B19,Base!$B$3:$B$5001,$B$2))</f>
        <v>0</v>
      </c>
      <c r="J19" s="153">
        <f>IF($B$2="Todos",SUMIFS(Base!$J$3:$J$5001,Base!$A$3:$A$5001,$B19),SUMIFS(Base!$J$3:$J$5001,Base!$A$3:$A$5001,$B19,Base!$B$3:$B$5001,$B$2))</f>
        <v>0</v>
      </c>
      <c r="K19" s="153" t="str">
        <f>IF($B$2="Todos",IF(COUNT($C$116:$G$116)=0,"",SUM($C$116:$G$116)),IFERROR(INDEX($C$116:$G$116,MATCH($B$2,$C$108:$G$108,0)),""))</f>
        <v/>
      </c>
      <c r="L19" s="155">
        <f>IF(M19="","",IF($B$2="Todos",$B$4,IFERROR(INDEX($C$186:$G$186,MATCH($B$2,$C$178:$G$178,0)),"")))</f>
        <v>5872</v>
      </c>
      <c r="M19" s="153">
        <f>IF($B$2="Todos",IF(COUNT($C$151:$G$151)=0,"",SUM($C$151:$G$151)),IFERROR(INDEX($C$151:$G$151,MATCH($B$2,$C$143:$G$143,0)),""))</f>
        <v>3353</v>
      </c>
      <c r="N19" s="156">
        <f>IF(AND(ISNUMBER(M19),ISNUMBER(L19)),IF(L19&gt;0,M19/L19,""),"")</f>
        <v>0.571014986376022</v>
      </c>
      <c r="O19" s="153">
        <f>IF($B$2="Todos",IF(COUNT($C$221:$G$221)=0,"",SUM($C$221:$G$221)),IFERROR(INDEX($C$221:$G$221,MATCH($B$2,$C$213:$G$213,0)),""))</f>
        <v>31</v>
      </c>
      <c r="P19" s="153">
        <f>IF($B$2="Todos",SUMIFS(Base!$O$3:$O$5001,Base!$A$3:$A$5001,$B19),SUMIFS(Base!$O$3:$O$5001,Base!$A$3:$A$5001,$B19,Base!$B$3:$B$5001,$B$2))</f>
        <v>0</v>
      </c>
      <c r="Q19" s="153">
        <f>IF($B$2="Todos",SUMIFS(Base!$P$3:$P$5001,Base!$A$3:$A$5001,$B19),SUMIFS(Base!$P$3:$P$5001,Base!$A$3:$A$5001,$B19,Base!$B$3:$B$5001,$B$2))</f>
        <v>0</v>
      </c>
      <c r="R19" s="153">
        <f>IF($B$2="Todos",SUMIFS(Base!$Q$3:$Q$5001,Base!$A$3:$A$5001,$B19),SUMIFS(Base!$Q$3:$Q$5001,Base!$A$3:$A$5001,$B19,Base!$B$3:$B$5001,$B$2))</f>
        <v>0</v>
      </c>
      <c r="S19" s="153">
        <f>IF($B$2="Todos",SUMIFS(Base!$R$3:$R$5001,Base!$A$3:$A$5001,$B19),SUMIFS(Base!$R$3:$R$5001,Base!$A$3:$A$5001,$B19,Base!$B$3:$B$5001,$B$2))</f>
        <v>0</v>
      </c>
      <c r="T19" s="139">
        <f>IF(ISNUMBER($B19),WEEKDAY($B19,2),"")</f>
        <v>2</v>
      </c>
      <c r="U19" s="157">
        <f>CHOOSE($C$3,C19,D19,E19)</f>
        <v>19</v>
      </c>
      <c r="V19" s="157">
        <f>CHOOSE($C$3,F19,G19,H19)</f>
        <v>40</v>
      </c>
      <c r="W19" s="157">
        <f>IFERROR(AVERAGEIF(U12:U42,"&gt;0"),0)</f>
        <v>17.6153846153846</v>
      </c>
      <c r="X19" s="157">
        <f>IFERROR(AVERAGEIF(V12:V42,"&gt;0"),0)</f>
        <v>25.0714285714286</v>
      </c>
      <c r="Y19" s="158">
        <f>$B$5</f>
        <v>0.7</v>
      </c>
      <c r="Z19" s="158">
        <f>$B$6</f>
        <v>0.9</v>
      </c>
      <c r="AF19" s="159" t="str">
        <f>"Veículos por dia · recebidos x expedidos — "&amp;IF($B$2="Todos","todos os clientes",$B$2)</f>
        <v>Veículos por dia · recebidos x expedidos — todos os clientes</v>
      </c>
      <c r="AH19" s="159" t="inlineStr">
        <is>
          <t xml:space="preserve">AGOSTO · 2026</t>
        </is>
      </c>
    </row>
    <row r="20">
      <c r="A20" s="139">
        <v>9</v>
      </c>
      <c r="B20" s="152">
        <f>IF(ISNUMBER($A20),$C$7+$A20-1,"")</f>
        <v>46274</v>
      </c>
      <c r="C20" s="153">
        <f>IF($B$2="Todos",SUMIFS(Base!$C$3:$C$5001,Base!$A$3:$A$5001,$B20),SUMIFS(Base!$C$3:$C$5001,Base!$A$3:$A$5001,$B20,Base!$B$3:$B$5001,$B$2))</f>
        <v>22</v>
      </c>
      <c r="D20" s="153">
        <f>IF($B$2="Todos",SUMIFS(Base!$D$3:$D$5001,Base!$A$3:$A$5001,$B20),SUMIFS(Base!$D$3:$D$5001,Base!$A$3:$A$5001,$B20,Base!$B$3:$B$5001,$B$2))</f>
        <v>563</v>
      </c>
      <c r="E20" s="154">
        <f>IF($B$2="Todos",SUMIFS(Base!$E$3:$E$5001,Base!$A$3:$A$5001,$B20),SUMIFS(Base!$E$3:$E$5001,Base!$A$3:$A$5001,$B20,Base!$B$3:$B$5001,$B$2))</f>
        <v>408.42</v>
      </c>
      <c r="F20" s="153">
        <f>IF($B$2="Todos",SUMIFS(Base!$F$3:$F$5001,Base!$A$3:$A$5001,$B20),SUMIFS(Base!$F$3:$F$5001,Base!$A$3:$A$5001,$B20,Base!$B$3:$B$5001,$B$2))</f>
        <v>27</v>
      </c>
      <c r="G20" s="153">
        <f>IF($B$2="Todos",SUMIFS(Base!$G$3:$G$5001,Base!$A$3:$A$5001,$B20),SUMIFS(Base!$G$3:$G$5001,Base!$A$3:$A$5001,$B20,Base!$B$3:$B$5001,$B$2))</f>
        <v>486</v>
      </c>
      <c r="H20" s="154">
        <f>IF($B$2="Todos",SUMIFS(Base!$H$3:$H$5001,Base!$A$3:$A$5001,$B20),SUMIFS(Base!$H$3:$H$5001,Base!$A$3:$A$5001,$B20,Base!$B$3:$B$5001,$B$2))</f>
        <v>266.78</v>
      </c>
      <c r="I20" s="153">
        <f>IF($B$2="Todos",SUMIFS(Base!$I$3:$I$5001,Base!$A$3:$A$5001,$B20),SUMIFS(Base!$I$3:$I$5001,Base!$A$3:$A$5001,$B20,Base!$B$3:$B$5001,$B$2))</f>
        <v>0</v>
      </c>
      <c r="J20" s="153">
        <f>IF($B$2="Todos",SUMIFS(Base!$J$3:$J$5001,Base!$A$3:$A$5001,$B20),SUMIFS(Base!$J$3:$J$5001,Base!$A$3:$A$5001,$B20,Base!$B$3:$B$5001,$B$2))</f>
        <v>0</v>
      </c>
      <c r="K20" s="153" t="str">
        <f>IF($B$2="Todos",IF(COUNT($C$117:$G$117)=0,"",SUM($C$117:$G$117)),IFERROR(INDEX($C$117:$G$117,MATCH($B$2,$C$108:$G$108,0)),""))</f>
        <v/>
      </c>
      <c r="L20" s="155">
        <f>IF(M20="","",IF($B$2="Todos",$B$4,IFERROR(INDEX($C$187:$G$187,MATCH($B$2,$C$178:$G$178,0)),"")))</f>
        <v>5872</v>
      </c>
      <c r="M20" s="153">
        <f>IF($B$2="Todos",IF(COUNT($C$152:$G$152)=0,"",SUM($C$152:$G$152)),IFERROR(INDEX($C$152:$G$152,MATCH($B$2,$C$143:$G$143,0)),""))</f>
        <v>3025</v>
      </c>
      <c r="N20" s="156">
        <f>IF(AND(ISNUMBER(M20),ISNUMBER(L20)),IF(L20&gt;0,M20/L20,""),"")</f>
        <v>0.515156675749319</v>
      </c>
      <c r="O20" s="153">
        <f>IF($B$2="Todos",IF(COUNT($C$222:$G$222)=0,"",SUM($C$222:$G$222)),IFERROR(INDEX($C$222:$G$222,MATCH($B$2,$C$213:$G$213,0)),""))</f>
        <v>34</v>
      </c>
      <c r="P20" s="153">
        <f>IF($B$2="Todos",SUMIFS(Base!$O$3:$O$5001,Base!$A$3:$A$5001,$B20),SUMIFS(Base!$O$3:$O$5001,Base!$A$3:$A$5001,$B20,Base!$B$3:$B$5001,$B$2))</f>
        <v>0</v>
      </c>
      <c r="Q20" s="153">
        <f>IF($B$2="Todos",SUMIFS(Base!$P$3:$P$5001,Base!$A$3:$A$5001,$B20),SUMIFS(Base!$P$3:$P$5001,Base!$A$3:$A$5001,$B20,Base!$B$3:$B$5001,$B$2))</f>
        <v>0</v>
      </c>
      <c r="R20" s="153">
        <f>IF($B$2="Todos",SUMIFS(Base!$Q$3:$Q$5001,Base!$A$3:$A$5001,$B20),SUMIFS(Base!$Q$3:$Q$5001,Base!$A$3:$A$5001,$B20,Base!$B$3:$B$5001,$B$2))</f>
        <v>0</v>
      </c>
      <c r="S20" s="153">
        <f>IF($B$2="Todos",SUMIFS(Base!$R$3:$R$5001,Base!$A$3:$A$5001,$B20),SUMIFS(Base!$R$3:$R$5001,Base!$A$3:$A$5001,$B20,Base!$B$3:$B$5001,$B$2))</f>
        <v>0</v>
      </c>
      <c r="T20" s="139">
        <f>IF(ISNUMBER($B20),WEEKDAY($B20,2),"")</f>
        <v>3</v>
      </c>
      <c r="U20" s="157">
        <f>CHOOSE($C$3,C20,D20,E20)</f>
        <v>22</v>
      </c>
      <c r="V20" s="157">
        <f>CHOOSE($C$3,F20,G20,H20)</f>
        <v>27</v>
      </c>
      <c r="W20" s="157">
        <f>IFERROR(AVERAGEIF(U12:U42,"&gt;0"),0)</f>
        <v>17.6153846153846</v>
      </c>
      <c r="X20" s="157">
        <f>IFERROR(AVERAGEIF(V12:V42,"&gt;0"),0)</f>
        <v>25.0714285714286</v>
      </c>
      <c r="Y20" s="158">
        <f>$B$5</f>
        <v>0.7</v>
      </c>
      <c r="Z20" s="158">
        <f>$B$6</f>
        <v>0.9</v>
      </c>
      <c r="AF20" s="159" t="str">
        <f>"Taxa de ocupação por dia — "&amp;IF($B$2="Todos","todos os clientes",$B$2)</f>
        <v>Taxa de ocupação por dia — todos os clientes</v>
      </c>
      <c r="AH20" s="159" t="inlineStr">
        <is>
          <t xml:space="preserve">SETEMBRO · 2026</t>
        </is>
      </c>
    </row>
    <row r="21">
      <c r="A21" s="139">
        <v>10</v>
      </c>
      <c r="B21" s="152">
        <f>IF(ISNUMBER($A21),$C$7+$A21-1,"")</f>
        <v>46275</v>
      </c>
      <c r="C21" s="153">
        <f>IF($B$2="Todos",SUMIFS(Base!$C$3:$C$5001,Base!$A$3:$A$5001,$B21),SUMIFS(Base!$C$3:$C$5001,Base!$A$3:$A$5001,$B21,Base!$B$3:$B$5001,$B$2))</f>
        <v>29</v>
      </c>
      <c r="D21" s="153">
        <f>IF($B$2="Todos",SUMIFS(Base!$D$3:$D$5001,Base!$A$3:$A$5001,$B21),SUMIFS(Base!$D$3:$D$5001,Base!$A$3:$A$5001,$B21,Base!$B$3:$B$5001,$B$2))</f>
        <v>750</v>
      </c>
      <c r="E21" s="154">
        <f>IF($B$2="Todos",SUMIFS(Base!$E$3:$E$5001,Base!$A$3:$A$5001,$B21),SUMIFS(Base!$E$3:$E$5001,Base!$A$3:$A$5001,$B21,Base!$B$3:$B$5001,$B$2))</f>
        <v>604.59</v>
      </c>
      <c r="F21" s="153">
        <f>IF($B$2="Todos",SUMIFS(Base!$F$3:$F$5001,Base!$A$3:$A$5001,$B21),SUMIFS(Base!$F$3:$F$5001,Base!$A$3:$A$5001,$B21,Base!$B$3:$B$5001,$B$2))</f>
        <v>26</v>
      </c>
      <c r="G21" s="153">
        <f>IF($B$2="Todos",SUMIFS(Base!$G$3:$G$5001,Base!$A$3:$A$5001,$B21),SUMIFS(Base!$G$3:$G$5001,Base!$A$3:$A$5001,$B21,Base!$B$3:$B$5001,$B$2))</f>
        <v>468</v>
      </c>
      <c r="H21" s="154">
        <f>IF($B$2="Todos",SUMIFS(Base!$H$3:$H$5001,Base!$A$3:$A$5001,$B21),SUMIFS(Base!$H$3:$H$5001,Base!$A$3:$A$5001,$B21,Base!$B$3:$B$5001,$B$2))</f>
        <v>322.06</v>
      </c>
      <c r="I21" s="153">
        <f>IF($B$2="Todos",SUMIFS(Base!$I$3:$I$5001,Base!$A$3:$A$5001,$B21),SUMIFS(Base!$I$3:$I$5001,Base!$A$3:$A$5001,$B21,Base!$B$3:$B$5001,$B$2))</f>
        <v>3</v>
      </c>
      <c r="J21" s="153">
        <f>IF($B$2="Todos",SUMIFS(Base!$J$3:$J$5001,Base!$A$3:$A$5001,$B21),SUMIFS(Base!$J$3:$J$5001,Base!$A$3:$A$5001,$B21,Base!$B$3:$B$5001,$B$2))</f>
        <v>0</v>
      </c>
      <c r="K21" s="153" t="str">
        <f>IF($B$2="Todos",IF(COUNT($C$118:$G$118)=0,"",SUM($C$118:$G$118)),IFERROR(INDEX($C$118:$G$118,MATCH($B$2,$C$108:$G$108,0)),""))</f>
        <v/>
      </c>
      <c r="L21" s="155">
        <f>IF(M21="","",IF($B$2="Todos",$B$4,IFERROR(INDEX($C$188:$G$188,MATCH($B$2,$C$178:$G$178,0)),"")))</f>
        <v>5872</v>
      </c>
      <c r="M21" s="153">
        <f>IF($B$2="Todos",IF(COUNT($C$153:$G$153)=0,"",SUM($C$153:$G$153)),IFERROR(INDEX($C$153:$G$153,MATCH($B$2,$C$143:$G$143,0)),""))</f>
        <v>3468</v>
      </c>
      <c r="N21" s="156">
        <f>IF(AND(ISNUMBER(M21),ISNUMBER(L21)),IF(L21&gt;0,M21/L21,""),"")</f>
        <v>0.590599455040872</v>
      </c>
      <c r="O21" s="153">
        <f>IF($B$2="Todos",IF(COUNT($C$223:$G$223)=0,"",SUM($C$223:$G$223)),IFERROR(INDEX($C$223:$G$223,MATCH($B$2,$C$213:$G$213,0)),""))</f>
        <v>33</v>
      </c>
      <c r="P21" s="153">
        <f>IF($B$2="Todos",SUMIFS(Base!$O$3:$O$5001,Base!$A$3:$A$5001,$B21),SUMIFS(Base!$O$3:$O$5001,Base!$A$3:$A$5001,$B21,Base!$B$3:$B$5001,$B$2))</f>
        <v>0</v>
      </c>
      <c r="Q21" s="153">
        <f>IF($B$2="Todos",SUMIFS(Base!$P$3:$P$5001,Base!$A$3:$A$5001,$B21),SUMIFS(Base!$P$3:$P$5001,Base!$A$3:$A$5001,$B21,Base!$B$3:$B$5001,$B$2))</f>
        <v>0</v>
      </c>
      <c r="R21" s="153">
        <f>IF($B$2="Todos",SUMIFS(Base!$Q$3:$Q$5001,Base!$A$3:$A$5001,$B21),SUMIFS(Base!$Q$3:$Q$5001,Base!$A$3:$A$5001,$B21,Base!$B$3:$B$5001,$B$2))</f>
        <v>0</v>
      </c>
      <c r="S21" s="153">
        <f>IF($B$2="Todos",SUMIFS(Base!$R$3:$R$5001,Base!$A$3:$A$5001,$B21),SUMIFS(Base!$R$3:$R$5001,Base!$A$3:$A$5001,$B21,Base!$B$3:$B$5001,$B$2))</f>
        <v>0</v>
      </c>
      <c r="T21" s="139">
        <f>IF(ISNUMBER($B21),WEEKDAY($B21,2),"")</f>
        <v>4</v>
      </c>
      <c r="U21" s="157">
        <f>CHOOSE($C$3,C21,D21,E21)</f>
        <v>29</v>
      </c>
      <c r="V21" s="157">
        <f>CHOOSE($C$3,F21,G21,H21)</f>
        <v>26</v>
      </c>
      <c r="W21" s="157">
        <f>IFERROR(AVERAGEIF(U12:U42,"&gt;0"),0)</f>
        <v>17.6153846153846</v>
      </c>
      <c r="X21" s="157">
        <f>IFERROR(AVERAGEIF(V12:V42,"&gt;0"),0)</f>
        <v>25.0714285714286</v>
      </c>
      <c r="Y21" s="158">
        <f>$B$5</f>
        <v>0.7</v>
      </c>
      <c r="Z21" s="158">
        <f>$B$6</f>
        <v>0.9</v>
      </c>
      <c r="AF21" s="159" t="str">
        <f>"Toneladas por semana · IN x OUT — "&amp;IF($B$2="Todos","todos os clientes",$B$2)</f>
        <v>Toneladas por semana · IN x OUT — todos os clientes</v>
      </c>
      <c r="AH21" s="159" t="inlineStr">
        <is>
          <t xml:space="preserve">OUTUBRO · 2026</t>
        </is>
      </c>
    </row>
    <row r="22">
      <c r="A22" s="139">
        <v>11</v>
      </c>
      <c r="B22" s="152">
        <f>IF(ISNUMBER($A22),$C$7+$A22-1,"")</f>
        <v>46276</v>
      </c>
      <c r="C22" s="153">
        <f>IF($B$2="Todos",SUMIFS(Base!$C$3:$C$5001,Base!$A$3:$A$5001,$B22),SUMIFS(Base!$C$3:$C$5001,Base!$A$3:$A$5001,$B22,Base!$B$3:$B$5001,$B$2))</f>
        <v>28</v>
      </c>
      <c r="D22" s="153">
        <f>IF($B$2="Todos",SUMIFS(Base!$D$3:$D$5001,Base!$A$3:$A$5001,$B22),SUMIFS(Base!$D$3:$D$5001,Base!$A$3:$A$5001,$B22,Base!$B$3:$B$5001,$B$2))</f>
        <v>665</v>
      </c>
      <c r="E22" s="154">
        <f>IF($B$2="Todos",SUMIFS(Base!$E$3:$E$5001,Base!$A$3:$A$5001,$B22),SUMIFS(Base!$E$3:$E$5001,Base!$A$3:$A$5001,$B22,Base!$B$3:$B$5001,$B$2))</f>
        <v>396.37</v>
      </c>
      <c r="F22" s="153">
        <f>IF($B$2="Todos",SUMIFS(Base!$F$3:$F$5001,Base!$A$3:$A$5001,$B22),SUMIFS(Base!$F$3:$F$5001,Base!$A$3:$A$5001,$B22,Base!$B$3:$B$5001,$B$2))</f>
        <v>54</v>
      </c>
      <c r="G22" s="153">
        <f>IF($B$2="Todos",SUMIFS(Base!$G$3:$G$5001,Base!$A$3:$A$5001,$B22),SUMIFS(Base!$G$3:$G$5001,Base!$A$3:$A$5001,$B22,Base!$B$3:$B$5001,$B$2))</f>
        <v>972</v>
      </c>
      <c r="H22" s="154">
        <f>IF($B$2="Todos",SUMIFS(Base!$H$3:$H$5001,Base!$A$3:$A$5001,$B22),SUMIFS(Base!$H$3:$H$5001,Base!$A$3:$A$5001,$B22,Base!$B$3:$B$5001,$B$2))</f>
        <v>746.88</v>
      </c>
      <c r="I22" s="153">
        <f>IF($B$2="Todos",SUMIFS(Base!$I$3:$I$5001,Base!$A$3:$A$5001,$B22),SUMIFS(Base!$I$3:$I$5001,Base!$A$3:$A$5001,$B22,Base!$B$3:$B$5001,$B$2))</f>
        <v>1</v>
      </c>
      <c r="J22" s="153">
        <f>IF($B$2="Todos",SUMIFS(Base!$J$3:$J$5001,Base!$A$3:$A$5001,$B22),SUMIFS(Base!$J$3:$J$5001,Base!$A$3:$A$5001,$B22,Base!$B$3:$B$5001,$B$2))</f>
        <v>0</v>
      </c>
      <c r="K22" s="153" t="str">
        <f>IF($B$2="Todos",IF(COUNT($C$119:$G$119)=0,"",SUM($C$119:$G$119)),IFERROR(INDEX($C$119:$G$119,MATCH($B$2,$C$108:$G$108,0)),""))</f>
        <v/>
      </c>
      <c r="L22" s="155">
        <f>IF(M22="","",IF($B$2="Todos",$B$4,IFERROR(INDEX($C$189:$G$189,MATCH($B$2,$C$178:$G$178,0)),"")))</f>
        <v>5872</v>
      </c>
      <c r="M22" s="153">
        <f>IF($B$2="Todos",IF(COUNT($C$154:$G$154)=0,"",SUM($C$154:$G$154)),IFERROR(INDEX($C$154:$G$154,MATCH($B$2,$C$143:$G$143,0)),""))</f>
        <v>3249</v>
      </c>
      <c r="N22" s="156">
        <f>IF(AND(ISNUMBER(M22),ISNUMBER(L22)),IF(L22&gt;0,M22/L22,""),"")</f>
        <v>0.553303814713896</v>
      </c>
      <c r="O22" s="153">
        <f>IF($B$2="Todos",IF(COUNT($C$224:$G$224)=0,"",SUM($C$224:$G$224)),IFERROR(INDEX($C$224:$G$224,MATCH($B$2,$C$213:$G$213,0)),""))</f>
        <v>31</v>
      </c>
      <c r="P22" s="153">
        <f>IF($B$2="Todos",SUMIFS(Base!$O$3:$O$5001,Base!$A$3:$A$5001,$B22),SUMIFS(Base!$O$3:$O$5001,Base!$A$3:$A$5001,$B22,Base!$B$3:$B$5001,$B$2))</f>
        <v>0</v>
      </c>
      <c r="Q22" s="153">
        <f>IF($B$2="Todos",SUMIFS(Base!$P$3:$P$5001,Base!$A$3:$A$5001,$B22),SUMIFS(Base!$P$3:$P$5001,Base!$A$3:$A$5001,$B22,Base!$B$3:$B$5001,$B$2))</f>
        <v>0</v>
      </c>
      <c r="R22" s="153">
        <f>IF($B$2="Todos",SUMIFS(Base!$Q$3:$Q$5001,Base!$A$3:$A$5001,$B22),SUMIFS(Base!$Q$3:$Q$5001,Base!$A$3:$A$5001,$B22,Base!$B$3:$B$5001,$B$2))</f>
        <v>0</v>
      </c>
      <c r="S22" s="153">
        <f>IF($B$2="Todos",SUMIFS(Base!$R$3:$R$5001,Base!$A$3:$A$5001,$B22),SUMIFS(Base!$R$3:$R$5001,Base!$A$3:$A$5001,$B22,Base!$B$3:$B$5001,$B$2))</f>
        <v>0</v>
      </c>
      <c r="T22" s="139">
        <f>IF(ISNUMBER($B22),WEEKDAY($B22,2),"")</f>
        <v>5</v>
      </c>
      <c r="U22" s="157">
        <f>CHOOSE($C$3,C22,D22,E22)</f>
        <v>28</v>
      </c>
      <c r="V22" s="157">
        <f>CHOOSE($C$3,F22,G22,H22)</f>
        <v>54</v>
      </c>
      <c r="W22" s="157">
        <f>IFERROR(AVERAGEIF(U12:U42,"&gt;0"),0)</f>
        <v>17.6153846153846</v>
      </c>
      <c r="X22" s="157">
        <f>IFERROR(AVERAGEIF(V12:V42,"&gt;0"),0)</f>
        <v>25.0714285714286</v>
      </c>
      <c r="Y22" s="158">
        <f>$B$5</f>
        <v>0.7</v>
      </c>
      <c r="Z22" s="158">
        <f>$B$6</f>
        <v>0.9</v>
      </c>
      <c r="AH22" s="159" t="inlineStr">
        <is>
          <t xml:space="preserve">NOVEMBRO · 2026</t>
        </is>
      </c>
    </row>
    <row r="23">
      <c r="A23" s="139">
        <v>12</v>
      </c>
      <c r="B23" s="152">
        <f>IF(ISNUMBER($A23),$C$7+$A23-1,"")</f>
        <v>46277</v>
      </c>
      <c r="C23" s="153">
        <f>IF($B$2="Todos",SUMIFS(Base!$C$3:$C$5001,Base!$A$3:$A$5001,$B23),SUMIFS(Base!$C$3:$C$5001,Base!$A$3:$A$5001,$B23,Base!$B$3:$B$5001,$B$2))</f>
        <v>0</v>
      </c>
      <c r="D23" s="153">
        <f>IF($B$2="Todos",SUMIFS(Base!$D$3:$D$5001,Base!$A$3:$A$5001,$B23),SUMIFS(Base!$D$3:$D$5001,Base!$A$3:$A$5001,$B23,Base!$B$3:$B$5001,$B$2))</f>
        <v>0</v>
      </c>
      <c r="E23" s="154">
        <f>IF($B$2="Todos",SUMIFS(Base!$E$3:$E$5001,Base!$A$3:$A$5001,$B23),SUMIFS(Base!$E$3:$E$5001,Base!$A$3:$A$5001,$B23,Base!$B$3:$B$5001,$B$2))</f>
        <v>0</v>
      </c>
      <c r="F23" s="153">
        <f>IF($B$2="Todos",SUMIFS(Base!$F$3:$F$5001,Base!$A$3:$A$5001,$B23),SUMIFS(Base!$F$3:$F$5001,Base!$A$3:$A$5001,$B23,Base!$B$3:$B$5001,$B$2))</f>
        <v>11</v>
      </c>
      <c r="G23" s="153">
        <f>IF($B$2="Todos",SUMIFS(Base!$G$3:$G$5001,Base!$A$3:$A$5001,$B23),SUMIFS(Base!$G$3:$G$5001,Base!$A$3:$A$5001,$B23,Base!$B$3:$B$5001,$B$2))</f>
        <v>198</v>
      </c>
      <c r="H23" s="154">
        <f>IF($B$2="Todos",SUMIFS(Base!$H$3:$H$5001,Base!$A$3:$A$5001,$B23),SUMIFS(Base!$H$3:$H$5001,Base!$A$3:$A$5001,$B23,Base!$B$3:$B$5001,$B$2))</f>
        <v>213.02</v>
      </c>
      <c r="I23" s="153">
        <f>IF($B$2="Todos",SUMIFS(Base!$I$3:$I$5001,Base!$A$3:$A$5001,$B23),SUMIFS(Base!$I$3:$I$5001,Base!$A$3:$A$5001,$B23,Base!$B$3:$B$5001,$B$2))</f>
        <v>0</v>
      </c>
      <c r="J23" s="153">
        <f>IF($B$2="Todos",SUMIFS(Base!$J$3:$J$5001,Base!$A$3:$A$5001,$B23),SUMIFS(Base!$J$3:$J$5001,Base!$A$3:$A$5001,$B23,Base!$B$3:$B$5001,$B$2))</f>
        <v>0</v>
      </c>
      <c r="K23" s="153" t="str">
        <f>IF($B$2="Todos",IF(COUNT($C$120:$G$120)=0,"",SUM($C$120:$G$120)),IFERROR(INDEX($C$120:$G$120,MATCH($B$2,$C$108:$G$108,0)),""))</f>
        <v/>
      </c>
      <c r="L23" s="155">
        <f>IF(M23="","",IF($B$2="Todos",$B$4,IFERROR(INDEX($C$190:$G$190,MATCH($B$2,$C$178:$G$178,0)),"")))</f>
        <v>5872</v>
      </c>
      <c r="M23" s="153">
        <f>IF($B$2="Todos",IF(COUNT($C$155:$G$155)=0,"",SUM($C$155:$G$155)),IFERROR(INDEX($C$155:$G$155,MATCH($B$2,$C$143:$G$143,0)),""))</f>
        <v>3689</v>
      </c>
      <c r="N23" s="156">
        <f>IF(AND(ISNUMBER(M23),ISNUMBER(L23)),IF(L23&gt;0,M23/L23,""),"")</f>
        <v>0.628235694822888</v>
      </c>
      <c r="O23" s="153">
        <f>IF($B$2="Todos",IF(COUNT($C$225:$G$225)=0,"",SUM($C$225:$G$225)),IFERROR(INDEX($C$225:$G$225,MATCH($B$2,$C$213:$G$213,0)),""))</f>
        <v>28</v>
      </c>
      <c r="P23" s="153">
        <f>IF($B$2="Todos",SUMIFS(Base!$O$3:$O$5001,Base!$A$3:$A$5001,$B23),SUMIFS(Base!$O$3:$O$5001,Base!$A$3:$A$5001,$B23,Base!$B$3:$B$5001,$B$2))</f>
        <v>0</v>
      </c>
      <c r="Q23" s="153">
        <f>IF($B$2="Todos",SUMIFS(Base!$P$3:$P$5001,Base!$A$3:$A$5001,$B23),SUMIFS(Base!$P$3:$P$5001,Base!$A$3:$A$5001,$B23,Base!$B$3:$B$5001,$B$2))</f>
        <v>0</v>
      </c>
      <c r="R23" s="153">
        <f>IF($B$2="Todos",SUMIFS(Base!$Q$3:$Q$5001,Base!$A$3:$A$5001,$B23),SUMIFS(Base!$Q$3:$Q$5001,Base!$A$3:$A$5001,$B23,Base!$B$3:$B$5001,$B$2))</f>
        <v>0</v>
      </c>
      <c r="S23" s="153">
        <f>IF($B$2="Todos",SUMIFS(Base!$R$3:$R$5001,Base!$A$3:$A$5001,$B23),SUMIFS(Base!$R$3:$R$5001,Base!$A$3:$A$5001,$B23,Base!$B$3:$B$5001,$B$2))</f>
        <v>0</v>
      </c>
      <c r="T23" s="139">
        <f>IF(ISNUMBER($B23),WEEKDAY($B23,2),"")</f>
        <v>6</v>
      </c>
      <c r="U23" s="157">
        <f>CHOOSE($C$3,C23,D23,E23)</f>
        <v>0</v>
      </c>
      <c r="V23" s="157">
        <f>CHOOSE($C$3,F23,G23,H23)</f>
        <v>11</v>
      </c>
      <c r="W23" s="157">
        <f>IFERROR(AVERAGEIF(U12:U42,"&gt;0"),0)</f>
        <v>17.6153846153846</v>
      </c>
      <c r="X23" s="157">
        <f>IFERROR(AVERAGEIF(V12:V42,"&gt;0"),0)</f>
        <v>25.0714285714286</v>
      </c>
      <c r="Y23" s="158">
        <f>$B$5</f>
        <v>0.7</v>
      </c>
      <c r="Z23" s="158">
        <f>$B$6</f>
        <v>0.9</v>
      </c>
      <c r="AH23" s="159" t="inlineStr">
        <is>
          <t xml:space="preserve">DEZEMBRO · 2026</t>
        </is>
      </c>
    </row>
    <row r="24">
      <c r="A24" s="139">
        <v>13</v>
      </c>
      <c r="B24" s="152">
        <f>IF(ISNUMBER($A24),$C$7+$A24-1,"")</f>
        <v>46278</v>
      </c>
      <c r="C24" s="153">
        <f>IF($B$2="Todos",SUMIFS(Base!$C$3:$C$5001,Base!$A$3:$A$5001,$B24),SUMIFS(Base!$C$3:$C$5001,Base!$A$3:$A$5001,$B24,Base!$B$3:$B$5001,$B$2))</f>
        <v>6</v>
      </c>
      <c r="D24" s="153">
        <f>IF($B$2="Todos",SUMIFS(Base!$D$3:$D$5001,Base!$A$3:$A$5001,$B24),SUMIFS(Base!$D$3:$D$5001,Base!$A$3:$A$5001,$B24,Base!$B$3:$B$5001,$B$2))</f>
        <v>142</v>
      </c>
      <c r="E24" s="154">
        <f>IF($B$2="Todos",SUMIFS(Base!$E$3:$E$5001,Base!$A$3:$A$5001,$B24),SUMIFS(Base!$E$3:$E$5001,Base!$A$3:$A$5001,$B24,Base!$B$3:$B$5001,$B$2))</f>
        <v>116.67</v>
      </c>
      <c r="F24" s="153">
        <f>IF($B$2="Todos",SUMIFS(Base!$F$3:$F$5001,Base!$A$3:$A$5001,$B24),SUMIFS(Base!$F$3:$F$5001,Base!$A$3:$A$5001,$B24,Base!$B$3:$B$5001,$B$2))</f>
        <v>17</v>
      </c>
      <c r="G24" s="153">
        <f>IF($B$2="Todos",SUMIFS(Base!$G$3:$G$5001,Base!$A$3:$A$5001,$B24),SUMIFS(Base!$G$3:$G$5001,Base!$A$3:$A$5001,$B24,Base!$B$3:$B$5001,$B$2))</f>
        <v>306</v>
      </c>
      <c r="H24" s="154">
        <f>IF($B$2="Todos",SUMIFS(Base!$H$3:$H$5001,Base!$A$3:$A$5001,$B24),SUMIFS(Base!$H$3:$H$5001,Base!$A$3:$A$5001,$B24,Base!$B$3:$B$5001,$B$2))</f>
        <v>99.78</v>
      </c>
      <c r="I24" s="153">
        <f>IF($B$2="Todos",SUMIFS(Base!$I$3:$I$5001,Base!$A$3:$A$5001,$B24),SUMIFS(Base!$I$3:$I$5001,Base!$A$3:$A$5001,$B24,Base!$B$3:$B$5001,$B$2))</f>
        <v>0</v>
      </c>
      <c r="J24" s="153">
        <f>IF($B$2="Todos",SUMIFS(Base!$J$3:$J$5001,Base!$A$3:$A$5001,$B24),SUMIFS(Base!$J$3:$J$5001,Base!$A$3:$A$5001,$B24,Base!$B$3:$B$5001,$B$2))</f>
        <v>0</v>
      </c>
      <c r="K24" s="153" t="str">
        <f>IF($B$2="Todos",IF(COUNT($C$121:$G$121)=0,"",SUM($C$121:$G$121)),IFERROR(INDEX($C$121:$G$121,MATCH($B$2,$C$108:$G$108,0)),""))</f>
        <v/>
      </c>
      <c r="L24" s="155">
        <f>IF(M24="","",IF($B$2="Todos",$B$4,IFERROR(INDEX($C$191:$G$191,MATCH($B$2,$C$178:$G$178,0)),"")))</f>
        <v>5872</v>
      </c>
      <c r="M24" s="153">
        <f>IF($B$2="Todos",IF(COUNT($C$156:$G$156)=0,"",SUM($C$156:$G$156)),IFERROR(INDEX($C$156:$G$156,MATCH($B$2,$C$143:$G$143,0)),""))</f>
        <v>3785</v>
      </c>
      <c r="N24" s="156">
        <f>IF(AND(ISNUMBER(M24),ISNUMBER(L24)),IF(L24&gt;0,M24/L24,""),"")</f>
        <v>0.64458446866485</v>
      </c>
      <c r="O24" s="153">
        <f>IF($B$2="Todos",IF(COUNT($C$226:$G$226)=0,"",SUM($C$226:$G$226)),IFERROR(INDEX($C$226:$G$226,MATCH($B$2,$C$213:$G$213,0)),""))</f>
        <v>27</v>
      </c>
      <c r="P24" s="153">
        <f>IF($B$2="Todos",SUMIFS(Base!$O$3:$O$5001,Base!$A$3:$A$5001,$B24),SUMIFS(Base!$O$3:$O$5001,Base!$A$3:$A$5001,$B24,Base!$B$3:$B$5001,$B$2))</f>
        <v>0</v>
      </c>
      <c r="Q24" s="153">
        <f>IF($B$2="Todos",SUMIFS(Base!$P$3:$P$5001,Base!$A$3:$A$5001,$B24),SUMIFS(Base!$P$3:$P$5001,Base!$A$3:$A$5001,$B24,Base!$B$3:$B$5001,$B$2))</f>
        <v>0</v>
      </c>
      <c r="R24" s="153">
        <f>IF($B$2="Todos",SUMIFS(Base!$Q$3:$Q$5001,Base!$A$3:$A$5001,$B24),SUMIFS(Base!$Q$3:$Q$5001,Base!$A$3:$A$5001,$B24,Base!$B$3:$B$5001,$B$2))</f>
        <v>0</v>
      </c>
      <c r="S24" s="153">
        <f>IF($B$2="Todos",SUMIFS(Base!$R$3:$R$5001,Base!$A$3:$A$5001,$B24),SUMIFS(Base!$R$3:$R$5001,Base!$A$3:$A$5001,$B24,Base!$B$3:$B$5001,$B$2))</f>
        <v>0</v>
      </c>
      <c r="T24" s="139">
        <f>IF(ISNUMBER($B24),WEEKDAY($B24,2),"")</f>
        <v>7</v>
      </c>
      <c r="U24" s="157">
        <f>CHOOSE($C$3,C24,D24,E24)</f>
        <v>6</v>
      </c>
      <c r="V24" s="157">
        <f>CHOOSE($C$3,F24,G24,H24)</f>
        <v>17</v>
      </c>
      <c r="W24" s="157">
        <f>IFERROR(AVERAGEIF(U12:U42,"&gt;0"),0)</f>
        <v>17.6153846153846</v>
      </c>
      <c r="X24" s="157">
        <f>IFERROR(AVERAGEIF(V12:V42,"&gt;0"),0)</f>
        <v>25.0714285714286</v>
      </c>
      <c r="Y24" s="158">
        <f>$B$5</f>
        <v>0.7</v>
      </c>
      <c r="Z24" s="158">
        <f>$B$6</f>
        <v>0.9</v>
      </c>
      <c r="AH24" s="159" t="inlineStr">
        <is>
          <t xml:space="preserve">JANEIRO · 2027</t>
        </is>
      </c>
    </row>
    <row r="25">
      <c r="A25" s="139">
        <v>14</v>
      </c>
      <c r="B25" s="152">
        <f>IF(ISNUMBER($A25),$C$7+$A25-1,"")</f>
        <v>46279</v>
      </c>
      <c r="C25" s="153">
        <f>IF($B$2="Todos",SUMIFS(Base!$C$3:$C$5001,Base!$A$3:$A$5001,$B25),SUMIFS(Base!$C$3:$C$5001,Base!$A$3:$A$5001,$B25,Base!$B$3:$B$5001,$B$2))</f>
        <v>21</v>
      </c>
      <c r="D25" s="153">
        <f>IF($B$2="Todos",SUMIFS(Base!$D$3:$D$5001,Base!$A$3:$A$5001,$B25),SUMIFS(Base!$D$3:$D$5001,Base!$A$3:$A$5001,$B25,Base!$B$3:$B$5001,$B$2))</f>
        <v>497</v>
      </c>
      <c r="E25" s="154">
        <f>IF($B$2="Todos",SUMIFS(Base!$E$3:$E$5001,Base!$A$3:$A$5001,$B25),SUMIFS(Base!$E$3:$E$5001,Base!$A$3:$A$5001,$B25,Base!$B$3:$B$5001,$B$2))</f>
        <v>343.36</v>
      </c>
      <c r="F25" s="153">
        <f>IF($B$2="Todos",SUMIFS(Base!$F$3:$F$5001,Base!$A$3:$A$5001,$B25),SUMIFS(Base!$F$3:$F$5001,Base!$A$3:$A$5001,$B25,Base!$B$3:$B$5001,$B$2))</f>
        <v>42</v>
      </c>
      <c r="G25" s="153">
        <f>IF($B$2="Todos",SUMIFS(Base!$G$3:$G$5001,Base!$A$3:$A$5001,$B25),SUMIFS(Base!$G$3:$G$5001,Base!$A$3:$A$5001,$B25,Base!$B$3:$B$5001,$B$2))</f>
        <v>756</v>
      </c>
      <c r="H25" s="154">
        <f>IF($B$2="Todos",SUMIFS(Base!$H$3:$H$5001,Base!$A$3:$A$5001,$B25),SUMIFS(Base!$H$3:$H$5001,Base!$A$3:$A$5001,$B25,Base!$B$3:$B$5001,$B$2))</f>
        <v>639</v>
      </c>
      <c r="I25" s="153">
        <f>IF($B$2="Todos",SUMIFS(Base!$I$3:$I$5001,Base!$A$3:$A$5001,$B25),SUMIFS(Base!$I$3:$I$5001,Base!$A$3:$A$5001,$B25,Base!$B$3:$B$5001,$B$2))</f>
        <v>0</v>
      </c>
      <c r="J25" s="153">
        <f>IF($B$2="Todos",SUMIFS(Base!$J$3:$J$5001,Base!$A$3:$A$5001,$B25),SUMIFS(Base!$J$3:$J$5001,Base!$A$3:$A$5001,$B25,Base!$B$3:$B$5001,$B$2))</f>
        <v>0</v>
      </c>
      <c r="K25" s="153" t="str">
        <f>IF($B$2="Todos",IF(COUNT($C$122:$G$122)=0,"",SUM($C$122:$G$122)),IFERROR(INDEX($C$122:$G$122,MATCH($B$2,$C$108:$G$108,0)),""))</f>
        <v/>
      </c>
      <c r="L25" s="155">
        <f>IF(M25="","",IF($B$2="Todos",$B$4,IFERROR(INDEX($C$192:$G$192,MATCH($B$2,$C$178:$G$178,0)),"")))</f>
        <v>5872</v>
      </c>
      <c r="M25" s="153">
        <f>IF($B$2="Todos",IF(COUNT($C$157:$G$157)=0,"",SUM($C$157:$G$157)),IFERROR(INDEX($C$157:$G$157,MATCH($B$2,$C$143:$G$143,0)),""))</f>
        <v>3631</v>
      </c>
      <c r="N25" s="156">
        <f>IF(AND(ISNUMBER(M25),ISNUMBER(L25)),IF(L25&gt;0,M25/L25,""),"")</f>
        <v>0.618358310626703</v>
      </c>
      <c r="O25" s="153">
        <f>IF($B$2="Todos",IF(COUNT($C$227:$G$227)=0,"",SUM($C$227:$G$227)),IFERROR(INDEX($C$227:$G$227,MATCH($B$2,$C$213:$G$213,0)),""))</f>
        <v>29</v>
      </c>
      <c r="P25" s="153">
        <f>IF($B$2="Todos",SUMIFS(Base!$O$3:$O$5001,Base!$A$3:$A$5001,$B25),SUMIFS(Base!$O$3:$O$5001,Base!$A$3:$A$5001,$B25,Base!$B$3:$B$5001,$B$2))</f>
        <v>0</v>
      </c>
      <c r="Q25" s="153">
        <f>IF($B$2="Todos",SUMIFS(Base!$P$3:$P$5001,Base!$A$3:$A$5001,$B25),SUMIFS(Base!$P$3:$P$5001,Base!$A$3:$A$5001,$B25,Base!$B$3:$B$5001,$B$2))</f>
        <v>0</v>
      </c>
      <c r="R25" s="153">
        <f>IF($B$2="Todos",SUMIFS(Base!$Q$3:$Q$5001,Base!$A$3:$A$5001,$B25),SUMIFS(Base!$Q$3:$Q$5001,Base!$A$3:$A$5001,$B25,Base!$B$3:$B$5001,$B$2))</f>
        <v>0</v>
      </c>
      <c r="S25" s="153">
        <f>IF($B$2="Todos",SUMIFS(Base!$R$3:$R$5001,Base!$A$3:$A$5001,$B25),SUMIFS(Base!$R$3:$R$5001,Base!$A$3:$A$5001,$B25,Base!$B$3:$B$5001,$B$2))</f>
        <v>0</v>
      </c>
      <c r="T25" s="139">
        <f>IF(ISNUMBER($B25),WEEKDAY($B25,2),"")</f>
        <v>1</v>
      </c>
      <c r="U25" s="157">
        <f>CHOOSE($C$3,C25,D25,E25)</f>
        <v>21</v>
      </c>
      <c r="V25" s="157">
        <f>CHOOSE($C$3,F25,G25,H25)</f>
        <v>42</v>
      </c>
      <c r="W25" s="157">
        <f>IFERROR(AVERAGEIF(U12:U42,"&gt;0"),0)</f>
        <v>17.6153846153846</v>
      </c>
      <c r="X25" s="157">
        <f>IFERROR(AVERAGEIF(V12:V42,"&gt;0"),0)</f>
        <v>25.0714285714286</v>
      </c>
      <c r="Y25" s="158">
        <f>$B$5</f>
        <v>0.7</v>
      </c>
      <c r="Z25" s="158">
        <f>$B$6</f>
        <v>0.9</v>
      </c>
      <c r="AH25" s="159" t="inlineStr">
        <is>
          <t xml:space="preserve">FEVEREIRO · 2027</t>
        </is>
      </c>
    </row>
    <row r="26">
      <c r="A26" s="139">
        <v>15</v>
      </c>
      <c r="B26" s="152">
        <f>IF(ISNUMBER($A26),$C$7+$A26-1,"")</f>
        <v>46280</v>
      </c>
      <c r="C26" s="153">
        <f>IF($B$2="Todos",SUMIFS(Base!$C$3:$C$5001,Base!$A$3:$A$5001,$B26),SUMIFS(Base!$C$3:$C$5001,Base!$A$3:$A$5001,$B26,Base!$B$3:$B$5001,$B$2))</f>
        <v>18</v>
      </c>
      <c r="D26" s="153">
        <f>IF($B$2="Todos",SUMIFS(Base!$D$3:$D$5001,Base!$A$3:$A$5001,$B26),SUMIFS(Base!$D$3:$D$5001,Base!$A$3:$A$5001,$B26,Base!$B$3:$B$5001,$B$2))</f>
        <v>395</v>
      </c>
      <c r="E26" s="154">
        <f>IF($B$2="Todos",SUMIFS(Base!$E$3:$E$5001,Base!$A$3:$A$5001,$B26),SUMIFS(Base!$E$3:$E$5001,Base!$A$3:$A$5001,$B26,Base!$B$3:$B$5001,$B$2))</f>
        <v>344.77</v>
      </c>
      <c r="F26" s="153">
        <f>IF($B$2="Todos",SUMIFS(Base!$F$3:$F$5001,Base!$A$3:$A$5001,$B26),SUMIFS(Base!$F$3:$F$5001,Base!$A$3:$A$5001,$B26,Base!$B$3:$B$5001,$B$2))</f>
        <v>20</v>
      </c>
      <c r="G26" s="153">
        <f>IF($B$2="Todos",SUMIFS(Base!$G$3:$G$5001,Base!$A$3:$A$5001,$B26),SUMIFS(Base!$G$3:$G$5001,Base!$A$3:$A$5001,$B26,Base!$B$3:$B$5001,$B$2))</f>
        <v>360</v>
      </c>
      <c r="H26" s="154">
        <f>IF($B$2="Todos",SUMIFS(Base!$H$3:$H$5001,Base!$A$3:$A$5001,$B26),SUMIFS(Base!$H$3:$H$5001,Base!$A$3:$A$5001,$B26,Base!$B$3:$B$5001,$B$2))</f>
        <v>188.88</v>
      </c>
      <c r="I26" s="153">
        <f>IF($B$2="Todos",SUMIFS(Base!$I$3:$I$5001,Base!$A$3:$A$5001,$B26),SUMIFS(Base!$I$3:$I$5001,Base!$A$3:$A$5001,$B26,Base!$B$3:$B$5001,$B$2))</f>
        <v>1</v>
      </c>
      <c r="J26" s="153">
        <f>IF($B$2="Todos",SUMIFS(Base!$J$3:$J$5001,Base!$A$3:$A$5001,$B26),SUMIFS(Base!$J$3:$J$5001,Base!$A$3:$A$5001,$B26,Base!$B$3:$B$5001,$B$2))</f>
        <v>0</v>
      </c>
      <c r="K26" s="153" t="str">
        <f>IF($B$2="Todos",IF(COUNT($C$123:$G$123)=0,"",SUM($C$123:$G$123)),IFERROR(INDEX($C$123:$G$123,MATCH($B$2,$C$108:$G$108,0)),""))</f>
        <v/>
      </c>
      <c r="L26" s="155">
        <f>IF(M26="","",IF($B$2="Todos",$B$4,IFERROR(INDEX($C$193:$G$193,MATCH($B$2,$C$178:$G$178,0)),"")))</f>
        <v>5872</v>
      </c>
      <c r="M26" s="153">
        <f>IF($B$2="Todos",IF(COUNT($C$158:$G$158)=0,"",SUM($C$158:$G$158)),IFERROR(INDEX($C$158:$G$158,MATCH($B$2,$C$143:$G$143,0)),""))</f>
        <v>3618</v>
      </c>
      <c r="N26" s="156">
        <f>IF(AND(ISNUMBER(M26),ISNUMBER(L26)),IF(L26&gt;0,M26/L26,""),"")</f>
        <v>0.616144414168937</v>
      </c>
      <c r="O26" s="153">
        <f>IF($B$2="Todos",IF(COUNT($C$228:$G$228)=0,"",SUM($C$228:$G$228)),IFERROR(INDEX($C$228:$G$228,MATCH($B$2,$C$213:$G$213,0)),""))</f>
        <v>30</v>
      </c>
      <c r="P26" s="153">
        <f>IF($B$2="Todos",SUMIFS(Base!$O$3:$O$5001,Base!$A$3:$A$5001,$B26),SUMIFS(Base!$O$3:$O$5001,Base!$A$3:$A$5001,$B26,Base!$B$3:$B$5001,$B$2))</f>
        <v>0</v>
      </c>
      <c r="Q26" s="153">
        <f>IF($B$2="Todos",SUMIFS(Base!$P$3:$P$5001,Base!$A$3:$A$5001,$B26),SUMIFS(Base!$P$3:$P$5001,Base!$A$3:$A$5001,$B26,Base!$B$3:$B$5001,$B$2))</f>
        <v>0</v>
      </c>
      <c r="R26" s="153">
        <f>IF($B$2="Todos",SUMIFS(Base!$Q$3:$Q$5001,Base!$A$3:$A$5001,$B26),SUMIFS(Base!$Q$3:$Q$5001,Base!$A$3:$A$5001,$B26,Base!$B$3:$B$5001,$B$2))</f>
        <v>0</v>
      </c>
      <c r="S26" s="153">
        <f>IF($B$2="Todos",SUMIFS(Base!$R$3:$R$5001,Base!$A$3:$A$5001,$B26),SUMIFS(Base!$R$3:$R$5001,Base!$A$3:$A$5001,$B26,Base!$B$3:$B$5001,$B$2))</f>
        <v>0</v>
      </c>
      <c r="T26" s="139">
        <f>IF(ISNUMBER($B26),WEEKDAY($B26,2),"")</f>
        <v>2</v>
      </c>
      <c r="U26" s="157">
        <f>CHOOSE($C$3,C26,D26,E26)</f>
        <v>18</v>
      </c>
      <c r="V26" s="157">
        <f>CHOOSE($C$3,F26,G26,H26)</f>
        <v>20</v>
      </c>
      <c r="W26" s="157">
        <f>IFERROR(AVERAGEIF(U12:U42,"&gt;0"),0)</f>
        <v>17.6153846153846</v>
      </c>
      <c r="X26" s="157">
        <f>IFERROR(AVERAGEIF(V12:V42,"&gt;0"),0)</f>
        <v>25.0714285714286</v>
      </c>
      <c r="Y26" s="158">
        <f>$B$5</f>
        <v>0.7</v>
      </c>
      <c r="Z26" s="158">
        <f>$B$6</f>
        <v>0.9</v>
      </c>
      <c r="AH26" s="159" t="inlineStr">
        <is>
          <t xml:space="preserve">MARÇO · 2027</t>
        </is>
      </c>
    </row>
    <row r="27">
      <c r="A27" s="139">
        <v>16</v>
      </c>
      <c r="B27" s="152">
        <f>IF(ISNUMBER($A27),$C$7+$A27-1,"")</f>
        <v>46281</v>
      </c>
      <c r="C27" s="153">
        <f>IF($B$2="Todos",SUMIFS(Base!$C$3:$C$5001,Base!$A$3:$A$5001,$B27),SUMIFS(Base!$C$3:$C$5001,Base!$A$3:$A$5001,$B27,Base!$B$3:$B$5001,$B$2))</f>
        <v>15</v>
      </c>
      <c r="D27" s="153">
        <f>IF($B$2="Todos",SUMIFS(Base!$D$3:$D$5001,Base!$A$3:$A$5001,$B27),SUMIFS(Base!$D$3:$D$5001,Base!$A$3:$A$5001,$B27,Base!$B$3:$B$5001,$B$2))</f>
        <v>380</v>
      </c>
      <c r="E27" s="154">
        <f>IF($B$2="Todos",SUMIFS(Base!$E$3:$E$5001,Base!$A$3:$A$5001,$B27),SUMIFS(Base!$E$3:$E$5001,Base!$A$3:$A$5001,$B27,Base!$B$3:$B$5001,$B$2))</f>
        <v>163.34</v>
      </c>
      <c r="F27" s="153">
        <f>IF($B$2="Todos",SUMIFS(Base!$F$3:$F$5001,Base!$A$3:$A$5001,$B27),SUMIFS(Base!$F$3:$F$5001,Base!$A$3:$A$5001,$B27,Base!$B$3:$B$5001,$B$2))</f>
        <v>23</v>
      </c>
      <c r="G27" s="153">
        <f>IF($B$2="Todos",SUMIFS(Base!$G$3:$G$5001,Base!$A$3:$A$5001,$B27),SUMIFS(Base!$G$3:$G$5001,Base!$A$3:$A$5001,$B27,Base!$B$3:$B$5001,$B$2))</f>
        <v>414</v>
      </c>
      <c r="H27" s="154">
        <f>IF($B$2="Todos",SUMIFS(Base!$H$3:$H$5001,Base!$A$3:$A$5001,$B27),SUMIFS(Base!$H$3:$H$5001,Base!$A$3:$A$5001,$B27,Base!$B$3:$B$5001,$B$2))</f>
        <v>177.94</v>
      </c>
      <c r="I27" s="153">
        <f>IF($B$2="Todos",SUMIFS(Base!$I$3:$I$5001,Base!$A$3:$A$5001,$B27),SUMIFS(Base!$I$3:$I$5001,Base!$A$3:$A$5001,$B27,Base!$B$3:$B$5001,$B$2))</f>
        <v>0</v>
      </c>
      <c r="J27" s="153">
        <f>IF($B$2="Todos",SUMIFS(Base!$J$3:$J$5001,Base!$A$3:$A$5001,$B27),SUMIFS(Base!$J$3:$J$5001,Base!$A$3:$A$5001,$B27,Base!$B$3:$B$5001,$B$2))</f>
        <v>0</v>
      </c>
      <c r="K27" s="153" t="str">
        <f>IF($B$2="Todos",IF(COUNT($C$124:$G$124)=0,"",SUM($C$124:$G$124)),IFERROR(INDEX($C$124:$G$124,MATCH($B$2,$C$108:$G$108,0)),""))</f>
        <v/>
      </c>
      <c r="L27" s="155">
        <f>IF(M27="","",IF($B$2="Todos",$B$4,IFERROR(INDEX($C$194:$G$194,MATCH($B$2,$C$178:$G$178,0)),"")))</f>
        <v>5872</v>
      </c>
      <c r="M27" s="153">
        <f>IF($B$2="Todos",IF(COUNT($C$159:$G$159)=0,"",SUM($C$159:$G$159)),IFERROR(INDEX($C$159:$G$159,MATCH($B$2,$C$143:$G$143,0)),""))</f>
        <v>3543</v>
      </c>
      <c r="N27" s="156">
        <f>IF(AND(ISNUMBER(M27),ISNUMBER(L27)),IF(L27&gt;0,M27/L27,""),"")</f>
        <v>0.603371934604905</v>
      </c>
      <c r="O27" s="153">
        <f>IF($B$2="Todos",IF(COUNT($C$229:$G$229)=0,"",SUM($C$229:$G$229)),IFERROR(INDEX($C$229:$G$229,MATCH($B$2,$C$213:$G$213,0)),""))</f>
        <v>21</v>
      </c>
      <c r="P27" s="153">
        <f>IF($B$2="Todos",SUMIFS(Base!$O$3:$O$5001,Base!$A$3:$A$5001,$B27),SUMIFS(Base!$O$3:$O$5001,Base!$A$3:$A$5001,$B27,Base!$B$3:$B$5001,$B$2))</f>
        <v>0</v>
      </c>
      <c r="Q27" s="153">
        <f>IF($B$2="Todos",SUMIFS(Base!$P$3:$P$5001,Base!$A$3:$A$5001,$B27),SUMIFS(Base!$P$3:$P$5001,Base!$A$3:$A$5001,$B27,Base!$B$3:$B$5001,$B$2))</f>
        <v>0</v>
      </c>
      <c r="R27" s="153">
        <f>IF($B$2="Todos",SUMIFS(Base!$Q$3:$Q$5001,Base!$A$3:$A$5001,$B27),SUMIFS(Base!$Q$3:$Q$5001,Base!$A$3:$A$5001,$B27,Base!$B$3:$B$5001,$B$2))</f>
        <v>0</v>
      </c>
      <c r="S27" s="153">
        <f>IF($B$2="Todos",SUMIFS(Base!$R$3:$R$5001,Base!$A$3:$A$5001,$B27),SUMIFS(Base!$R$3:$R$5001,Base!$A$3:$A$5001,$B27,Base!$B$3:$B$5001,$B$2))</f>
        <v>0</v>
      </c>
      <c r="T27" s="139">
        <f>IF(ISNUMBER($B27),WEEKDAY($B27,2),"")</f>
        <v>3</v>
      </c>
      <c r="U27" s="157">
        <f>CHOOSE($C$3,C27,D27,E27)</f>
        <v>15</v>
      </c>
      <c r="V27" s="157">
        <f>CHOOSE($C$3,F27,G27,H27)</f>
        <v>23</v>
      </c>
      <c r="W27" s="157">
        <f>IFERROR(AVERAGEIF(U12:U42,"&gt;0"),0)</f>
        <v>17.6153846153846</v>
      </c>
      <c r="X27" s="157">
        <f>IFERROR(AVERAGEIF(V12:V42,"&gt;0"),0)</f>
        <v>25.0714285714286</v>
      </c>
      <c r="Y27" s="158">
        <f>$B$5</f>
        <v>0.7</v>
      </c>
      <c r="Z27" s="158">
        <f>$B$6</f>
        <v>0.9</v>
      </c>
      <c r="AH27" s="159" t="inlineStr">
        <is>
          <t xml:space="preserve">ABRIL · 2027</t>
        </is>
      </c>
    </row>
    <row r="28">
      <c r="A28" s="139">
        <v>17</v>
      </c>
      <c r="B28" s="152">
        <f>IF(ISNUMBER($A28),$C$7+$A28-1,"")</f>
        <v>46282</v>
      </c>
      <c r="C28" s="153">
        <f>IF($B$2="Todos",SUMIFS(Base!$C$3:$C$5001,Base!$A$3:$A$5001,$B28),SUMIFS(Base!$C$3:$C$5001,Base!$A$3:$A$5001,$B28,Base!$B$3:$B$5001,$B$2))</f>
        <v>19</v>
      </c>
      <c r="D28" s="153">
        <f>IF($B$2="Todos",SUMIFS(Base!$D$3:$D$5001,Base!$A$3:$A$5001,$B28),SUMIFS(Base!$D$3:$D$5001,Base!$A$3:$A$5001,$B28,Base!$B$3:$B$5001,$B$2))</f>
        <v>456</v>
      </c>
      <c r="E28" s="154">
        <f>IF($B$2="Todos",SUMIFS(Base!$E$3:$E$5001,Base!$A$3:$A$5001,$B28),SUMIFS(Base!$E$3:$E$5001,Base!$A$3:$A$5001,$B28,Base!$B$3:$B$5001,$B$2))</f>
        <v>247.87</v>
      </c>
      <c r="F28" s="153">
        <f>IF($B$2="Todos",SUMIFS(Base!$F$3:$F$5001,Base!$A$3:$A$5001,$B28),SUMIFS(Base!$F$3:$F$5001,Base!$A$3:$A$5001,$B28,Base!$B$3:$B$5001,$B$2))</f>
        <v>28</v>
      </c>
      <c r="G28" s="153">
        <f>IF($B$2="Todos",SUMIFS(Base!$G$3:$G$5001,Base!$A$3:$A$5001,$B28),SUMIFS(Base!$G$3:$G$5001,Base!$A$3:$A$5001,$B28,Base!$B$3:$B$5001,$B$2))</f>
        <v>504</v>
      </c>
      <c r="H28" s="154">
        <f>IF($B$2="Todos",SUMIFS(Base!$H$3:$H$5001,Base!$A$3:$A$5001,$B28),SUMIFS(Base!$H$3:$H$5001,Base!$A$3:$A$5001,$B28,Base!$B$3:$B$5001,$B$2))</f>
        <v>281.45</v>
      </c>
      <c r="I28" s="153">
        <f>IF($B$2="Todos",SUMIFS(Base!$I$3:$I$5001,Base!$A$3:$A$5001,$B28),SUMIFS(Base!$I$3:$I$5001,Base!$A$3:$A$5001,$B28,Base!$B$3:$B$5001,$B$2))</f>
        <v>0</v>
      </c>
      <c r="J28" s="153">
        <f>IF($B$2="Todos",SUMIFS(Base!$J$3:$J$5001,Base!$A$3:$A$5001,$B28),SUMIFS(Base!$J$3:$J$5001,Base!$A$3:$A$5001,$B28,Base!$B$3:$B$5001,$B$2))</f>
        <v>0</v>
      </c>
      <c r="K28" s="153" t="str">
        <f>IF($B$2="Todos",IF(COUNT($C$125:$G$125)=0,"",SUM($C$125:$G$125)),IFERROR(INDEX($C$125:$G$125,MATCH($B$2,$C$108:$G$108,0)),""))</f>
        <v/>
      </c>
      <c r="L28" s="155">
        <f>IF(M28="","",IF($B$2="Todos",$B$4,IFERROR(INDEX($C$195:$G$195,MATCH($B$2,$C$178:$G$178,0)),"")))</f>
        <v>5872</v>
      </c>
      <c r="M28" s="153">
        <f>IF($B$2="Todos",IF(COUNT($C$160:$G$160)=0,"",SUM($C$160:$G$160)),IFERROR(INDEX($C$160:$G$160,MATCH($B$2,$C$143:$G$143,0)),""))</f>
        <v>3112</v>
      </c>
      <c r="N28" s="156">
        <f>IF(AND(ISNUMBER(M28),ISNUMBER(L28)),IF(L28&gt;0,M28/L28,""),"")</f>
        <v>0.529972752043597</v>
      </c>
      <c r="O28" s="153">
        <f>IF($B$2="Todos",IF(COUNT($C$230:$G$230)=0,"",SUM($C$230:$G$230)),IFERROR(INDEX($C$230:$G$230,MATCH($B$2,$C$213:$G$213,0)),""))</f>
        <v>19</v>
      </c>
      <c r="P28" s="153">
        <f>IF($B$2="Todos",SUMIFS(Base!$O$3:$O$5001,Base!$A$3:$A$5001,$B28),SUMIFS(Base!$O$3:$O$5001,Base!$A$3:$A$5001,$B28,Base!$B$3:$B$5001,$B$2))</f>
        <v>0</v>
      </c>
      <c r="Q28" s="153">
        <f>IF($B$2="Todos",SUMIFS(Base!$P$3:$P$5001,Base!$A$3:$A$5001,$B28),SUMIFS(Base!$P$3:$P$5001,Base!$A$3:$A$5001,$B28,Base!$B$3:$B$5001,$B$2))</f>
        <v>0</v>
      </c>
      <c r="R28" s="153">
        <f>IF($B$2="Todos",SUMIFS(Base!$Q$3:$Q$5001,Base!$A$3:$A$5001,$B28),SUMIFS(Base!$Q$3:$Q$5001,Base!$A$3:$A$5001,$B28,Base!$B$3:$B$5001,$B$2))</f>
        <v>0</v>
      </c>
      <c r="S28" s="153">
        <f>IF($B$2="Todos",SUMIFS(Base!$R$3:$R$5001,Base!$A$3:$A$5001,$B28),SUMIFS(Base!$R$3:$R$5001,Base!$A$3:$A$5001,$B28,Base!$B$3:$B$5001,$B$2))</f>
        <v>0</v>
      </c>
      <c r="T28" s="139">
        <f>IF(ISNUMBER($B28),WEEKDAY($B28,2),"")</f>
        <v>4</v>
      </c>
      <c r="U28" s="157">
        <f>CHOOSE($C$3,C28,D28,E28)</f>
        <v>19</v>
      </c>
      <c r="V28" s="157">
        <f>CHOOSE($C$3,F28,G28,H28)</f>
        <v>28</v>
      </c>
      <c r="W28" s="157">
        <f>IFERROR(AVERAGEIF(U12:U42,"&gt;0"),0)</f>
        <v>17.6153846153846</v>
      </c>
      <c r="X28" s="157">
        <f>IFERROR(AVERAGEIF(V12:V42,"&gt;0"),0)</f>
        <v>25.0714285714286</v>
      </c>
      <c r="Y28" s="158">
        <f>$B$5</f>
        <v>0.7</v>
      </c>
      <c r="Z28" s="158">
        <f>$B$6</f>
        <v>0.9</v>
      </c>
      <c r="AH28" s="159" t="inlineStr">
        <is>
          <t xml:space="preserve">MAIO · 2027</t>
        </is>
      </c>
    </row>
    <row r="29">
      <c r="A29" s="139">
        <v>18</v>
      </c>
      <c r="B29" s="152">
        <f>IF(ISNUMBER($A29),$C$7+$A29-1,"")</f>
        <v>46283</v>
      </c>
      <c r="C29" s="153">
        <f>IF($B$2="Todos",SUMIFS(Base!$C$3:$C$5001,Base!$A$3:$A$5001,$B29),SUMIFS(Base!$C$3:$C$5001,Base!$A$3:$A$5001,$B29,Base!$B$3:$B$5001,$B$2))</f>
        <v>22</v>
      </c>
      <c r="D29" s="153">
        <f>IF($B$2="Todos",SUMIFS(Base!$D$3:$D$5001,Base!$A$3:$A$5001,$B29),SUMIFS(Base!$D$3:$D$5001,Base!$A$3:$A$5001,$B29,Base!$B$3:$B$5001,$B$2))</f>
        <v>500</v>
      </c>
      <c r="E29" s="154">
        <f>IF($B$2="Todos",SUMIFS(Base!$E$3:$E$5001,Base!$A$3:$A$5001,$B29),SUMIFS(Base!$E$3:$E$5001,Base!$A$3:$A$5001,$B29,Base!$B$3:$B$5001,$B$2))</f>
        <v>318.29</v>
      </c>
      <c r="F29" s="153">
        <f>IF($B$2="Todos",SUMIFS(Base!$F$3:$F$5001,Base!$A$3:$A$5001,$B29),SUMIFS(Base!$F$3:$F$5001,Base!$A$3:$A$5001,$B29,Base!$B$3:$B$5001,$B$2))</f>
        <v>22</v>
      </c>
      <c r="G29" s="153">
        <f>IF($B$2="Todos",SUMIFS(Base!$G$3:$G$5001,Base!$A$3:$A$5001,$B29),SUMIFS(Base!$G$3:$G$5001,Base!$A$3:$A$5001,$B29,Base!$B$3:$B$5001,$B$2))</f>
        <v>396</v>
      </c>
      <c r="H29" s="154">
        <f>IF($B$2="Todos",SUMIFS(Base!$H$3:$H$5001,Base!$A$3:$A$5001,$B29),SUMIFS(Base!$H$3:$H$5001,Base!$A$3:$A$5001,$B29,Base!$B$3:$B$5001,$B$2))</f>
        <v>287.05</v>
      </c>
      <c r="I29" s="153">
        <f>IF($B$2="Todos",SUMIFS(Base!$I$3:$I$5001,Base!$A$3:$A$5001,$B29),SUMIFS(Base!$I$3:$I$5001,Base!$A$3:$A$5001,$B29,Base!$B$3:$B$5001,$B$2))</f>
        <v>1</v>
      </c>
      <c r="J29" s="153">
        <f>IF($B$2="Todos",SUMIFS(Base!$J$3:$J$5001,Base!$A$3:$A$5001,$B29),SUMIFS(Base!$J$3:$J$5001,Base!$A$3:$A$5001,$B29,Base!$B$3:$B$5001,$B$2))</f>
        <v>0</v>
      </c>
      <c r="K29" s="153" t="str">
        <f>IF($B$2="Todos",IF(COUNT($C$126:$G$126)=0,"",SUM($C$126:$G$126)),IFERROR(INDEX($C$126:$G$126,MATCH($B$2,$C$108:$G$108,0)),""))</f>
        <v/>
      </c>
      <c r="L29" s="155">
        <f>IF(M29="","",IF($B$2="Todos",$B$4,IFERROR(INDEX($C$196:$G$196,MATCH($B$2,$C$178:$G$178,0)),"")))</f>
        <v>5872</v>
      </c>
      <c r="M29" s="153">
        <f>IF($B$2="Todos",IF(COUNT($C$161:$G$161)=0,"",SUM($C$161:$G$161)),IFERROR(INDEX($C$161:$G$161,MATCH($B$2,$C$143:$G$143,0)),""))</f>
        <v>3617</v>
      </c>
      <c r="N29" s="156">
        <f>IF(AND(ISNUMBER(M29),ISNUMBER(L29)),IF(L29&gt;0,M29/L29,""),"")</f>
        <v>0.615974114441417</v>
      </c>
      <c r="O29" s="153">
        <f>IF($B$2="Todos",IF(COUNT($C$231:$G$231)=0,"",SUM($C$231:$G$231)),IFERROR(INDEX($C$231:$G$231,MATCH($B$2,$C$213:$G$213,0)),""))</f>
        <v>28</v>
      </c>
      <c r="P29" s="153">
        <f>IF($B$2="Todos",SUMIFS(Base!$O$3:$O$5001,Base!$A$3:$A$5001,$B29),SUMIFS(Base!$O$3:$O$5001,Base!$A$3:$A$5001,$B29,Base!$B$3:$B$5001,$B$2))</f>
        <v>0</v>
      </c>
      <c r="Q29" s="153">
        <f>IF($B$2="Todos",SUMIFS(Base!$P$3:$P$5001,Base!$A$3:$A$5001,$B29),SUMIFS(Base!$P$3:$P$5001,Base!$A$3:$A$5001,$B29,Base!$B$3:$B$5001,$B$2))</f>
        <v>0</v>
      </c>
      <c r="R29" s="153">
        <f>IF($B$2="Todos",SUMIFS(Base!$Q$3:$Q$5001,Base!$A$3:$A$5001,$B29),SUMIFS(Base!$Q$3:$Q$5001,Base!$A$3:$A$5001,$B29,Base!$B$3:$B$5001,$B$2))</f>
        <v>0</v>
      </c>
      <c r="S29" s="153">
        <f>IF($B$2="Todos",SUMIFS(Base!$R$3:$R$5001,Base!$A$3:$A$5001,$B29),SUMIFS(Base!$R$3:$R$5001,Base!$A$3:$A$5001,$B29,Base!$B$3:$B$5001,$B$2))</f>
        <v>0</v>
      </c>
      <c r="T29" s="139">
        <f>IF(ISNUMBER($B29),WEEKDAY($B29,2),"")</f>
        <v>5</v>
      </c>
      <c r="U29" s="157">
        <f>CHOOSE($C$3,C29,D29,E29)</f>
        <v>22</v>
      </c>
      <c r="V29" s="157">
        <f>CHOOSE($C$3,F29,G29,H29)</f>
        <v>22</v>
      </c>
      <c r="W29" s="157">
        <f>IFERROR(AVERAGEIF(U12:U42,"&gt;0"),0)</f>
        <v>17.6153846153846</v>
      </c>
      <c r="X29" s="157">
        <f>IFERROR(AVERAGEIF(V12:V42,"&gt;0"),0)</f>
        <v>25.0714285714286</v>
      </c>
      <c r="Y29" s="158">
        <f>$B$5</f>
        <v>0.7</v>
      </c>
      <c r="Z29" s="158">
        <f>$B$6</f>
        <v>0.9</v>
      </c>
      <c r="AH29" s="159" t="inlineStr">
        <is>
          <t xml:space="preserve">JUNHO · 2027</t>
        </is>
      </c>
    </row>
    <row r="30">
      <c r="A30" s="139">
        <v>19</v>
      </c>
      <c r="B30" s="152">
        <f>IF(ISNUMBER($A30),$C$7+$A30-1,"")</f>
        <v>46284</v>
      </c>
      <c r="C30" s="153">
        <f>IF($B$2="Todos",SUMIFS(Base!$C$3:$C$5001,Base!$A$3:$A$5001,$B30),SUMIFS(Base!$C$3:$C$5001,Base!$A$3:$A$5001,$B30,Base!$B$3:$B$5001,$B$2))</f>
        <v>0</v>
      </c>
      <c r="D30" s="153">
        <f>IF($B$2="Todos",SUMIFS(Base!$D$3:$D$5001,Base!$A$3:$A$5001,$B30),SUMIFS(Base!$D$3:$D$5001,Base!$A$3:$A$5001,$B30,Base!$B$3:$B$5001,$B$2))</f>
        <v>0</v>
      </c>
      <c r="E30" s="154">
        <f>IF($B$2="Todos",SUMIFS(Base!$E$3:$E$5001,Base!$A$3:$A$5001,$B30),SUMIFS(Base!$E$3:$E$5001,Base!$A$3:$A$5001,$B30,Base!$B$3:$B$5001,$B$2))</f>
        <v>0</v>
      </c>
      <c r="F30" s="153">
        <f>IF($B$2="Todos",SUMIFS(Base!$F$3:$F$5001,Base!$A$3:$A$5001,$B30),SUMIFS(Base!$F$3:$F$5001,Base!$A$3:$A$5001,$B30,Base!$B$3:$B$5001,$B$2))</f>
        <v>0</v>
      </c>
      <c r="G30" s="153">
        <f>IF($B$2="Todos",SUMIFS(Base!$G$3:$G$5001,Base!$A$3:$A$5001,$B30),SUMIFS(Base!$G$3:$G$5001,Base!$A$3:$A$5001,$B30,Base!$B$3:$B$5001,$B$2))</f>
        <v>0</v>
      </c>
      <c r="H30" s="154">
        <f>IF($B$2="Todos",SUMIFS(Base!$H$3:$H$5001,Base!$A$3:$A$5001,$B30),SUMIFS(Base!$H$3:$H$5001,Base!$A$3:$A$5001,$B30,Base!$B$3:$B$5001,$B$2))</f>
        <v>0</v>
      </c>
      <c r="I30" s="153">
        <f>IF($B$2="Todos",SUMIFS(Base!$I$3:$I$5001,Base!$A$3:$A$5001,$B30),SUMIFS(Base!$I$3:$I$5001,Base!$A$3:$A$5001,$B30,Base!$B$3:$B$5001,$B$2))</f>
        <v>0</v>
      </c>
      <c r="J30" s="153">
        <f>IF($B$2="Todos",SUMIFS(Base!$J$3:$J$5001,Base!$A$3:$A$5001,$B30),SUMIFS(Base!$J$3:$J$5001,Base!$A$3:$A$5001,$B30,Base!$B$3:$B$5001,$B$2))</f>
        <v>0</v>
      </c>
      <c r="K30" s="153" t="str">
        <f>IF($B$2="Todos",IF(COUNT($C$127:$G$127)=0,"",SUM($C$127:$G$127)),IFERROR(INDEX($C$127:$G$127,MATCH($B$2,$C$108:$G$108,0)),""))</f>
        <v/>
      </c>
      <c r="L30" s="155">
        <f>IF(M30="","",IF($B$2="Todos",$B$4,IFERROR(INDEX($C$197:$G$197,MATCH($B$2,$C$178:$G$178,0)),"")))</f>
        <v>5872</v>
      </c>
      <c r="M30" s="153">
        <f>IF($B$2="Todos",IF(COUNT($C$162:$G$162)=0,"",SUM($C$162:$G$162)),IFERROR(INDEX($C$162:$G$162,MATCH($B$2,$C$143:$G$143,0)),""))</f>
        <v>3617</v>
      </c>
      <c r="N30" s="156">
        <f>IF(AND(ISNUMBER(M30),ISNUMBER(L30)),IF(L30&gt;0,M30/L30,""),"")</f>
        <v>0.615974114441417</v>
      </c>
      <c r="O30" s="153">
        <f>IF($B$2="Todos",IF(COUNT($C$232:$G$232)=0,"",SUM($C$232:$G$232)),IFERROR(INDEX($C$232:$G$232,MATCH($B$2,$C$213:$G$213,0)),""))</f>
        <v>28</v>
      </c>
      <c r="P30" s="153">
        <f>IF($B$2="Todos",SUMIFS(Base!$O$3:$O$5001,Base!$A$3:$A$5001,$B30),SUMIFS(Base!$O$3:$O$5001,Base!$A$3:$A$5001,$B30,Base!$B$3:$B$5001,$B$2))</f>
        <v>0</v>
      </c>
      <c r="Q30" s="153">
        <f>IF($B$2="Todos",SUMIFS(Base!$P$3:$P$5001,Base!$A$3:$A$5001,$B30),SUMIFS(Base!$P$3:$P$5001,Base!$A$3:$A$5001,$B30,Base!$B$3:$B$5001,$B$2))</f>
        <v>0</v>
      </c>
      <c r="R30" s="153">
        <f>IF($B$2="Todos",SUMIFS(Base!$Q$3:$Q$5001,Base!$A$3:$A$5001,$B30),SUMIFS(Base!$Q$3:$Q$5001,Base!$A$3:$A$5001,$B30,Base!$B$3:$B$5001,$B$2))</f>
        <v>0</v>
      </c>
      <c r="S30" s="153">
        <f>IF($B$2="Todos",SUMIFS(Base!$R$3:$R$5001,Base!$A$3:$A$5001,$B30),SUMIFS(Base!$R$3:$R$5001,Base!$A$3:$A$5001,$B30,Base!$B$3:$B$5001,$B$2))</f>
        <v>0</v>
      </c>
      <c r="T30" s="139">
        <f>IF(ISNUMBER($B30),WEEKDAY($B30,2),"")</f>
        <v>6</v>
      </c>
      <c r="U30" s="157">
        <f>CHOOSE($C$3,C30,D30,E30)</f>
        <v>0</v>
      </c>
      <c r="V30" s="157">
        <f>CHOOSE($C$3,F30,G30,H30)</f>
        <v>0</v>
      </c>
      <c r="W30" s="157">
        <f>IFERROR(AVERAGEIF(U12:U42,"&gt;0"),0)</f>
        <v>17.6153846153846</v>
      </c>
      <c r="X30" s="157">
        <f>IFERROR(AVERAGEIF(V12:V42,"&gt;0"),0)</f>
        <v>25.0714285714286</v>
      </c>
      <c r="Y30" s="158">
        <f>$B$5</f>
        <v>0.7</v>
      </c>
      <c r="Z30" s="158">
        <f>$B$6</f>
        <v>0.9</v>
      </c>
      <c r="AH30" s="159" t="inlineStr">
        <is>
          <t xml:space="preserve">JULHO · 2027</t>
        </is>
      </c>
    </row>
    <row r="31">
      <c r="A31" s="139">
        <v>20</v>
      </c>
      <c r="B31" s="152">
        <f>IF(ISNUMBER($A31),$C$7+$A31-1,"")</f>
        <v>46285</v>
      </c>
      <c r="C31" s="153">
        <f>IF($B$2="Todos",SUMIFS(Base!$C$3:$C$5001,Base!$A$3:$A$5001,$B31),SUMIFS(Base!$C$3:$C$5001,Base!$A$3:$A$5001,$B31,Base!$B$3:$B$5001,$B$2))</f>
        <v>2</v>
      </c>
      <c r="D31" s="153">
        <f>IF($B$2="Todos",SUMIFS(Base!$D$3:$D$5001,Base!$A$3:$A$5001,$B31),SUMIFS(Base!$D$3:$D$5001,Base!$A$3:$A$5001,$B31,Base!$B$3:$B$5001,$B$2))</f>
        <v>40</v>
      </c>
      <c r="E31" s="154">
        <f>IF($B$2="Todos",SUMIFS(Base!$E$3:$E$5001,Base!$A$3:$A$5001,$B31),SUMIFS(Base!$E$3:$E$5001,Base!$A$3:$A$5001,$B31,Base!$B$3:$B$5001,$B$2))</f>
        <v>35.29</v>
      </c>
      <c r="F31" s="153">
        <f>IF($B$2="Todos",SUMIFS(Base!$F$3:$F$5001,Base!$A$3:$A$5001,$B31),SUMIFS(Base!$F$3:$F$5001,Base!$A$3:$A$5001,$B31,Base!$B$3:$B$5001,$B$2))</f>
        <v>11</v>
      </c>
      <c r="G31" s="153">
        <f>IF($B$2="Todos",SUMIFS(Base!$G$3:$G$5001,Base!$A$3:$A$5001,$B31),SUMIFS(Base!$G$3:$G$5001,Base!$A$3:$A$5001,$B31,Base!$B$3:$B$5001,$B$2))</f>
        <v>198</v>
      </c>
      <c r="H31" s="154">
        <f>IF($B$2="Todos",SUMIFS(Base!$H$3:$H$5001,Base!$A$3:$A$5001,$B31),SUMIFS(Base!$H$3:$H$5001,Base!$A$3:$A$5001,$B31,Base!$B$3:$B$5001,$B$2))</f>
        <v>142.53</v>
      </c>
      <c r="I31" s="153">
        <f>IF($B$2="Todos",SUMIFS(Base!$I$3:$I$5001,Base!$A$3:$A$5001,$B31),SUMIFS(Base!$I$3:$I$5001,Base!$A$3:$A$5001,$B31,Base!$B$3:$B$5001,$B$2))</f>
        <v>0</v>
      </c>
      <c r="J31" s="153">
        <f>IF($B$2="Todos",SUMIFS(Base!$J$3:$J$5001,Base!$A$3:$A$5001,$B31),SUMIFS(Base!$J$3:$J$5001,Base!$A$3:$A$5001,$B31,Base!$B$3:$B$5001,$B$2))</f>
        <v>0</v>
      </c>
      <c r="K31" s="153" t="str">
        <f>IF($B$2="Todos",IF(COUNT($C$128:$G$128)=0,"",SUM($C$128:$G$128)),IFERROR(INDEX($C$128:$G$128,MATCH($B$2,$C$108:$G$108,0)),""))</f>
        <v/>
      </c>
      <c r="L31" s="155">
        <f>IF(M31="","",IF($B$2="Todos",$B$4,IFERROR(INDEX($C$198:$G$198,MATCH($B$2,$C$178:$G$178,0)),"")))</f>
        <v>5872</v>
      </c>
      <c r="M31" s="153">
        <f>IF($B$2="Todos",IF(COUNT($C$163:$G$163)=0,"",SUM($C$163:$G$163)),IFERROR(INDEX($C$163:$G$163,MATCH($B$2,$C$143:$G$143,0)),""))</f>
        <v>3640</v>
      </c>
      <c r="N31" s="156">
        <f>IF(AND(ISNUMBER(M31),ISNUMBER(L31)),IF(L31&gt;0,M31/L31,""),"")</f>
        <v>0.619891008174387</v>
      </c>
      <c r="O31" s="153">
        <f>IF($B$2="Todos",IF(COUNT($C$233:$G$233)=0,"",SUM($C$233:$G$233)),IFERROR(INDEX($C$233:$G$233,MATCH($B$2,$C$213:$G$213,0)),""))</f>
        <v>25</v>
      </c>
      <c r="P31" s="153">
        <f>IF($B$2="Todos",SUMIFS(Base!$O$3:$O$5001,Base!$A$3:$A$5001,$B31),SUMIFS(Base!$O$3:$O$5001,Base!$A$3:$A$5001,$B31,Base!$B$3:$B$5001,$B$2))</f>
        <v>0</v>
      </c>
      <c r="Q31" s="153">
        <f>IF($B$2="Todos",SUMIFS(Base!$P$3:$P$5001,Base!$A$3:$A$5001,$B31),SUMIFS(Base!$P$3:$P$5001,Base!$A$3:$A$5001,$B31,Base!$B$3:$B$5001,$B$2))</f>
        <v>0</v>
      </c>
      <c r="R31" s="153">
        <f>IF($B$2="Todos",SUMIFS(Base!$Q$3:$Q$5001,Base!$A$3:$A$5001,$B31),SUMIFS(Base!$Q$3:$Q$5001,Base!$A$3:$A$5001,$B31,Base!$B$3:$B$5001,$B$2))</f>
        <v>0</v>
      </c>
      <c r="S31" s="153">
        <f>IF($B$2="Todos",SUMIFS(Base!$R$3:$R$5001,Base!$A$3:$A$5001,$B31),SUMIFS(Base!$R$3:$R$5001,Base!$A$3:$A$5001,$B31,Base!$B$3:$B$5001,$B$2))</f>
        <v>0</v>
      </c>
      <c r="T31" s="139">
        <f>IF(ISNUMBER($B31),WEEKDAY($B31,2),"")</f>
        <v>7</v>
      </c>
      <c r="U31" s="157">
        <f>CHOOSE($C$3,C31,D31,E31)</f>
        <v>2</v>
      </c>
      <c r="V31" s="157">
        <f>CHOOSE($C$3,F31,G31,H31)</f>
        <v>11</v>
      </c>
      <c r="W31" s="157">
        <f>IFERROR(AVERAGEIF(U12:U42,"&gt;0"),0)</f>
        <v>17.6153846153846</v>
      </c>
      <c r="X31" s="157">
        <f>IFERROR(AVERAGEIF(V12:V42,"&gt;0"),0)</f>
        <v>25.0714285714286</v>
      </c>
      <c r="Y31" s="158">
        <f>$B$5</f>
        <v>0.7</v>
      </c>
      <c r="Z31" s="158">
        <f>$B$6</f>
        <v>0.9</v>
      </c>
      <c r="AH31" s="159" t="inlineStr">
        <is>
          <t xml:space="preserve">AGOSTO · 2027</t>
        </is>
      </c>
    </row>
    <row r="32">
      <c r="A32" s="139">
        <v>21</v>
      </c>
      <c r="B32" s="152">
        <f>IF(ISNUMBER($A32),$C$7+$A32-1,"")</f>
        <v>46286</v>
      </c>
      <c r="C32" s="153">
        <f>IF($B$2="Todos",SUMIFS(Base!$C$3:$C$5001,Base!$A$3:$A$5001,$B32),SUMIFS(Base!$C$3:$C$5001,Base!$A$3:$A$5001,$B32,Base!$B$3:$B$5001,$B$2))</f>
        <v>11</v>
      </c>
      <c r="D32" s="153">
        <f>IF($B$2="Todos",SUMIFS(Base!$D$3:$D$5001,Base!$A$3:$A$5001,$B32),SUMIFS(Base!$D$3:$D$5001,Base!$A$3:$A$5001,$B32,Base!$B$3:$B$5001,$B$2))</f>
        <v>238</v>
      </c>
      <c r="E32" s="154">
        <f>IF($B$2="Todos",SUMIFS(Base!$E$3:$E$5001,Base!$A$3:$A$5001,$B32),SUMIFS(Base!$E$3:$E$5001,Base!$A$3:$A$5001,$B32,Base!$B$3:$B$5001,$B$2))</f>
        <v>181.17</v>
      </c>
      <c r="F32" s="153">
        <f>IF($B$2="Todos",SUMIFS(Base!$F$3:$F$5001,Base!$A$3:$A$5001,$B32),SUMIFS(Base!$F$3:$F$5001,Base!$A$3:$A$5001,$B32,Base!$B$3:$B$5001,$B$2))</f>
        <v>17</v>
      </c>
      <c r="G32" s="153">
        <f>IF($B$2="Todos",SUMIFS(Base!$G$3:$G$5001,Base!$A$3:$A$5001,$B32),SUMIFS(Base!$G$3:$G$5001,Base!$A$3:$A$5001,$B32,Base!$B$3:$B$5001,$B$2))</f>
        <v>306</v>
      </c>
      <c r="H32" s="154">
        <f>IF($B$2="Todos",SUMIFS(Base!$H$3:$H$5001,Base!$A$3:$A$5001,$B32),SUMIFS(Base!$H$3:$H$5001,Base!$A$3:$A$5001,$B32,Base!$B$3:$B$5001,$B$2))</f>
        <v>219.61</v>
      </c>
      <c r="I32" s="153">
        <f>IF($B$2="Todos",SUMIFS(Base!$I$3:$I$5001,Base!$A$3:$A$5001,$B32),SUMIFS(Base!$I$3:$I$5001,Base!$A$3:$A$5001,$B32,Base!$B$3:$B$5001,$B$2))</f>
        <v>1</v>
      </c>
      <c r="J32" s="153">
        <f>IF($B$2="Todos",SUMIFS(Base!$J$3:$J$5001,Base!$A$3:$A$5001,$B32),SUMIFS(Base!$J$3:$J$5001,Base!$A$3:$A$5001,$B32,Base!$B$3:$B$5001,$B$2))</f>
        <v>0</v>
      </c>
      <c r="K32" s="153" t="str">
        <f>IF($B$2="Todos",IF(COUNT($C$129:$G$129)=0,"",SUM($C$129:$G$129)),IFERROR(INDEX($C$129:$G$129,MATCH($B$2,$C$108:$G$108,0)),""))</f>
        <v/>
      </c>
      <c r="L32" s="155">
        <f>IF(M32="","",IF($B$2="Todos",$B$4,IFERROR(INDEX($C$199:$G$199,MATCH($B$2,$C$178:$G$178,0)),"")))</f>
        <v>5872</v>
      </c>
      <c r="M32" s="153">
        <f>IF($B$2="Todos",IF(COUNT($C$164:$G$164)=0,"",SUM($C$164:$G$164)),IFERROR(INDEX($C$164:$G$164,MATCH($B$2,$C$143:$G$143,0)),""))</f>
        <v>3972</v>
      </c>
      <c r="N32" s="156">
        <f>IF(AND(ISNUMBER(M32),ISNUMBER(L32)),IF(L32&gt;0,M32/L32,""),"")</f>
        <v>0.676430517711172</v>
      </c>
      <c r="O32" s="153">
        <f>IF($B$2="Todos",IF(COUNT($C$234:$G$234)=0,"",SUM($C$234:$G$234)),IFERROR(INDEX($C$234:$G$234,MATCH($B$2,$C$213:$G$213,0)),""))</f>
        <v>30</v>
      </c>
      <c r="P32" s="153">
        <f>IF($B$2="Todos",SUMIFS(Base!$O$3:$O$5001,Base!$A$3:$A$5001,$B32),SUMIFS(Base!$O$3:$O$5001,Base!$A$3:$A$5001,$B32,Base!$B$3:$B$5001,$B$2))</f>
        <v>0</v>
      </c>
      <c r="Q32" s="153">
        <f>IF($B$2="Todos",SUMIFS(Base!$P$3:$P$5001,Base!$A$3:$A$5001,$B32),SUMIFS(Base!$P$3:$P$5001,Base!$A$3:$A$5001,$B32,Base!$B$3:$B$5001,$B$2))</f>
        <v>0</v>
      </c>
      <c r="R32" s="153">
        <f>IF($B$2="Todos",SUMIFS(Base!$Q$3:$Q$5001,Base!$A$3:$A$5001,$B32),SUMIFS(Base!$Q$3:$Q$5001,Base!$A$3:$A$5001,$B32,Base!$B$3:$B$5001,$B$2))</f>
        <v>0</v>
      </c>
      <c r="S32" s="153">
        <f>IF($B$2="Todos",SUMIFS(Base!$R$3:$R$5001,Base!$A$3:$A$5001,$B32),SUMIFS(Base!$R$3:$R$5001,Base!$A$3:$A$5001,$B32,Base!$B$3:$B$5001,$B$2))</f>
        <v>0</v>
      </c>
      <c r="T32" s="139">
        <f>IF(ISNUMBER($B32),WEEKDAY($B32,2),"")</f>
        <v>1</v>
      </c>
      <c r="U32" s="157">
        <f>CHOOSE($C$3,C32,D32,E32)</f>
        <v>11</v>
      </c>
      <c r="V32" s="157">
        <f>CHOOSE($C$3,F32,G32,H32)</f>
        <v>17</v>
      </c>
      <c r="W32" s="157">
        <f>IFERROR(AVERAGEIF(U12:U42,"&gt;0"),0)</f>
        <v>17.6153846153846</v>
      </c>
      <c r="X32" s="157">
        <f>IFERROR(AVERAGEIF(V12:V42,"&gt;0"),0)</f>
        <v>25.0714285714286</v>
      </c>
      <c r="Y32" s="158">
        <f>$B$5</f>
        <v>0.7</v>
      </c>
      <c r="Z32" s="158">
        <f>$B$6</f>
        <v>0.9</v>
      </c>
      <c r="AH32" s="159" t="inlineStr">
        <is>
          <t xml:space="preserve">SETEMBRO · 2027</t>
        </is>
      </c>
    </row>
    <row r="33">
      <c r="A33" s="139">
        <v>22</v>
      </c>
      <c r="B33" s="152">
        <f>IF(ISNUMBER($A33),$C$7+$A33-1,"")</f>
        <v>46287</v>
      </c>
      <c r="C33" s="153">
        <f>IF($B$2="Todos",SUMIFS(Base!$C$3:$C$5001,Base!$A$3:$A$5001,$B33),SUMIFS(Base!$C$3:$C$5001,Base!$A$3:$A$5001,$B33,Base!$B$3:$B$5001,$B$2))</f>
        <v>20</v>
      </c>
      <c r="D33" s="153">
        <f>IF($B$2="Todos",SUMIFS(Base!$D$3:$D$5001,Base!$A$3:$A$5001,$B33),SUMIFS(Base!$D$3:$D$5001,Base!$A$3:$A$5001,$B33,Base!$B$3:$B$5001,$B$2))</f>
        <v>475</v>
      </c>
      <c r="E33" s="154">
        <f>IF($B$2="Todos",SUMIFS(Base!$E$3:$E$5001,Base!$A$3:$A$5001,$B33),SUMIFS(Base!$E$3:$E$5001,Base!$A$3:$A$5001,$B33,Base!$B$3:$B$5001,$B$2))</f>
        <v>352.72</v>
      </c>
      <c r="F33" s="153">
        <f>IF($B$2="Todos",SUMIFS(Base!$F$3:$F$5001,Base!$A$3:$A$5001,$B33),SUMIFS(Base!$F$3:$F$5001,Base!$A$3:$A$5001,$B33,Base!$B$3:$B$5001,$B$2))</f>
        <v>19</v>
      </c>
      <c r="G33" s="153">
        <f>IF($B$2="Todos",SUMIFS(Base!$G$3:$G$5001,Base!$A$3:$A$5001,$B33),SUMIFS(Base!$G$3:$G$5001,Base!$A$3:$A$5001,$B33,Base!$B$3:$B$5001,$B$2))</f>
        <v>342</v>
      </c>
      <c r="H33" s="154">
        <f>IF($B$2="Todos",SUMIFS(Base!$H$3:$H$5001,Base!$A$3:$A$5001,$B33),SUMIFS(Base!$H$3:$H$5001,Base!$A$3:$A$5001,$B33,Base!$B$3:$B$5001,$B$2))</f>
        <v>259.36</v>
      </c>
      <c r="I33" s="153">
        <f>IF($B$2="Todos",SUMIFS(Base!$I$3:$I$5001,Base!$A$3:$A$5001,$B33),SUMIFS(Base!$I$3:$I$5001,Base!$A$3:$A$5001,$B33,Base!$B$3:$B$5001,$B$2))</f>
        <v>0</v>
      </c>
      <c r="J33" s="153">
        <f>IF($B$2="Todos",SUMIFS(Base!$J$3:$J$5001,Base!$A$3:$A$5001,$B33),SUMIFS(Base!$J$3:$J$5001,Base!$A$3:$A$5001,$B33,Base!$B$3:$B$5001,$B$2))</f>
        <v>0</v>
      </c>
      <c r="K33" s="153" t="str">
        <f>IF($B$2="Todos",IF(COUNT($C$130:$G$130)=0,"",SUM($C$130:$G$130)),IFERROR(INDEX($C$130:$G$130,MATCH($B$2,$C$108:$G$108,0)),""))</f>
        <v/>
      </c>
      <c r="L33" s="155">
        <f>IF(M33="","",IF($B$2="Todos",$B$4,IFERROR(INDEX($C$200:$G$200,MATCH($B$2,$C$178:$G$178,0)),"")))</f>
        <v>5872</v>
      </c>
      <c r="M33" s="153">
        <f>IF($B$2="Todos",IF(COUNT($C$165:$G$165)=0,"",SUM($C$165:$G$165)),IFERROR(INDEX($C$165:$G$165,MATCH($B$2,$C$143:$G$143,0)),""))</f>
        <v>3828</v>
      </c>
      <c r="N33" s="156">
        <f>IF(AND(ISNUMBER(M33),ISNUMBER(L33)),IF(L33&gt;0,M33/L33,""),"")</f>
        <v>0.651907356948229</v>
      </c>
      <c r="O33" s="153">
        <f>IF($B$2="Todos",IF(COUNT($C$235:$G$235)=0,"",SUM($C$235:$G$235)),IFERROR(INDEX($C$235:$G$235,MATCH($B$2,$C$213:$G$213,0)),""))</f>
        <v>37</v>
      </c>
      <c r="P33" s="153">
        <f>IF($B$2="Todos",SUMIFS(Base!$O$3:$O$5001,Base!$A$3:$A$5001,$B33),SUMIFS(Base!$O$3:$O$5001,Base!$A$3:$A$5001,$B33,Base!$B$3:$B$5001,$B$2))</f>
        <v>0</v>
      </c>
      <c r="Q33" s="153">
        <f>IF($B$2="Todos",SUMIFS(Base!$P$3:$P$5001,Base!$A$3:$A$5001,$B33),SUMIFS(Base!$P$3:$P$5001,Base!$A$3:$A$5001,$B33,Base!$B$3:$B$5001,$B$2))</f>
        <v>0</v>
      </c>
      <c r="R33" s="153">
        <f>IF($B$2="Todos",SUMIFS(Base!$Q$3:$Q$5001,Base!$A$3:$A$5001,$B33),SUMIFS(Base!$Q$3:$Q$5001,Base!$A$3:$A$5001,$B33,Base!$B$3:$B$5001,$B$2))</f>
        <v>0</v>
      </c>
      <c r="S33" s="153">
        <f>IF($B$2="Todos",SUMIFS(Base!$R$3:$R$5001,Base!$A$3:$A$5001,$B33),SUMIFS(Base!$R$3:$R$5001,Base!$A$3:$A$5001,$B33,Base!$B$3:$B$5001,$B$2))</f>
        <v>0</v>
      </c>
      <c r="T33" s="139">
        <f>IF(ISNUMBER($B33),WEEKDAY($B33,2),"")</f>
        <v>2</v>
      </c>
      <c r="U33" s="157">
        <f>CHOOSE($C$3,C33,D33,E33)</f>
        <v>20</v>
      </c>
      <c r="V33" s="157">
        <f>CHOOSE($C$3,F33,G33,H33)</f>
        <v>19</v>
      </c>
      <c r="W33" s="157">
        <f>IFERROR(AVERAGEIF(U12:U42,"&gt;0"),0)</f>
        <v>17.6153846153846</v>
      </c>
      <c r="X33" s="157">
        <f>IFERROR(AVERAGEIF(V12:V42,"&gt;0"),0)</f>
        <v>25.0714285714286</v>
      </c>
      <c r="Y33" s="158">
        <f>$B$5</f>
        <v>0.7</v>
      </c>
      <c r="Z33" s="158">
        <f>$B$6</f>
        <v>0.9</v>
      </c>
      <c r="AH33" s="159" t="inlineStr">
        <is>
          <t xml:space="preserve">OUTUBRO · 2027</t>
        </is>
      </c>
    </row>
    <row r="34">
      <c r="A34" s="139">
        <v>23</v>
      </c>
      <c r="B34" s="152">
        <f>IF(ISNUMBER($A34),$C$7+$A34-1,"")</f>
        <v>46288</v>
      </c>
      <c r="C34" s="153">
        <f>IF($B$2="Todos",SUMIFS(Base!$C$3:$C$5001,Base!$A$3:$A$5001,$B34),SUMIFS(Base!$C$3:$C$5001,Base!$A$3:$A$5001,$B34,Base!$B$3:$B$5001,$B$2))</f>
        <v>35</v>
      </c>
      <c r="D34" s="153">
        <f>IF($B$2="Todos",SUMIFS(Base!$D$3:$D$5001,Base!$A$3:$A$5001,$B34),SUMIFS(Base!$D$3:$D$5001,Base!$A$3:$A$5001,$B34,Base!$B$3:$B$5001,$B$2))</f>
        <v>872</v>
      </c>
      <c r="E34" s="154">
        <f>IF($B$2="Todos",SUMIFS(Base!$E$3:$E$5001,Base!$A$3:$A$5001,$B34),SUMIFS(Base!$E$3:$E$5001,Base!$A$3:$A$5001,$B34,Base!$B$3:$B$5001,$B$2))</f>
        <v>442.29</v>
      </c>
      <c r="F34" s="153">
        <f>IF($B$2="Todos",SUMIFS(Base!$F$3:$F$5001,Base!$A$3:$A$5001,$B34),SUMIFS(Base!$F$3:$F$5001,Base!$A$3:$A$5001,$B34,Base!$B$3:$B$5001,$B$2))</f>
        <v>20</v>
      </c>
      <c r="G34" s="153">
        <f>IF($B$2="Todos",SUMIFS(Base!$G$3:$G$5001,Base!$A$3:$A$5001,$B34),SUMIFS(Base!$G$3:$G$5001,Base!$A$3:$A$5001,$B34,Base!$B$3:$B$5001,$B$2))</f>
        <v>360</v>
      </c>
      <c r="H34" s="154">
        <f>IF($B$2="Todos",SUMIFS(Base!$H$3:$H$5001,Base!$A$3:$A$5001,$B34),SUMIFS(Base!$H$3:$H$5001,Base!$A$3:$A$5001,$B34,Base!$B$3:$B$5001,$B$2))</f>
        <v>183.15</v>
      </c>
      <c r="I34" s="153">
        <f>IF($B$2="Todos",SUMIFS(Base!$I$3:$I$5001,Base!$A$3:$A$5001,$B34),SUMIFS(Base!$I$3:$I$5001,Base!$A$3:$A$5001,$B34,Base!$B$3:$B$5001,$B$2))</f>
        <v>0</v>
      </c>
      <c r="J34" s="153">
        <f>IF($B$2="Todos",SUMIFS(Base!$J$3:$J$5001,Base!$A$3:$A$5001,$B34),SUMIFS(Base!$J$3:$J$5001,Base!$A$3:$A$5001,$B34,Base!$B$3:$B$5001,$B$2))</f>
        <v>0</v>
      </c>
      <c r="K34" s="153" t="str">
        <f>IF($B$2="Todos",IF(COUNT($C$131:$G$131)=0,"",SUM($C$131:$G$131)),IFERROR(INDEX($C$131:$G$131,MATCH($B$2,$C$108:$G$108,0)),""))</f>
        <v/>
      </c>
      <c r="L34" s="155">
        <f>IF(M34="","",IF($B$2="Todos",$B$4,IFERROR(INDEX($C$201:$G$201,MATCH($B$2,$C$178:$G$178,0)),"")))</f>
        <v>5872</v>
      </c>
      <c r="M34" s="153">
        <f>IF($B$2="Todos",IF(COUNT($C$166:$G$166)=0,"",SUM($C$166:$G$166)),IFERROR(INDEX($C$166:$G$166,MATCH($B$2,$C$143:$G$143,0)),""))</f>
        <v>3295</v>
      </c>
      <c r="N34" s="156">
        <f>IF(AND(ISNUMBER(M34),ISNUMBER(L34)),IF(L34&gt;0,M34/L34,""),"")</f>
        <v>0.561137602179837</v>
      </c>
      <c r="O34" s="153">
        <f>IF($B$2="Todos",IF(COUNT($C$236:$G$236)=0,"",SUM($C$236:$G$236)),IFERROR(INDEX($C$236:$G$236,MATCH($B$2,$C$213:$G$213,0)),""))</f>
        <v>29</v>
      </c>
      <c r="P34" s="153">
        <f>IF($B$2="Todos",SUMIFS(Base!$O$3:$O$5001,Base!$A$3:$A$5001,$B34),SUMIFS(Base!$O$3:$O$5001,Base!$A$3:$A$5001,$B34,Base!$B$3:$B$5001,$B$2))</f>
        <v>0</v>
      </c>
      <c r="Q34" s="153">
        <f>IF($B$2="Todos",SUMIFS(Base!$P$3:$P$5001,Base!$A$3:$A$5001,$B34),SUMIFS(Base!$P$3:$P$5001,Base!$A$3:$A$5001,$B34,Base!$B$3:$B$5001,$B$2))</f>
        <v>0</v>
      </c>
      <c r="R34" s="153">
        <f>IF($B$2="Todos",SUMIFS(Base!$Q$3:$Q$5001,Base!$A$3:$A$5001,$B34),SUMIFS(Base!$Q$3:$Q$5001,Base!$A$3:$A$5001,$B34,Base!$B$3:$B$5001,$B$2))</f>
        <v>0</v>
      </c>
      <c r="S34" s="153">
        <f>IF($B$2="Todos",SUMIFS(Base!$R$3:$R$5001,Base!$A$3:$A$5001,$B34),SUMIFS(Base!$R$3:$R$5001,Base!$A$3:$A$5001,$B34,Base!$B$3:$B$5001,$B$2))</f>
        <v>0</v>
      </c>
      <c r="T34" s="139">
        <f>IF(ISNUMBER($B34),WEEKDAY($B34,2),"")</f>
        <v>3</v>
      </c>
      <c r="U34" s="157">
        <f>CHOOSE($C$3,C34,D34,E34)</f>
        <v>35</v>
      </c>
      <c r="V34" s="157">
        <f>CHOOSE($C$3,F34,G34,H34)</f>
        <v>20</v>
      </c>
      <c r="W34" s="157">
        <f>IFERROR(AVERAGEIF(U12:U42,"&gt;0"),0)</f>
        <v>17.6153846153846</v>
      </c>
      <c r="X34" s="157">
        <f>IFERROR(AVERAGEIF(V12:V42,"&gt;0"),0)</f>
        <v>25.0714285714286</v>
      </c>
      <c r="Y34" s="158">
        <f>$B$5</f>
        <v>0.7</v>
      </c>
      <c r="Z34" s="158">
        <f>$B$6</f>
        <v>0.9</v>
      </c>
      <c r="AH34" s="159" t="inlineStr">
        <is>
          <t xml:space="preserve">NOVEMBRO · 2027</t>
        </is>
      </c>
    </row>
    <row r="35">
      <c r="A35" s="139">
        <v>24</v>
      </c>
      <c r="B35" s="152">
        <f>IF(ISNUMBER($A35),$C$7+$A35-1,"")</f>
        <v>46289</v>
      </c>
      <c r="C35" s="153">
        <f>IF($B$2="Todos",SUMIFS(Base!$C$3:$C$5001,Base!$A$3:$A$5001,$B35),SUMIFS(Base!$C$3:$C$5001,Base!$A$3:$A$5001,$B35,Base!$B$3:$B$5001,$B$2))</f>
        <v>27</v>
      </c>
      <c r="D35" s="153">
        <f>IF($B$2="Todos",SUMIFS(Base!$D$3:$D$5001,Base!$A$3:$A$5001,$B35),SUMIFS(Base!$D$3:$D$5001,Base!$A$3:$A$5001,$B35,Base!$B$3:$B$5001,$B$2))</f>
        <v>636</v>
      </c>
      <c r="E35" s="154">
        <f>IF($B$2="Todos",SUMIFS(Base!$E$3:$E$5001,Base!$A$3:$A$5001,$B35),SUMIFS(Base!$E$3:$E$5001,Base!$A$3:$A$5001,$B35,Base!$B$3:$B$5001,$B$2))</f>
        <v>431.05</v>
      </c>
      <c r="F35" s="153">
        <f>IF($B$2="Todos",SUMIFS(Base!$F$3:$F$5001,Base!$A$3:$A$5001,$B35),SUMIFS(Base!$F$3:$F$5001,Base!$A$3:$A$5001,$B35,Base!$B$3:$B$5001,$B$2))</f>
        <v>20</v>
      </c>
      <c r="G35" s="153">
        <f>IF($B$2="Todos",SUMIFS(Base!$G$3:$G$5001,Base!$A$3:$A$5001,$B35),SUMIFS(Base!$G$3:$G$5001,Base!$A$3:$A$5001,$B35,Base!$B$3:$B$5001,$B$2))</f>
        <v>360</v>
      </c>
      <c r="H35" s="154">
        <f>IF($B$2="Todos",SUMIFS(Base!$H$3:$H$5001,Base!$A$3:$A$5001,$B35),SUMIFS(Base!$H$3:$H$5001,Base!$A$3:$A$5001,$B35,Base!$B$3:$B$5001,$B$2))</f>
        <v>196.04</v>
      </c>
      <c r="I35" s="153">
        <f>IF($B$2="Todos",SUMIFS(Base!$I$3:$I$5001,Base!$A$3:$A$5001,$B35),SUMIFS(Base!$I$3:$I$5001,Base!$A$3:$A$5001,$B35,Base!$B$3:$B$5001,$B$2))</f>
        <v>0</v>
      </c>
      <c r="J35" s="153">
        <f>IF($B$2="Todos",SUMIFS(Base!$J$3:$J$5001,Base!$A$3:$A$5001,$B35),SUMIFS(Base!$J$3:$J$5001,Base!$A$3:$A$5001,$B35,Base!$B$3:$B$5001,$B$2))</f>
        <v>0</v>
      </c>
      <c r="K35" s="153" t="str">
        <f>IF($B$2="Todos",IF(COUNT($C$132:$G$132)=0,"",SUM($C$132:$G$132)),IFERROR(INDEX($C$132:$G$132,MATCH($B$2,$C$108:$G$108,0)),""))</f>
        <v/>
      </c>
      <c r="L35" s="155">
        <f>IF(M35="","",IF($B$2="Todos",$B$4,IFERROR(INDEX($C$202:$G$202,MATCH($B$2,$C$178:$G$178,0)),"")))</f>
        <v>5872</v>
      </c>
      <c r="M35" s="153">
        <f>IF($B$2="Todos",IF(COUNT($C$167:$G$167)=0,"",SUM($C$167:$G$167)),IFERROR(INDEX($C$167:$G$167,MATCH($B$2,$C$143:$G$143,0)),""))</f>
        <v>3741</v>
      </c>
      <c r="N35" s="156">
        <f>IF(AND(ISNUMBER(M35),ISNUMBER(L35)),IF(L35&gt;0,M35/L35,""),"")</f>
        <v>0.637091280653951</v>
      </c>
      <c r="O35" s="153">
        <f>IF($B$2="Todos",IF(COUNT($C$237:$G$237)=0,"",SUM($C$237:$G$237)),IFERROR(INDEX($C$237:$G$237,MATCH($B$2,$C$213:$G$213,0)),""))</f>
        <v>36</v>
      </c>
      <c r="P35" s="153">
        <f>IF($B$2="Todos",SUMIFS(Base!$O$3:$O$5001,Base!$A$3:$A$5001,$B35),SUMIFS(Base!$O$3:$O$5001,Base!$A$3:$A$5001,$B35,Base!$B$3:$B$5001,$B$2))</f>
        <v>0</v>
      </c>
      <c r="Q35" s="153">
        <f>IF($B$2="Todos",SUMIFS(Base!$P$3:$P$5001,Base!$A$3:$A$5001,$B35),SUMIFS(Base!$P$3:$P$5001,Base!$A$3:$A$5001,$B35,Base!$B$3:$B$5001,$B$2))</f>
        <v>0</v>
      </c>
      <c r="R35" s="153">
        <f>IF($B$2="Todos",SUMIFS(Base!$Q$3:$Q$5001,Base!$A$3:$A$5001,$B35),SUMIFS(Base!$Q$3:$Q$5001,Base!$A$3:$A$5001,$B35,Base!$B$3:$B$5001,$B$2))</f>
        <v>0</v>
      </c>
      <c r="S35" s="153">
        <f>IF($B$2="Todos",SUMIFS(Base!$R$3:$R$5001,Base!$A$3:$A$5001,$B35),SUMIFS(Base!$R$3:$R$5001,Base!$A$3:$A$5001,$B35,Base!$B$3:$B$5001,$B$2))</f>
        <v>0</v>
      </c>
      <c r="T35" s="139">
        <f>IF(ISNUMBER($B35),WEEKDAY($B35,2),"")</f>
        <v>4</v>
      </c>
      <c r="U35" s="157">
        <f>CHOOSE($C$3,C35,D35,E35)</f>
        <v>27</v>
      </c>
      <c r="V35" s="157">
        <f>CHOOSE($C$3,F35,G35,H35)</f>
        <v>20</v>
      </c>
      <c r="W35" s="157">
        <f>IFERROR(AVERAGEIF(U12:U42,"&gt;0"),0)</f>
        <v>17.6153846153846</v>
      </c>
      <c r="X35" s="157">
        <f>IFERROR(AVERAGEIF(V12:V42,"&gt;0"),0)</f>
        <v>25.0714285714286</v>
      </c>
      <c r="Y35" s="158">
        <f>$B$5</f>
        <v>0.7</v>
      </c>
      <c r="Z35" s="158">
        <f>$B$6</f>
        <v>0.9</v>
      </c>
      <c r="AH35" s="159" t="inlineStr">
        <is>
          <t xml:space="preserve">DEZEMBRO · 2027</t>
        </is>
      </c>
    </row>
    <row r="36">
      <c r="A36" s="139">
        <v>25</v>
      </c>
      <c r="B36" s="152">
        <f>IF(ISNUMBER($A36),$C$7+$A36-1,"")</f>
        <v>46290</v>
      </c>
      <c r="C36" s="153">
        <f>IF($B$2="Todos",SUMIFS(Base!$C$3:$C$5001,Base!$A$3:$A$5001,$B36),SUMIFS(Base!$C$3:$C$5001,Base!$A$3:$A$5001,$B36,Base!$B$3:$B$5001,$B$2))</f>
        <v>20</v>
      </c>
      <c r="D36" s="153">
        <f>IF($B$2="Todos",SUMIFS(Base!$D$3:$D$5001,Base!$A$3:$A$5001,$B36),SUMIFS(Base!$D$3:$D$5001,Base!$A$3:$A$5001,$B36,Base!$B$3:$B$5001,$B$2))</f>
        <v>471</v>
      </c>
      <c r="E36" s="154">
        <f>IF($B$2="Todos",SUMIFS(Base!$E$3:$E$5001,Base!$A$3:$A$5001,$B36),SUMIFS(Base!$E$3:$E$5001,Base!$A$3:$A$5001,$B36,Base!$B$3:$B$5001,$B$2))</f>
        <v>287.19</v>
      </c>
      <c r="F36" s="153">
        <f>IF($B$2="Todos",SUMIFS(Base!$F$3:$F$5001,Base!$A$3:$A$5001,$B36),SUMIFS(Base!$F$3:$F$5001,Base!$A$3:$A$5001,$B36,Base!$B$3:$B$5001,$B$2))</f>
        <v>37</v>
      </c>
      <c r="G36" s="153">
        <f>IF($B$2="Todos",SUMIFS(Base!$G$3:$G$5001,Base!$A$3:$A$5001,$B36),SUMIFS(Base!$G$3:$G$5001,Base!$A$3:$A$5001,$B36,Base!$B$3:$B$5001,$B$2))</f>
        <v>666</v>
      </c>
      <c r="H36" s="154">
        <f>IF($B$2="Todos",SUMIFS(Base!$H$3:$H$5001,Base!$A$3:$A$5001,$B36),SUMIFS(Base!$H$3:$H$5001,Base!$A$3:$A$5001,$B36,Base!$B$3:$B$5001,$B$2))</f>
        <v>439.63</v>
      </c>
      <c r="I36" s="153">
        <f>IF($B$2="Todos",SUMIFS(Base!$I$3:$I$5001,Base!$A$3:$A$5001,$B36),SUMIFS(Base!$I$3:$I$5001,Base!$A$3:$A$5001,$B36,Base!$B$3:$B$5001,$B$2))</f>
        <v>0</v>
      </c>
      <c r="J36" s="153">
        <f>IF($B$2="Todos",SUMIFS(Base!$J$3:$J$5001,Base!$A$3:$A$5001,$B36),SUMIFS(Base!$J$3:$J$5001,Base!$A$3:$A$5001,$B36,Base!$B$3:$B$5001,$B$2))</f>
        <v>0</v>
      </c>
      <c r="K36" s="153" t="str">
        <f>IF($B$2="Todos",IF(COUNT($C$133:$G$133)=0,"",SUM($C$133:$G$133)),IFERROR(INDEX($C$133:$G$133,MATCH($B$2,$C$108:$G$108,0)),""))</f>
        <v/>
      </c>
      <c r="L36" s="155">
        <f>IF(M36="","",IF($B$2="Todos",$B$4,IFERROR(INDEX($C$203:$G$203,MATCH($B$2,$C$178:$G$178,0)),"")))</f>
        <v>5872</v>
      </c>
      <c r="M36" s="153">
        <f>IF($B$2="Todos",IF(COUNT($C$168:$G$168)=0,"",SUM($C$168:$G$168)),IFERROR(INDEX($C$168:$G$168,MATCH($B$2,$C$143:$G$143,0)),""))</f>
        <v>3815</v>
      </c>
      <c r="N36" s="156">
        <f>IF(AND(ISNUMBER(M36),ISNUMBER(L36)),IF(L36&gt;0,M36/L36,""),"")</f>
        <v>0.649693460490463</v>
      </c>
      <c r="O36" s="153">
        <f>IF($B$2="Todos",IF(COUNT($C$238:$G$238)=0,"",SUM($C$238:$G$238)),IFERROR(INDEX($C$238:$G$238,MATCH($B$2,$C$213:$G$213,0)),""))</f>
        <v>33</v>
      </c>
      <c r="P36" s="153">
        <f>IF($B$2="Todos",SUMIFS(Base!$O$3:$O$5001,Base!$A$3:$A$5001,$B36),SUMIFS(Base!$O$3:$O$5001,Base!$A$3:$A$5001,$B36,Base!$B$3:$B$5001,$B$2))</f>
        <v>0</v>
      </c>
      <c r="Q36" s="153">
        <f>IF($B$2="Todos",SUMIFS(Base!$P$3:$P$5001,Base!$A$3:$A$5001,$B36),SUMIFS(Base!$P$3:$P$5001,Base!$A$3:$A$5001,$B36,Base!$B$3:$B$5001,$B$2))</f>
        <v>0</v>
      </c>
      <c r="R36" s="153">
        <f>IF($B$2="Todos",SUMIFS(Base!$Q$3:$Q$5001,Base!$A$3:$A$5001,$B36),SUMIFS(Base!$Q$3:$Q$5001,Base!$A$3:$A$5001,$B36,Base!$B$3:$B$5001,$B$2))</f>
        <v>0</v>
      </c>
      <c r="S36" s="153">
        <f>IF($B$2="Todos",SUMIFS(Base!$R$3:$R$5001,Base!$A$3:$A$5001,$B36),SUMIFS(Base!$R$3:$R$5001,Base!$A$3:$A$5001,$B36,Base!$B$3:$B$5001,$B$2))</f>
        <v>0</v>
      </c>
      <c r="T36" s="139">
        <f>IF(ISNUMBER($B36),WEEKDAY($B36,2),"")</f>
        <v>5</v>
      </c>
      <c r="U36" s="157">
        <f>CHOOSE($C$3,C36,D36,E36)</f>
        <v>20</v>
      </c>
      <c r="V36" s="157">
        <f>CHOOSE($C$3,F36,G36,H36)</f>
        <v>37</v>
      </c>
      <c r="W36" s="157">
        <f>IFERROR(AVERAGEIF(U12:U42,"&gt;0"),0)</f>
        <v>17.6153846153846</v>
      </c>
      <c r="X36" s="157">
        <f>IFERROR(AVERAGEIF(V12:V42,"&gt;0"),0)</f>
        <v>25.0714285714286</v>
      </c>
      <c r="Y36" s="158">
        <f>$B$5</f>
        <v>0.7</v>
      </c>
      <c r="Z36" s="158">
        <f>$B$6</f>
        <v>0.9</v>
      </c>
    </row>
    <row r="37">
      <c r="A37" s="139">
        <v>26</v>
      </c>
      <c r="B37" s="152">
        <f>IF(ISNUMBER($A37),$C$7+$A37-1,"")</f>
        <v>46291</v>
      </c>
      <c r="C37" s="153">
        <f>IF($B$2="Todos",SUMIFS(Base!$C$3:$C$5001,Base!$A$3:$A$5001,$B37),SUMIFS(Base!$C$3:$C$5001,Base!$A$3:$A$5001,$B37,Base!$B$3:$B$5001,$B$2))</f>
        <v>4</v>
      </c>
      <c r="D37" s="153">
        <f>IF($B$2="Todos",SUMIFS(Base!$D$3:$D$5001,Base!$A$3:$A$5001,$B37),SUMIFS(Base!$D$3:$D$5001,Base!$A$3:$A$5001,$B37,Base!$B$3:$B$5001,$B$2))</f>
        <v>112</v>
      </c>
      <c r="E37" s="154">
        <f>IF($B$2="Todos",SUMIFS(Base!$E$3:$E$5001,Base!$A$3:$A$5001,$B37),SUMIFS(Base!$E$3:$E$5001,Base!$A$3:$A$5001,$B37,Base!$B$3:$B$5001,$B$2))</f>
        <v>73.87</v>
      </c>
      <c r="F37" s="153">
        <f>IF($B$2="Todos",SUMIFS(Base!$F$3:$F$5001,Base!$A$3:$A$5001,$B37),SUMIFS(Base!$F$3:$F$5001,Base!$A$3:$A$5001,$B37,Base!$B$3:$B$5001,$B$2))</f>
        <v>7</v>
      </c>
      <c r="G37" s="153">
        <f>IF($B$2="Todos",SUMIFS(Base!$G$3:$G$5001,Base!$A$3:$A$5001,$B37),SUMIFS(Base!$G$3:$G$5001,Base!$A$3:$A$5001,$B37,Base!$B$3:$B$5001,$B$2))</f>
        <v>126</v>
      </c>
      <c r="H37" s="154">
        <f>IF($B$2="Todos",SUMIFS(Base!$H$3:$H$5001,Base!$A$3:$A$5001,$B37),SUMIFS(Base!$H$3:$H$5001,Base!$A$3:$A$5001,$B37,Base!$B$3:$B$5001,$B$2))</f>
        <v>69.98</v>
      </c>
      <c r="I37" s="153">
        <f>IF($B$2="Todos",SUMIFS(Base!$I$3:$I$5001,Base!$A$3:$A$5001,$B37),SUMIFS(Base!$I$3:$I$5001,Base!$A$3:$A$5001,$B37,Base!$B$3:$B$5001,$B$2))</f>
        <v>0</v>
      </c>
      <c r="J37" s="153">
        <f>IF($B$2="Todos",SUMIFS(Base!$J$3:$J$5001,Base!$A$3:$A$5001,$B37),SUMIFS(Base!$J$3:$J$5001,Base!$A$3:$A$5001,$B37,Base!$B$3:$B$5001,$B$2))</f>
        <v>0</v>
      </c>
      <c r="K37" s="153" t="str">
        <f>IF($B$2="Todos",IF(COUNT($C$134:$G$134)=0,"",SUM($C$134:$G$134)),IFERROR(INDEX($C$134:$G$134,MATCH($B$2,$C$108:$G$108,0)),""))</f>
        <v/>
      </c>
      <c r="L37" s="155">
        <f>IF(M37="","",IF($B$2="Todos",$B$4,IFERROR(INDEX($C$204:$G$204,MATCH($B$2,$C$178:$G$178,0)),"")))</f>
        <v>5872</v>
      </c>
      <c r="M37" s="153">
        <f>IF($B$2="Todos",IF(COUNT($C$169:$G$169)=0,"",SUM($C$169:$G$169)),IFERROR(INDEX($C$169:$G$169,MATCH($B$2,$C$143:$G$143,0)),""))</f>
        <v>3734</v>
      </c>
      <c r="N37" s="156">
        <f>IF(AND(ISNUMBER(M37),ISNUMBER(L37)),IF(L37&gt;0,M37/L37,""),"")</f>
        <v>0.635899182561308</v>
      </c>
      <c r="O37" s="153">
        <f>IF($B$2="Todos",IF(COUNT($C$239:$G$239)=0,"",SUM($C$239:$G$239)),IFERROR(INDEX($C$239:$G$239,MATCH($B$2,$C$213:$G$213,0)),""))</f>
        <v>27</v>
      </c>
      <c r="P37" s="153">
        <f>IF($B$2="Todos",SUMIFS(Base!$O$3:$O$5001,Base!$A$3:$A$5001,$B37),SUMIFS(Base!$O$3:$O$5001,Base!$A$3:$A$5001,$B37,Base!$B$3:$B$5001,$B$2))</f>
        <v>0</v>
      </c>
      <c r="Q37" s="153">
        <f>IF($B$2="Todos",SUMIFS(Base!$P$3:$P$5001,Base!$A$3:$A$5001,$B37),SUMIFS(Base!$P$3:$P$5001,Base!$A$3:$A$5001,$B37,Base!$B$3:$B$5001,$B$2))</f>
        <v>0</v>
      </c>
      <c r="R37" s="153">
        <f>IF($B$2="Todos",SUMIFS(Base!$Q$3:$Q$5001,Base!$A$3:$A$5001,$B37),SUMIFS(Base!$Q$3:$Q$5001,Base!$A$3:$A$5001,$B37,Base!$B$3:$B$5001,$B$2))</f>
        <v>0</v>
      </c>
      <c r="S37" s="153">
        <f>IF($B$2="Todos",SUMIFS(Base!$R$3:$R$5001,Base!$A$3:$A$5001,$B37),SUMIFS(Base!$R$3:$R$5001,Base!$A$3:$A$5001,$B37,Base!$B$3:$B$5001,$B$2))</f>
        <v>0</v>
      </c>
      <c r="T37" s="139">
        <f>IF(ISNUMBER($B37),WEEKDAY($B37,2),"")</f>
        <v>6</v>
      </c>
      <c r="U37" s="157">
        <f>CHOOSE($C$3,C37,D37,E37)</f>
        <v>4</v>
      </c>
      <c r="V37" s="157">
        <f>CHOOSE($C$3,F37,G37,H37)</f>
        <v>7</v>
      </c>
      <c r="W37" s="157">
        <f>IFERROR(AVERAGEIF(U12:U42,"&gt;0"),0)</f>
        <v>17.6153846153846</v>
      </c>
      <c r="X37" s="157">
        <f>IFERROR(AVERAGEIF(V12:V42,"&gt;0"),0)</f>
        <v>25.0714285714286</v>
      </c>
      <c r="Y37" s="158">
        <f>$B$5</f>
        <v>0.7</v>
      </c>
      <c r="Z37" s="158">
        <f>$B$6</f>
        <v>0.9</v>
      </c>
    </row>
    <row r="38">
      <c r="A38" s="139">
        <v>27</v>
      </c>
      <c r="B38" s="152">
        <f>IF(ISNUMBER($A38),$C$7+$A38-1,"")</f>
        <v>46292</v>
      </c>
      <c r="C38" s="153">
        <f>IF($B$2="Todos",SUMIFS(Base!$C$3:$C$5001,Base!$A$3:$A$5001,$B38),SUMIFS(Base!$C$3:$C$5001,Base!$A$3:$A$5001,$B38,Base!$B$3:$B$5001,$B$2))</f>
        <v>0</v>
      </c>
      <c r="D38" s="153">
        <f>IF($B$2="Todos",SUMIFS(Base!$D$3:$D$5001,Base!$A$3:$A$5001,$B38),SUMIFS(Base!$D$3:$D$5001,Base!$A$3:$A$5001,$B38,Base!$B$3:$B$5001,$B$2))</f>
        <v>0</v>
      </c>
      <c r="E38" s="154">
        <f>IF($B$2="Todos",SUMIFS(Base!$E$3:$E$5001,Base!$A$3:$A$5001,$B38),SUMIFS(Base!$E$3:$E$5001,Base!$A$3:$A$5001,$B38,Base!$B$3:$B$5001,$B$2))</f>
        <v>0</v>
      </c>
      <c r="F38" s="153">
        <f>IF($B$2="Todos",SUMIFS(Base!$F$3:$F$5001,Base!$A$3:$A$5001,$B38),SUMIFS(Base!$F$3:$F$5001,Base!$A$3:$A$5001,$B38,Base!$B$3:$B$5001,$B$2))</f>
        <v>11</v>
      </c>
      <c r="G38" s="153">
        <f>IF($B$2="Todos",SUMIFS(Base!$G$3:$G$5001,Base!$A$3:$A$5001,$B38),SUMIFS(Base!$G$3:$G$5001,Base!$A$3:$A$5001,$B38,Base!$B$3:$B$5001,$B$2))</f>
        <v>198</v>
      </c>
      <c r="H38" s="154">
        <f>IF($B$2="Todos",SUMIFS(Base!$H$3:$H$5001,Base!$A$3:$A$5001,$B38),SUMIFS(Base!$H$3:$H$5001,Base!$A$3:$A$5001,$B38,Base!$B$3:$B$5001,$B$2))</f>
        <v>55.65</v>
      </c>
      <c r="I38" s="153">
        <f>IF($B$2="Todos",SUMIFS(Base!$I$3:$I$5001,Base!$A$3:$A$5001,$B38),SUMIFS(Base!$I$3:$I$5001,Base!$A$3:$A$5001,$B38,Base!$B$3:$B$5001,$B$2))</f>
        <v>1</v>
      </c>
      <c r="J38" s="153">
        <f>IF($B$2="Todos",SUMIFS(Base!$J$3:$J$5001,Base!$A$3:$A$5001,$B38),SUMIFS(Base!$J$3:$J$5001,Base!$A$3:$A$5001,$B38,Base!$B$3:$B$5001,$B$2))</f>
        <v>0</v>
      </c>
      <c r="K38" s="153" t="str">
        <f>IF($B$2="Todos",IF(COUNT($C$135:$G$135)=0,"",SUM($C$135:$G$135)),IFERROR(INDEX($C$135:$G$135,MATCH($B$2,$C$108:$G$108,0)),""))</f>
        <v/>
      </c>
      <c r="L38" s="155">
        <f>IF(M38="","",IF($B$2="Todos",$B$4,IFERROR(INDEX($C$205:$G$205,MATCH($B$2,$C$178:$G$178,0)),"")))</f>
        <v>5872</v>
      </c>
      <c r="M38" s="153">
        <f>IF($B$2="Todos",IF(COUNT($C$170:$G$170)=0,"",SUM($C$170:$G$170)),IFERROR(INDEX($C$170:$G$170,MATCH($B$2,$C$143:$G$143,0)),""))</f>
        <v>3130</v>
      </c>
      <c r="N38" s="156">
        <f>IF(AND(ISNUMBER(M38),ISNUMBER(L38)),IF(L38&gt;0,M38/L38,""),"")</f>
        <v>0.533038147138965</v>
      </c>
      <c r="O38" s="153">
        <f>IF($B$2="Todos",IF(COUNT($C$240:$G$240)=0,"",SUM($C$240:$G$240)),IFERROR(INDEX($C$240:$G$240,MATCH($B$2,$C$213:$G$213,0)),""))</f>
        <v>31</v>
      </c>
      <c r="P38" s="153">
        <f>IF($B$2="Todos",SUMIFS(Base!$O$3:$O$5001,Base!$A$3:$A$5001,$B38),SUMIFS(Base!$O$3:$O$5001,Base!$A$3:$A$5001,$B38,Base!$B$3:$B$5001,$B$2))</f>
        <v>0</v>
      </c>
      <c r="Q38" s="153">
        <f>IF($B$2="Todos",SUMIFS(Base!$P$3:$P$5001,Base!$A$3:$A$5001,$B38),SUMIFS(Base!$P$3:$P$5001,Base!$A$3:$A$5001,$B38,Base!$B$3:$B$5001,$B$2))</f>
        <v>0</v>
      </c>
      <c r="R38" s="153">
        <f>IF($B$2="Todos",SUMIFS(Base!$Q$3:$Q$5001,Base!$A$3:$A$5001,$B38),SUMIFS(Base!$Q$3:$Q$5001,Base!$A$3:$A$5001,$B38,Base!$B$3:$B$5001,$B$2))</f>
        <v>0</v>
      </c>
      <c r="S38" s="153">
        <f>IF($B$2="Todos",SUMIFS(Base!$R$3:$R$5001,Base!$A$3:$A$5001,$B38),SUMIFS(Base!$R$3:$R$5001,Base!$A$3:$A$5001,$B38,Base!$B$3:$B$5001,$B$2))</f>
        <v>0</v>
      </c>
      <c r="T38" s="139">
        <f>IF(ISNUMBER($B38),WEEKDAY($B38,2),"")</f>
        <v>7</v>
      </c>
      <c r="U38" s="157">
        <f>CHOOSE($C$3,C38,D38,E38)</f>
        <v>0</v>
      </c>
      <c r="V38" s="157">
        <f>CHOOSE($C$3,F38,G38,H38)</f>
        <v>11</v>
      </c>
      <c r="W38" s="157">
        <f>IFERROR(AVERAGEIF(U12:U42,"&gt;0"),0)</f>
        <v>17.6153846153846</v>
      </c>
      <c r="X38" s="157">
        <f>IFERROR(AVERAGEIF(V12:V42,"&gt;0"),0)</f>
        <v>25.0714285714286</v>
      </c>
      <c r="Y38" s="158">
        <f>$B$5</f>
        <v>0.7</v>
      </c>
      <c r="Z38" s="158">
        <f>$B$6</f>
        <v>0.9</v>
      </c>
    </row>
    <row r="39">
      <c r="A39" s="139">
        <v>28</v>
      </c>
      <c r="B39" s="152">
        <f>IF(ISNUMBER($A39),$C$7+$A39-1,"")</f>
        <v>46293</v>
      </c>
      <c r="C39" s="153">
        <f>IF($B$2="Todos",SUMIFS(Base!$C$3:$C$5001,Base!$A$3:$A$5001,$B39),SUMIFS(Base!$C$3:$C$5001,Base!$A$3:$A$5001,$B39,Base!$B$3:$B$5001,$B$2))</f>
        <v>15</v>
      </c>
      <c r="D39" s="153">
        <f>IF($B$2="Todos",SUMIFS(Base!$D$3:$D$5001,Base!$A$3:$A$5001,$B39),SUMIFS(Base!$D$3:$D$5001,Base!$A$3:$A$5001,$B39,Base!$B$3:$B$5001,$B$2))</f>
        <v>343</v>
      </c>
      <c r="E39" s="154">
        <f>IF($B$2="Todos",SUMIFS(Base!$E$3:$E$5001,Base!$A$3:$A$5001,$B39),SUMIFS(Base!$E$3:$E$5001,Base!$A$3:$A$5001,$B39,Base!$B$3:$B$5001,$B$2))</f>
        <v>202.07</v>
      </c>
      <c r="F39" s="153">
        <f>IF($B$2="Todos",SUMIFS(Base!$F$3:$F$5001,Base!$A$3:$A$5001,$B39),SUMIFS(Base!$F$3:$F$5001,Base!$A$3:$A$5001,$B39,Base!$B$3:$B$5001,$B$2))</f>
        <v>38</v>
      </c>
      <c r="G39" s="153">
        <f>IF($B$2="Todos",SUMIFS(Base!$G$3:$G$5001,Base!$A$3:$A$5001,$B39),SUMIFS(Base!$G$3:$G$5001,Base!$A$3:$A$5001,$B39,Base!$B$3:$B$5001,$B$2))</f>
        <v>684</v>
      </c>
      <c r="H39" s="154">
        <f>IF($B$2="Todos",SUMIFS(Base!$H$3:$H$5001,Base!$A$3:$A$5001,$B39),SUMIFS(Base!$H$3:$H$5001,Base!$A$3:$A$5001,$B39,Base!$B$3:$B$5001,$B$2))</f>
        <v>462.33</v>
      </c>
      <c r="I39" s="153">
        <f>IF($B$2="Todos",SUMIFS(Base!$I$3:$I$5001,Base!$A$3:$A$5001,$B39),SUMIFS(Base!$I$3:$I$5001,Base!$A$3:$A$5001,$B39,Base!$B$3:$B$5001,$B$2))</f>
        <v>0</v>
      </c>
      <c r="J39" s="153">
        <f>IF($B$2="Todos",SUMIFS(Base!$J$3:$J$5001,Base!$A$3:$A$5001,$B39),SUMIFS(Base!$J$3:$J$5001,Base!$A$3:$A$5001,$B39,Base!$B$3:$B$5001,$B$2))</f>
        <v>0</v>
      </c>
      <c r="K39" s="153" t="str">
        <f>IF($B$2="Todos",IF(COUNT($C$136:$G$136)=0,"",SUM($C$136:$G$136)),IFERROR(INDEX($C$136:$G$136,MATCH($B$2,$C$108:$G$108,0)),""))</f>
        <v/>
      </c>
      <c r="L39" s="155">
        <f>IF(M39="","",IF($B$2="Todos",$B$4,IFERROR(INDEX($C$206:$G$206,MATCH($B$2,$C$178:$G$178,0)),"")))</f>
        <v>5872</v>
      </c>
      <c r="M39" s="153">
        <f>IF($B$2="Todos",IF(COUNT($C$171:$G$171)=0,"",SUM($C$171:$G$171)),IFERROR(INDEX($C$171:$G$171,MATCH($B$2,$C$143:$G$143,0)),""))</f>
        <v>2787</v>
      </c>
      <c r="N39" s="156">
        <f>IF(AND(ISNUMBER(M39),ISNUMBER(L39)),IF(L39&gt;0,M39/L39,""),"")</f>
        <v>0.474625340599455</v>
      </c>
      <c r="O39" s="153">
        <f>IF($B$2="Todos",IF(COUNT($C$241:$G$241)=0,"",SUM($C$241:$G$241)),IFERROR(INDEX($C$241:$G$241,MATCH($B$2,$C$213:$G$213,0)),""))</f>
        <v>27</v>
      </c>
      <c r="P39" s="153">
        <f>IF($B$2="Todos",SUMIFS(Base!$O$3:$O$5001,Base!$A$3:$A$5001,$B39),SUMIFS(Base!$O$3:$O$5001,Base!$A$3:$A$5001,$B39,Base!$B$3:$B$5001,$B$2))</f>
        <v>0</v>
      </c>
      <c r="Q39" s="153">
        <f>IF($B$2="Todos",SUMIFS(Base!$P$3:$P$5001,Base!$A$3:$A$5001,$B39),SUMIFS(Base!$P$3:$P$5001,Base!$A$3:$A$5001,$B39,Base!$B$3:$B$5001,$B$2))</f>
        <v>0</v>
      </c>
      <c r="R39" s="153">
        <f>IF($B$2="Todos",SUMIFS(Base!$Q$3:$Q$5001,Base!$A$3:$A$5001,$B39),SUMIFS(Base!$Q$3:$Q$5001,Base!$A$3:$A$5001,$B39,Base!$B$3:$B$5001,$B$2))</f>
        <v>0</v>
      </c>
      <c r="S39" s="153">
        <f>IF($B$2="Todos",SUMIFS(Base!$R$3:$R$5001,Base!$A$3:$A$5001,$B39),SUMIFS(Base!$R$3:$R$5001,Base!$A$3:$A$5001,$B39,Base!$B$3:$B$5001,$B$2))</f>
        <v>0</v>
      </c>
      <c r="T39" s="139">
        <f>IF(ISNUMBER($B39),WEEKDAY($B39,2),"")</f>
        <v>1</v>
      </c>
      <c r="U39" s="157">
        <f>CHOOSE($C$3,C39,D39,E39)</f>
        <v>15</v>
      </c>
      <c r="V39" s="157">
        <f>CHOOSE($C$3,F39,G39,H39)</f>
        <v>38</v>
      </c>
      <c r="W39" s="157">
        <f>IFERROR(AVERAGEIF(U12:U42,"&gt;0"),0)</f>
        <v>17.6153846153846</v>
      </c>
      <c r="X39" s="157">
        <f>IFERROR(AVERAGEIF(V12:V42,"&gt;0"),0)</f>
        <v>25.0714285714286</v>
      </c>
      <c r="Y39" s="158">
        <f>$B$5</f>
        <v>0.7</v>
      </c>
      <c r="Z39" s="158">
        <f>$B$6</f>
        <v>0.9</v>
      </c>
    </row>
    <row r="40">
      <c r="A40" s="139">
        <f>IF(DAY($D$7)&gt;=29,29,"")</f>
        <v>29</v>
      </c>
      <c r="B40" s="152">
        <f>IF(ISNUMBER($A40),$C$7+$A40-1,"")</f>
        <v>46294</v>
      </c>
      <c r="C40" s="153">
        <f>IF($B$2="Todos",SUMIFS(Base!$C$3:$C$5001,Base!$A$3:$A$5001,$B40),SUMIFS(Base!$C$3:$C$5001,Base!$A$3:$A$5001,$B40,Base!$B$3:$B$5001,$B$2))</f>
        <v>18</v>
      </c>
      <c r="D40" s="153">
        <f>IF($B$2="Todos",SUMIFS(Base!$D$3:$D$5001,Base!$A$3:$A$5001,$B40),SUMIFS(Base!$D$3:$D$5001,Base!$A$3:$A$5001,$B40,Base!$B$3:$B$5001,$B$2))</f>
        <v>407</v>
      </c>
      <c r="E40" s="154">
        <f>IF($B$2="Todos",SUMIFS(Base!$E$3:$E$5001,Base!$A$3:$A$5001,$B40),SUMIFS(Base!$E$3:$E$5001,Base!$A$3:$A$5001,$B40,Base!$B$3:$B$5001,$B$2))</f>
        <v>227.51</v>
      </c>
      <c r="F40" s="153">
        <f>IF($B$2="Todos",SUMIFS(Base!$F$3:$F$5001,Base!$A$3:$A$5001,$B40),SUMIFS(Base!$F$3:$F$5001,Base!$A$3:$A$5001,$B40,Base!$B$3:$B$5001,$B$2))</f>
        <v>15</v>
      </c>
      <c r="G40" s="153">
        <f>IF($B$2="Todos",SUMIFS(Base!$G$3:$G$5001,Base!$A$3:$A$5001,$B40),SUMIFS(Base!$G$3:$G$5001,Base!$A$3:$A$5001,$B40,Base!$B$3:$B$5001,$B$2))</f>
        <v>270</v>
      </c>
      <c r="H40" s="154">
        <f>IF($B$2="Todos",SUMIFS(Base!$H$3:$H$5001,Base!$A$3:$A$5001,$B40),SUMIFS(Base!$H$3:$H$5001,Base!$A$3:$A$5001,$B40,Base!$B$3:$B$5001,$B$2))</f>
        <v>168.46</v>
      </c>
      <c r="I40" s="153">
        <f>IF($B$2="Todos",SUMIFS(Base!$I$3:$I$5001,Base!$A$3:$A$5001,$B40),SUMIFS(Base!$I$3:$I$5001,Base!$A$3:$A$5001,$B40,Base!$B$3:$B$5001,$B$2))</f>
        <v>0</v>
      </c>
      <c r="J40" s="153">
        <f>IF($B$2="Todos",SUMIFS(Base!$J$3:$J$5001,Base!$A$3:$A$5001,$B40),SUMIFS(Base!$J$3:$J$5001,Base!$A$3:$A$5001,$B40,Base!$B$3:$B$5001,$B$2))</f>
        <v>0</v>
      </c>
      <c r="K40" s="153" t="str">
        <f>IF($B$2="Todos",IF(COUNT($C$137:$G$137)=0,"",SUM($C$137:$G$137)),IFERROR(INDEX($C$137:$G$137,MATCH($B$2,$C$108:$G$108,0)),""))</f>
        <v/>
      </c>
      <c r="L40" s="155">
        <f>IF(M40="","",IF($B$2="Todos",$B$4,IFERROR(INDEX($C$207:$G$207,MATCH($B$2,$C$178:$G$178,0)),"")))</f>
        <v>5872</v>
      </c>
      <c r="M40" s="153">
        <f>IF($B$2="Todos",IF(COUNT($C$172:$G$172)=0,"",SUM($C$172:$G$172)),IFERROR(INDEX($C$172:$G$172,MATCH($B$2,$C$143:$G$143,0)),""))</f>
        <v>4227</v>
      </c>
      <c r="N40" s="156">
        <f>IF(AND(ISNUMBER(M40),ISNUMBER(L40)),IF(L40&gt;0,M40/L40,""),"")</f>
        <v>0.719856948228883</v>
      </c>
      <c r="O40" s="153">
        <f>IF($B$2="Todos",IF(COUNT($C$242:$G$242)=0,"",SUM($C$242:$G$242)),IFERROR(INDEX($C$242:$G$242,MATCH($B$2,$C$213:$G$213,0)),""))</f>
        <v>26</v>
      </c>
      <c r="P40" s="153">
        <f>IF($B$2="Todos",SUMIFS(Base!$O$3:$O$5001,Base!$A$3:$A$5001,$B40),SUMIFS(Base!$O$3:$O$5001,Base!$A$3:$A$5001,$B40,Base!$B$3:$B$5001,$B$2))</f>
        <v>0</v>
      </c>
      <c r="Q40" s="153">
        <f>IF($B$2="Todos",SUMIFS(Base!$P$3:$P$5001,Base!$A$3:$A$5001,$B40),SUMIFS(Base!$P$3:$P$5001,Base!$A$3:$A$5001,$B40,Base!$B$3:$B$5001,$B$2))</f>
        <v>0</v>
      </c>
      <c r="R40" s="153">
        <f>IF($B$2="Todos",SUMIFS(Base!$Q$3:$Q$5001,Base!$A$3:$A$5001,$B40),SUMIFS(Base!$Q$3:$Q$5001,Base!$A$3:$A$5001,$B40,Base!$B$3:$B$5001,$B$2))</f>
        <v>0</v>
      </c>
      <c r="S40" s="153">
        <f>IF($B$2="Todos",SUMIFS(Base!$R$3:$R$5001,Base!$A$3:$A$5001,$B40),SUMIFS(Base!$R$3:$R$5001,Base!$A$3:$A$5001,$B40,Base!$B$3:$B$5001,$B$2))</f>
        <v>0</v>
      </c>
      <c r="T40" s="139">
        <f>IF(ISNUMBER($B40),WEEKDAY($B40,2),"")</f>
        <v>2</v>
      </c>
      <c r="U40" s="157">
        <f>CHOOSE($C$3,C40,D40,E40)</f>
        <v>18</v>
      </c>
      <c r="V40" s="157">
        <f>CHOOSE($C$3,F40,G40,H40)</f>
        <v>15</v>
      </c>
      <c r="W40" s="157">
        <f>IFERROR(AVERAGEIF(U12:U42,"&gt;0"),0)</f>
        <v>17.6153846153846</v>
      </c>
      <c r="X40" s="157">
        <f>IFERROR(AVERAGEIF(V12:V42,"&gt;0"),0)</f>
        <v>25.0714285714286</v>
      </c>
      <c r="Y40" s="158">
        <f>$B$5</f>
        <v>0.7</v>
      </c>
      <c r="Z40" s="158">
        <f>$B$6</f>
        <v>0.9</v>
      </c>
    </row>
    <row r="41">
      <c r="A41" s="139">
        <f>IF(DAY($D$7)&gt;=30,30,"")</f>
        <v>30</v>
      </c>
      <c r="B41" s="152">
        <f>IF(ISNUMBER($A41),$C$7+$A41-1,"")</f>
        <v>46295</v>
      </c>
      <c r="C41" s="153">
        <f>IF($B$2="Todos",SUMIFS(Base!$C$3:$C$5001,Base!$A$3:$A$5001,$B41),SUMIFS(Base!$C$3:$C$5001,Base!$A$3:$A$5001,$B41,Base!$B$3:$B$5001,$B$2))</f>
        <v>0</v>
      </c>
      <c r="D41" s="153">
        <f>IF($B$2="Todos",SUMIFS(Base!$D$3:$D$5001,Base!$A$3:$A$5001,$B41),SUMIFS(Base!$D$3:$D$5001,Base!$A$3:$A$5001,$B41,Base!$B$3:$B$5001,$B$2))</f>
        <v>0</v>
      </c>
      <c r="E41" s="154">
        <f>IF($B$2="Todos",SUMIFS(Base!$E$3:$E$5001,Base!$A$3:$A$5001,$B41),SUMIFS(Base!$E$3:$E$5001,Base!$A$3:$A$5001,$B41,Base!$B$3:$B$5001,$B$2))</f>
        <v>0</v>
      </c>
      <c r="F41" s="153">
        <f>IF($B$2="Todos",SUMIFS(Base!$F$3:$F$5001,Base!$A$3:$A$5001,$B41),SUMIFS(Base!$F$3:$F$5001,Base!$A$3:$A$5001,$B41,Base!$B$3:$B$5001,$B$2))</f>
        <v>0</v>
      </c>
      <c r="G41" s="153">
        <f>IF($B$2="Todos",SUMIFS(Base!$G$3:$G$5001,Base!$A$3:$A$5001,$B41),SUMIFS(Base!$G$3:$G$5001,Base!$A$3:$A$5001,$B41,Base!$B$3:$B$5001,$B$2))</f>
        <v>0</v>
      </c>
      <c r="H41" s="154">
        <f>IF($B$2="Todos",SUMIFS(Base!$H$3:$H$5001,Base!$A$3:$A$5001,$B41),SUMIFS(Base!$H$3:$H$5001,Base!$A$3:$A$5001,$B41,Base!$B$3:$B$5001,$B$2))</f>
        <v>0</v>
      </c>
      <c r="I41" s="153">
        <f>IF($B$2="Todos",SUMIFS(Base!$I$3:$I$5001,Base!$A$3:$A$5001,$B41),SUMIFS(Base!$I$3:$I$5001,Base!$A$3:$A$5001,$B41,Base!$B$3:$B$5001,$B$2))</f>
        <v>0</v>
      </c>
      <c r="J41" s="153">
        <f>IF($B$2="Todos",SUMIFS(Base!$J$3:$J$5001,Base!$A$3:$A$5001,$B41),SUMIFS(Base!$J$3:$J$5001,Base!$A$3:$A$5001,$B41,Base!$B$3:$B$5001,$B$2))</f>
        <v>0</v>
      </c>
      <c r="K41" s="153" t="str">
        <f>IF($B$2="Todos",IF(COUNT($C$138:$G$138)=0,"",SUM($C$138:$G$138)),IFERROR(INDEX($C$138:$G$138,MATCH($B$2,$C$108:$G$108,0)),""))</f>
        <v/>
      </c>
      <c r="L41" s="155" t="str">
        <f>IF(M41="","",IF($B$2="Todos",$B$4,IFERROR(INDEX($C$208:$G$208,MATCH($B$2,$C$178:$G$178,0)),"")))</f>
        <v/>
      </c>
      <c r="M41" s="153" t="str">
        <f>IF($B$2="Todos",IF(COUNT($C$173:$G$173)=0,"",SUM($C$173:$G$173)),IFERROR(INDEX($C$173:$G$173,MATCH($B$2,$C$143:$G$143,0)),""))</f>
        <v/>
      </c>
      <c r="N41" s="156" t="str">
        <f>IF(AND(ISNUMBER(M41),ISNUMBER(L41)),IF(L41&gt;0,M41/L41,""),"")</f>
        <v/>
      </c>
      <c r="O41" s="153" t="str">
        <f>IF($B$2="Todos",IF(COUNT($C$243:$G$243)=0,"",SUM($C$243:$G$243)),IFERROR(INDEX($C$243:$G$243,MATCH($B$2,$C$213:$G$213,0)),""))</f>
        <v/>
      </c>
      <c r="P41" s="153">
        <f>IF($B$2="Todos",SUMIFS(Base!$O$3:$O$5001,Base!$A$3:$A$5001,$B41),SUMIFS(Base!$O$3:$O$5001,Base!$A$3:$A$5001,$B41,Base!$B$3:$B$5001,$B$2))</f>
        <v>0</v>
      </c>
      <c r="Q41" s="153">
        <f>IF($B$2="Todos",SUMIFS(Base!$P$3:$P$5001,Base!$A$3:$A$5001,$B41),SUMIFS(Base!$P$3:$P$5001,Base!$A$3:$A$5001,$B41,Base!$B$3:$B$5001,$B$2))</f>
        <v>0</v>
      </c>
      <c r="R41" s="153">
        <f>IF($B$2="Todos",SUMIFS(Base!$Q$3:$Q$5001,Base!$A$3:$A$5001,$B41),SUMIFS(Base!$Q$3:$Q$5001,Base!$A$3:$A$5001,$B41,Base!$B$3:$B$5001,$B$2))</f>
        <v>0</v>
      </c>
      <c r="S41" s="153">
        <f>IF($B$2="Todos",SUMIFS(Base!$R$3:$R$5001,Base!$A$3:$A$5001,$B41),SUMIFS(Base!$R$3:$R$5001,Base!$A$3:$A$5001,$B41,Base!$B$3:$B$5001,$B$2))</f>
        <v>0</v>
      </c>
      <c r="T41" s="139">
        <f>IF(ISNUMBER($B41),WEEKDAY($B41,2),"")</f>
        <v>3</v>
      </c>
      <c r="U41" s="157">
        <f>CHOOSE($C$3,C41,D41,E41)</f>
        <v>0</v>
      </c>
      <c r="V41" s="157">
        <f>CHOOSE($C$3,F41,G41,H41)</f>
        <v>0</v>
      </c>
      <c r="W41" s="157">
        <f>IFERROR(AVERAGEIF(U12:U42,"&gt;0"),0)</f>
        <v>17.6153846153846</v>
      </c>
      <c r="X41" s="157">
        <f>IFERROR(AVERAGEIF(V12:V42,"&gt;0"),0)</f>
        <v>25.0714285714286</v>
      </c>
      <c r="Y41" s="158">
        <f>$B$5</f>
        <v>0.7</v>
      </c>
      <c r="Z41" s="158">
        <f>$B$6</f>
        <v>0.9</v>
      </c>
    </row>
    <row r="42">
      <c r="A42" s="139" t="str">
        <f>IF(DAY($D$7)&gt;=31,31,"")</f>
        <v/>
      </c>
      <c r="B42" s="152" t="str">
        <f>IF(ISNUMBER($A42),$C$7+$A42-1,"")</f>
        <v/>
      </c>
      <c r="C42" s="153">
        <f>IF($B$2="Todos",SUMIFS(Base!$C$3:$C$5001,Base!$A$3:$A$5001,$B42),SUMIFS(Base!$C$3:$C$5001,Base!$A$3:$A$5001,$B42,Base!$B$3:$B$5001,$B$2))</f>
        <v>0</v>
      </c>
      <c r="D42" s="153">
        <f>IF($B$2="Todos",SUMIFS(Base!$D$3:$D$5001,Base!$A$3:$A$5001,$B42),SUMIFS(Base!$D$3:$D$5001,Base!$A$3:$A$5001,$B42,Base!$B$3:$B$5001,$B$2))</f>
        <v>0</v>
      </c>
      <c r="E42" s="154">
        <f>IF($B$2="Todos",SUMIFS(Base!$E$3:$E$5001,Base!$A$3:$A$5001,$B42),SUMIFS(Base!$E$3:$E$5001,Base!$A$3:$A$5001,$B42,Base!$B$3:$B$5001,$B$2))</f>
        <v>0</v>
      </c>
      <c r="F42" s="153">
        <f>IF($B$2="Todos",SUMIFS(Base!$F$3:$F$5001,Base!$A$3:$A$5001,$B42),SUMIFS(Base!$F$3:$F$5001,Base!$A$3:$A$5001,$B42,Base!$B$3:$B$5001,$B$2))</f>
        <v>0</v>
      </c>
      <c r="G42" s="153">
        <f>IF($B$2="Todos",SUMIFS(Base!$G$3:$G$5001,Base!$A$3:$A$5001,$B42),SUMIFS(Base!$G$3:$G$5001,Base!$A$3:$A$5001,$B42,Base!$B$3:$B$5001,$B$2))</f>
        <v>0</v>
      </c>
      <c r="H42" s="154">
        <f>IF($B$2="Todos",SUMIFS(Base!$H$3:$H$5001,Base!$A$3:$A$5001,$B42),SUMIFS(Base!$H$3:$H$5001,Base!$A$3:$A$5001,$B42,Base!$B$3:$B$5001,$B$2))</f>
        <v>0</v>
      </c>
      <c r="I42" s="153">
        <f>IF($B$2="Todos",SUMIFS(Base!$I$3:$I$5001,Base!$A$3:$A$5001,$B42),SUMIFS(Base!$I$3:$I$5001,Base!$A$3:$A$5001,$B42,Base!$B$3:$B$5001,$B$2))</f>
        <v>0</v>
      </c>
      <c r="J42" s="153">
        <f>IF($B$2="Todos",SUMIFS(Base!$J$3:$J$5001,Base!$A$3:$A$5001,$B42),SUMIFS(Base!$J$3:$J$5001,Base!$A$3:$A$5001,$B42,Base!$B$3:$B$5001,$B$2))</f>
        <v>0</v>
      </c>
      <c r="K42" s="153" t="str">
        <f>IF($B$2="Todos",IF(COUNT($C$139:$G$139)=0,"",SUM($C$139:$G$139)),IFERROR(INDEX($C$139:$G$139,MATCH($B$2,$C$108:$G$108,0)),""))</f>
        <v/>
      </c>
      <c r="L42" s="155" t="str">
        <f>IF(M42="","",IF($B$2="Todos",$B$4,IFERROR(INDEX($C$209:$G$209,MATCH($B$2,$C$178:$G$178,0)),"")))</f>
        <v/>
      </c>
      <c r="M42" s="153" t="str">
        <f>IF($B$2="Todos",IF(COUNT($C$174:$G$174)=0,"",SUM($C$174:$G$174)),IFERROR(INDEX($C$174:$G$174,MATCH($B$2,$C$143:$G$143,0)),""))</f>
        <v/>
      </c>
      <c r="N42" s="156" t="str">
        <f>IF(AND(ISNUMBER(M42),ISNUMBER(L42)),IF(L42&gt;0,M42/L42,""),"")</f>
        <v/>
      </c>
      <c r="O42" s="153" t="str">
        <f>IF($B$2="Todos",IF(COUNT($C$244:$G$244)=0,"",SUM($C$244:$G$244)),IFERROR(INDEX($C$244:$G$244,MATCH($B$2,$C$213:$G$213,0)),""))</f>
        <v/>
      </c>
      <c r="P42" s="153">
        <f>IF($B$2="Todos",SUMIFS(Base!$O$3:$O$5001,Base!$A$3:$A$5001,$B42),SUMIFS(Base!$O$3:$O$5001,Base!$A$3:$A$5001,$B42,Base!$B$3:$B$5001,$B$2))</f>
        <v>0</v>
      </c>
      <c r="Q42" s="153">
        <f>IF($B$2="Todos",SUMIFS(Base!$P$3:$P$5001,Base!$A$3:$A$5001,$B42),SUMIFS(Base!$P$3:$P$5001,Base!$A$3:$A$5001,$B42,Base!$B$3:$B$5001,$B$2))</f>
        <v>0</v>
      </c>
      <c r="R42" s="153">
        <f>IF($B$2="Todos",SUMIFS(Base!$Q$3:$Q$5001,Base!$A$3:$A$5001,$B42),SUMIFS(Base!$Q$3:$Q$5001,Base!$A$3:$A$5001,$B42,Base!$B$3:$B$5001,$B$2))</f>
        <v>0</v>
      </c>
      <c r="S42" s="153">
        <f>IF($B$2="Todos",SUMIFS(Base!$R$3:$R$5001,Base!$A$3:$A$5001,$B42),SUMIFS(Base!$R$3:$R$5001,Base!$A$3:$A$5001,$B42,Base!$B$3:$B$5001,$B$2))</f>
        <v>0</v>
      </c>
      <c r="T42" s="139" t="str">
        <f>IF(ISNUMBER($B42),WEEKDAY($B42,2),"")</f>
        <v/>
      </c>
      <c r="U42" s="157">
        <f>CHOOSE($C$3,C42,D42,E42)</f>
        <v>0</v>
      </c>
      <c r="V42" s="157">
        <f>CHOOSE($C$3,F42,G42,H42)</f>
        <v>0</v>
      </c>
      <c r="W42" s="157">
        <f>IFERROR(AVERAGEIF(U12:U42,"&gt;0"),0)</f>
        <v>17.6153846153846</v>
      </c>
      <c r="X42" s="157">
        <f>IFERROR(AVERAGEIF(V12:V42,"&gt;0"),0)</f>
        <v>25.0714285714286</v>
      </c>
      <c r="Y42" s="158">
        <f>$B$5</f>
        <v>0.7</v>
      </c>
      <c r="Z42" s="158">
        <f>$B$6</f>
        <v>0.9</v>
      </c>
    </row>
    <row r="43">
      <c r="A43" s="162" t="inlineStr">
        <is>
          <t xml:space="preserve">Realizado no mês (soma · último dado em estoque)</t>
        </is>
      </c>
      <c r="C43" s="164">
        <f>SUM(C12:C42)</f>
        <v>458</v>
      </c>
      <c r="D43" s="164">
        <f>SUM(D12:D42)</f>
        <v>10957</v>
      </c>
      <c r="E43" s="170">
        <f>SUM(E12:E42)</f>
        <v>7373.34</v>
      </c>
      <c r="F43" s="164">
        <f>SUM(F12:F42)</f>
        <v>702</v>
      </c>
      <c r="G43" s="164">
        <f>SUM(G12:G42)</f>
        <v>12636</v>
      </c>
      <c r="H43" s="170">
        <f>SUM(H12:H42)</f>
        <v>8393.51</v>
      </c>
      <c r="I43" s="164">
        <f>SUM(I12:I42)</f>
        <v>11</v>
      </c>
      <c r="J43" s="164">
        <f>SUM(J12:J42)</f>
        <v>0</v>
      </c>
      <c r="K43" s="164" t="str">
        <f>IFERROR(LOOKUP(9.99E+307,K12:K42),"")</f>
        <v/>
      </c>
      <c r="L43" s="164">
        <f>IFERROR(LOOKUP(9.99E+307,L12:L42),"")</f>
        <v>5872</v>
      </c>
      <c r="M43" s="164">
        <f>IFERROR(LOOKUP(9.99E+307,M12:M42),"")</f>
        <v>4227</v>
      </c>
      <c r="N43" s="171">
        <f>IFERROR(LOOKUP(9.99E+307,N12:N42),"")</f>
        <v>0.719856948228883</v>
      </c>
      <c r="O43" s="164">
        <f>IFERROR(LOOKUP(9.99E+307,O12:O42),"")</f>
        <v>26</v>
      </c>
      <c r="P43" s="164">
        <f>SUM(P12:P42)</f>
        <v>0</v>
      </c>
      <c r="Q43" s="164">
        <f>SUM(Q12:Q42)</f>
        <v>0</v>
      </c>
      <c r="R43" s="164">
        <f>SUM(R12:R42)</f>
        <v>0</v>
      </c>
      <c r="S43" s="164">
        <f>SUM(S12:S42)</f>
        <v>0</v>
      </c>
      <c r="U43" s="170">
        <f>SUM(U12:U42)</f>
        <v>458</v>
      </c>
      <c r="V43" s="170">
        <f>SUM(V12:V42)</f>
        <v>702</v>
      </c>
    </row>
    <row r="44">
      <c r="A44" s="163" t="inlineStr">
        <is>
          <t xml:space="preserve">Média por dia</t>
        </is>
      </c>
      <c r="C44" s="165">
        <f>IFERROR(AVERAGEIF(C12:C42,"&gt;0"),"")</f>
        <v>17.6153846153846</v>
      </c>
      <c r="D44" s="165">
        <f>IFERROR(AVERAGEIF(D12:D42,"&gt;0"),"")</f>
        <v>421.423076923077</v>
      </c>
      <c r="E44" s="165">
        <f>IFERROR(AVERAGEIF(E12:E42,"&gt;0"),"")</f>
        <v>283.59</v>
      </c>
      <c r="F44" s="165">
        <f>IFERROR(AVERAGEIF(F12:F42,"&gt;0"),"")</f>
        <v>25.0714285714286</v>
      </c>
      <c r="G44" s="165">
        <f>IFERROR(AVERAGEIF(G12:G42,"&gt;0"),"")</f>
        <v>451.285714285714</v>
      </c>
      <c r="H44" s="165">
        <f>IFERROR(AVERAGEIF(H12:H42,"&gt;0"),"")</f>
        <v>299.768214285714</v>
      </c>
      <c r="I44" s="165">
        <f>IFERROR(AVERAGEIF(I12:I42,"&gt;0"),"")</f>
        <v>1.22222222222222</v>
      </c>
      <c r="J44" s="165" t="str">
        <f>IFERROR(AVERAGEIF(J12:J42,"&gt;0"),"")</f>
        <v/>
      </c>
      <c r="K44" s="165" t="str">
        <f>IFERROR(AVERAGE(K12:K42),"")</f>
        <v/>
      </c>
      <c r="L44" s="165">
        <f>IFERROR(AVERAGE(L12:L42),"")</f>
        <v>5872</v>
      </c>
      <c r="M44" s="165">
        <f>IFERROR(AVERAGE(M12:M42),"")</f>
        <v>3511.24137931034</v>
      </c>
      <c r="N44" s="167">
        <f>IFERROR(AVERAGE(N12:N42),"")</f>
        <v>0.597963450155032</v>
      </c>
      <c r="O44" s="165">
        <f>IFERROR(AVERAGE(O12:O42),"")</f>
        <v>29.6206896551724</v>
      </c>
      <c r="P44" s="165" t="str">
        <f>IFERROR(AVERAGEIF(P12:P42,"&gt;0"),"")</f>
        <v/>
      </c>
      <c r="Q44" s="165" t="str">
        <f>IFERROR(AVERAGEIF(Q12:Q42,"&gt;0"),"")</f>
        <v/>
      </c>
      <c r="R44" s="165" t="str">
        <f>IFERROR(AVERAGEIF(R12:R42,"&gt;0"),"")</f>
        <v/>
      </c>
      <c r="S44" s="165" t="str">
        <f>IFERROR(AVERAGEIF(S12:S42,"&gt;0"),"")</f>
        <v/>
      </c>
    </row>
    <row r="45">
      <c r="A45" s="163" t="inlineStr">
        <is>
          <t xml:space="preserve">Máximo em um dia</t>
        </is>
      </c>
      <c r="C45" s="166">
        <f>IF(COUNT(C12:C42)=0,"",MAX(C12:C42))</f>
        <v>35</v>
      </c>
      <c r="D45" s="166">
        <f>IF(COUNT(D12:D42)=0,"",MAX(D12:D42))</f>
        <v>872</v>
      </c>
      <c r="E45" s="165">
        <f>IF(COUNT(E12:E42)=0,"",MAX(E12:E42))</f>
        <v>604.59</v>
      </c>
      <c r="F45" s="166">
        <f>IF(COUNT(F12:F42)=0,"",MAX(F12:F42))</f>
        <v>54</v>
      </c>
      <c r="G45" s="166">
        <f>IF(COUNT(G12:G42)=0,"",MAX(G12:G42))</f>
        <v>972</v>
      </c>
      <c r="H45" s="165">
        <f>IF(COUNT(H12:H42)=0,"",MAX(H12:H42))</f>
        <v>746.88</v>
      </c>
      <c r="I45" s="166">
        <f>IF(COUNT(I12:I42)=0,"",MAX(I12:I42))</f>
        <v>3</v>
      </c>
      <c r="J45" s="166">
        <f>IF(COUNT(J12:J42)=0,"",MAX(J12:J42))</f>
        <v>0</v>
      </c>
      <c r="K45" s="166" t="str">
        <f>IF(COUNT(K12:K42)=0,"",MAX(K12:K42))</f>
        <v/>
      </c>
      <c r="L45" s="166">
        <f>IF(COUNT(L12:L42)=0,"",MAX(L12:L42))</f>
        <v>5872</v>
      </c>
      <c r="M45" s="166">
        <f>IF(COUNT(M12:M42)=0,"",MAX(M12:M42))</f>
        <v>4227</v>
      </c>
      <c r="N45" s="167">
        <f>IF(COUNT(N12:N42)=0,"",MAX(N12:N42))</f>
        <v>0.719856948228883</v>
      </c>
      <c r="O45" s="166">
        <f>IF(COUNT(O12:O42)=0,"",MAX(O12:O42))</f>
        <v>38</v>
      </c>
      <c r="P45" s="166">
        <f>IF(COUNT(P12:P42)=0,"",MAX(P12:P42))</f>
        <v>0</v>
      </c>
      <c r="Q45" s="166">
        <f>IF(COUNT(Q12:Q42)=0,"",MAX(Q12:Q42))</f>
        <v>0</v>
      </c>
      <c r="R45" s="166">
        <f>IF(COUNT(R12:R42)=0,"",MAX(R12:R42))</f>
        <v>0</v>
      </c>
      <c r="S45" s="166">
        <f>IF(COUNT(S12:S42)=0,"",MAX(S12:S42))</f>
        <v>0</v>
      </c>
    </row>
    <row r="46">
      <c r="A46" s="163" t="inlineStr">
        <is>
          <t xml:space="preserve">Mês anterior (mesmo intervalo)</t>
        </is>
      </c>
      <c r="C46" s="166">
        <f>IF($B$2="Todos",SUMIFS(Base!$C$3:$C$5001,Base!$A$3:$A$5001,"&gt;="&amp;$C$8,Base!$A$3:$A$5001,"&lt;="&amp;$D$8),SUMIFS(Base!$C$3:$C$5001,Base!$A$3:$A$5001,"&gt;="&amp;$C$8,Base!$A$3:$A$5001,"&lt;="&amp;$D$8,Base!$B$3:$B$5001,$B$2))</f>
        <v>468</v>
      </c>
      <c r="D46" s="166">
        <f>IF($B$2="Todos",SUMIFS(Base!$D$3:$D$5001,Base!$A$3:$A$5001,"&gt;="&amp;$C$8,Base!$A$3:$A$5001,"&lt;="&amp;$D$8),SUMIFS(Base!$D$3:$D$5001,Base!$A$3:$A$5001,"&gt;="&amp;$C$8,Base!$A$3:$A$5001,"&lt;="&amp;$D$8,Base!$B$3:$B$5001,$B$2))</f>
        <v>11234</v>
      </c>
      <c r="E46" s="165">
        <f>IF($B$2="Todos",SUMIFS(Base!$E$3:$E$5001,Base!$A$3:$A$5001,"&gt;="&amp;$C$8,Base!$A$3:$A$5001,"&lt;="&amp;$D$8),SUMIFS(Base!$E$3:$E$5001,Base!$A$3:$A$5001,"&gt;="&amp;$C$8,Base!$A$3:$A$5001,"&lt;="&amp;$D$8,Base!$B$3:$B$5001,$B$2))</f>
        <v>7575.5</v>
      </c>
      <c r="F46" s="166">
        <f>IF($B$2="Todos",SUMIFS(Base!$F$3:$F$5001,Base!$A$3:$A$5001,"&gt;="&amp;$C$8,Base!$A$3:$A$5001,"&lt;="&amp;$D$8),SUMIFS(Base!$F$3:$F$5001,Base!$A$3:$A$5001,"&gt;="&amp;$C$8,Base!$A$3:$A$5001,"&lt;="&amp;$D$8,Base!$B$3:$B$5001,$B$2))</f>
        <v>698</v>
      </c>
      <c r="G46" s="166">
        <f>IF($B$2="Todos",SUMIFS(Base!$G$3:$G$5001,Base!$A$3:$A$5001,"&gt;="&amp;$C$8,Base!$A$3:$A$5001,"&lt;="&amp;$D$8),SUMIFS(Base!$G$3:$G$5001,Base!$A$3:$A$5001,"&gt;="&amp;$C$8,Base!$A$3:$A$5001,"&lt;="&amp;$D$8,Base!$B$3:$B$5001,$B$2))</f>
        <v>12564</v>
      </c>
      <c r="H46" s="165">
        <f>IF($B$2="Todos",SUMIFS(Base!$H$3:$H$5001,Base!$A$3:$A$5001,"&gt;="&amp;$C$8,Base!$A$3:$A$5001,"&lt;="&amp;$D$8),SUMIFS(Base!$H$3:$H$5001,Base!$A$3:$A$5001,"&gt;="&amp;$C$8,Base!$A$3:$A$5001,"&lt;="&amp;$D$8,Base!$B$3:$B$5001,$B$2))</f>
        <v>8685.76</v>
      </c>
      <c r="I46" s="166">
        <f>IF($B$2="Todos",SUMIFS(Base!$I$3:$I$5001,Base!$A$3:$A$5001,"&gt;="&amp;$C$8,Base!$A$3:$A$5001,"&lt;="&amp;$D$8),SUMIFS(Base!$I$3:$I$5001,Base!$A$3:$A$5001,"&gt;="&amp;$C$8,Base!$A$3:$A$5001,"&lt;="&amp;$D$8,Base!$B$3:$B$5001,$B$2))</f>
        <v>4</v>
      </c>
      <c r="J46" s="166">
        <f>IF($B$2="Todos",SUMIFS(Base!$J$3:$J$5001,Base!$A$3:$A$5001,"&gt;="&amp;$C$8,Base!$A$3:$A$5001,"&lt;="&amp;$D$8),SUMIFS(Base!$J$3:$J$5001,Base!$A$3:$A$5001,"&gt;="&amp;$C$8,Base!$A$3:$A$5001,"&lt;="&amp;$D$8,Base!$B$3:$B$5001,$B$2))</f>
        <v>0</v>
      </c>
      <c r="K46" s="166" t="str">
        <f>IF($B$2="Todos",IF(COUNT($C$140:$G$140)=0,"",SUM($C$140:$G$140)),IFERROR(INDEX($C$140:$G$140,MATCH($B$2,$C$108:$G$108,0)),""))</f>
        <v/>
      </c>
      <c r="L46" s="166">
        <f>IF(M46="","",IF($B$2="Todos",$B$4,IFERROR(INDEX($C$210:$G$210,MATCH($B$2,$C$178:$G$178,0)),"")))</f>
        <v>5872</v>
      </c>
      <c r="M46" s="166">
        <f>IF($B$2="Todos",IF(COUNT($C$175:$G$175)=0,"",SUM($C$175:$G$175)),IFERROR(INDEX($C$175:$G$175,MATCH($B$2,$C$143:$G$143,0)),""))</f>
        <v>3928</v>
      </c>
      <c r="N46" s="167">
        <f>IF(AND(ISNUMBER(M46),ISNUMBER(L46)),IF(L46&gt;0,M46/L46,""),"")</f>
        <v>0.668937329700273</v>
      </c>
      <c r="O46" s="166">
        <f>IF($B$2="Todos",IF(COUNT($C$245:$G$245)=0,"",SUM($C$245:$G$245)),IFERROR(INDEX($C$245:$G$245,MATCH($B$2,$C$213:$G$213,0)),""))</f>
        <v>26</v>
      </c>
      <c r="P46" s="166">
        <f>IF($B$2="Todos",SUMIFS(Base!$O$3:$O$5001,Base!$A$3:$A$5001,"&gt;="&amp;$C$8,Base!$A$3:$A$5001,"&lt;="&amp;$D$8),SUMIFS(Base!$O$3:$O$5001,Base!$A$3:$A$5001,"&gt;="&amp;$C$8,Base!$A$3:$A$5001,"&lt;="&amp;$D$8,Base!$B$3:$B$5001,$B$2))</f>
        <v>0</v>
      </c>
      <c r="Q46" s="166">
        <f>IF($B$2="Todos",SUMIFS(Base!$P$3:$P$5001,Base!$A$3:$A$5001,"&gt;="&amp;$C$8,Base!$A$3:$A$5001,"&lt;="&amp;$D$8),SUMIFS(Base!$P$3:$P$5001,Base!$A$3:$A$5001,"&gt;="&amp;$C$8,Base!$A$3:$A$5001,"&lt;="&amp;$D$8,Base!$B$3:$B$5001,$B$2))</f>
        <v>0</v>
      </c>
      <c r="R46" s="166">
        <f>IF($B$2="Todos",SUMIFS(Base!$Q$3:$Q$5001,Base!$A$3:$A$5001,"&gt;="&amp;$C$8,Base!$A$3:$A$5001,"&lt;="&amp;$D$8),SUMIFS(Base!$Q$3:$Q$5001,Base!$A$3:$A$5001,"&gt;="&amp;$C$8,Base!$A$3:$A$5001,"&lt;="&amp;$D$8,Base!$B$3:$B$5001,$B$2))</f>
        <v>0</v>
      </c>
      <c r="S46" s="166">
        <f>IF($B$2="Todos",SUMIFS(Base!$R$3:$R$5001,Base!$A$3:$A$5001,"&gt;="&amp;$C$8,Base!$A$3:$A$5001,"&lt;="&amp;$D$8),SUMIFS(Base!$R$3:$R$5001,Base!$A$3:$A$5001,"&gt;="&amp;$C$8,Base!$A$3:$A$5001,"&lt;="&amp;$D$8,Base!$B$3:$B$5001,$B$2))</f>
        <v>0</v>
      </c>
    </row>
    <row r="47">
      <c r="A47" s="163" t="inlineStr">
        <is>
          <t xml:space="preserve">Variação vs mês anterior</t>
        </is>
      </c>
      <c r="C47" s="167">
        <f>IF(AND(ISNUMBER(C43),ISNUMBER(C46)),IF(C46&lt;&gt;0,C43/C46-1,""),"")</f>
        <v>-0.0213675213675214</v>
      </c>
      <c r="D47" s="167">
        <f>IF(AND(ISNUMBER(D43),ISNUMBER(D46)),IF(D46&lt;&gt;0,D43/D46-1,""),"")</f>
        <v>-0.0246572903685242</v>
      </c>
      <c r="E47" s="167">
        <f>IF(AND(ISNUMBER(E43),ISNUMBER(E46)),IF(E46&lt;&gt;0,E43/E46-1,""),"")</f>
        <v>-0.026686027324929</v>
      </c>
      <c r="F47" s="167">
        <f>IF(AND(ISNUMBER(F43),ISNUMBER(F46)),IF(F46&lt;&gt;0,F43/F46-1,""),"")</f>
        <v>0.00573065902578795</v>
      </c>
      <c r="G47" s="167">
        <f>IF(AND(ISNUMBER(G43),ISNUMBER(G46)),IF(G46&lt;&gt;0,G43/G46-1,""),"")</f>
        <v>0.00573065902578795</v>
      </c>
      <c r="H47" s="167">
        <f>IF(AND(ISNUMBER(H43),ISNUMBER(H46)),IF(H46&lt;&gt;0,H43/H46-1,""),"")</f>
        <v>-0.0336470268577536</v>
      </c>
      <c r="I47" s="167">
        <f>IF(AND(ISNUMBER(I43),ISNUMBER(I46)),IF(I46&lt;&gt;0,I43/I46-1,""),"")</f>
        <v>1.75</v>
      </c>
      <c r="J47" s="167" t="str">
        <f>IF(AND(ISNUMBER(J43),ISNUMBER(J46)),IF(J46&lt;&gt;0,J43/J46-1,""),"")</f>
        <v/>
      </c>
      <c r="K47" s="167" t="str">
        <f>IF(AND(ISNUMBER(K43),ISNUMBER(K46)),IF(K46&lt;&gt;0,K43/K46-1,""),"")</f>
        <v/>
      </c>
      <c r="L47" s="167">
        <f>IF(AND(ISNUMBER(L43),ISNUMBER(L46)),IF(L46&lt;&gt;0,L43/L46-1,""),"")</f>
        <v>0</v>
      </c>
      <c r="M47" s="167">
        <f>IF(AND(ISNUMBER(M43),ISNUMBER(M46)),IF(M46&lt;&gt;0,M43/M46-1,""),"")</f>
        <v>0.0761201629327901</v>
      </c>
      <c r="N47" s="167">
        <f>IF(AND(ISNUMBER(N43),ISNUMBER(N46)),IF(N46&lt;&gt;0,N43/N46-1,""),"")</f>
        <v>0.0761201629327901</v>
      </c>
      <c r="O47" s="167">
        <f>IF(AND(ISNUMBER(O43),ISNUMBER(O46)),IF(O46&lt;&gt;0,O43/O46-1,""),"")</f>
        <v>0</v>
      </c>
      <c r="P47" s="167" t="str">
        <f>IF(AND(ISNUMBER(P43),ISNUMBER(P46)),IF(P46&lt;&gt;0,P43/P46-1,""),"")</f>
        <v/>
      </c>
      <c r="Q47" s="167" t="str">
        <f>IF(AND(ISNUMBER(Q43),ISNUMBER(Q46)),IF(Q46&lt;&gt;0,Q43/Q46-1,""),"")</f>
        <v/>
      </c>
      <c r="R47" s="167" t="str">
        <f>IF(AND(ISNUMBER(R43),ISNUMBER(R46)),IF(R46&lt;&gt;0,R43/R46-1,""),"")</f>
        <v/>
      </c>
      <c r="S47" s="167" t="str">
        <f>IF(AND(ISNUMBER(S43),ISNUMBER(S46)),IF(S46&lt;&gt;0,S43/S46-1,""),"")</f>
        <v/>
      </c>
    </row>
    <row r="48">
      <c r="A48" s="163" t="inlineStr">
        <is>
          <t xml:space="preserve">Meta (cliente selecionado)</t>
        </is>
      </c>
      <c r="C48" s="166" t="str">
        <f>IFERROR(1/(1/INDEX($B$56:$G$56,MATCH($B$2,$B$55:$G$55,0))),"")</f>
        <v/>
      </c>
      <c r="D48" s="166" t="str">
        <f>IFERROR(1/(1/INDEX($B$57:$G$57,MATCH($B$2,$B$55:$G$55,0))),"")</f>
        <v/>
      </c>
      <c r="E48" s="166" t="str">
        <f>IFERROR(1/(1/INDEX($B$58:$G$58,MATCH($B$2,$B$55:$G$55,0))),"")</f>
        <v/>
      </c>
      <c r="F48" s="166" t="str">
        <f>IFERROR(1/(1/INDEX($B$59:$G$59,MATCH($B$2,$B$55:$G$55,0))),"")</f>
        <v/>
      </c>
      <c r="G48" s="166" t="str">
        <f>IFERROR(1/(1/INDEX($B$60:$G$60,MATCH($B$2,$B$55:$G$55,0))),"")</f>
        <v/>
      </c>
      <c r="H48" s="166" t="str">
        <f>IFERROR(1/(1/INDEX($B$61:$G$61,MATCH($B$2,$B$55:$G$55,0))),"")</f>
        <v/>
      </c>
      <c r="I48" s="166" t="str">
        <f>IFERROR(1/(1/INDEX($B$62:$G$62,MATCH($B$2,$B$55:$G$55,0))),"")</f>
        <v/>
      </c>
      <c r="J48" s="166" t="str">
        <f>IFERROR(1/(1/INDEX($B$63:$G$63,MATCH($B$2,$B$55:$G$55,0))),"")</f>
        <v/>
      </c>
      <c r="K48" s="166" t="str">
        <f>IFERROR(1/(1/INDEX($B$64:$G$64,MATCH($B$2,$B$55:$G$55,0))),"")</f>
        <v/>
      </c>
      <c r="L48" s="166" t="str">
        <f>IFERROR(1/(1/INDEX($B$65:$G$65,MATCH($B$2,$B$55:$G$55,0))),"")</f>
        <v/>
      </c>
      <c r="M48" s="166" t="str">
        <f>IFERROR(1/(1/INDEX($B$66:$G$66,MATCH($B$2,$B$55:$G$55,0))),"")</f>
        <v/>
      </c>
      <c r="N48" s="168" t="str">
        <f>IFERROR(1/(1/INDEX($B$67:$G$67,MATCH($B$2,$B$55:$G$55,0))),"")</f>
        <v/>
      </c>
      <c r="O48" s="166" t="str">
        <f>IFERROR(1/(1/INDEX($B$68:$G$68,MATCH($B$2,$B$55:$G$55,0))),"")</f>
        <v/>
      </c>
      <c r="P48" s="166" t="str">
        <f>IFERROR(1/(1/INDEX($B$69:$G$69,MATCH($B$2,$B$55:$G$55,0))),"")</f>
        <v/>
      </c>
      <c r="Q48" s="166" t="str">
        <f>IFERROR(1/(1/INDEX($B$70:$G$70,MATCH($B$2,$B$55:$G$55,0))),"")</f>
        <v/>
      </c>
      <c r="R48" s="166" t="str">
        <f>IFERROR(1/(1/INDEX($B$71:$G$71,MATCH($B$2,$B$55:$G$55,0))),"")</f>
        <v/>
      </c>
      <c r="S48" s="166" t="str">
        <f>IFERROR(1/(1/INDEX($B$72:$G$72,MATCH($B$2,$B$55:$G$55,0))),"")</f>
        <v/>
      </c>
    </row>
    <row r="49">
      <c r="A49" s="163" t="inlineStr">
        <is>
          <t xml:space="preserve">% da meta</t>
        </is>
      </c>
      <c r="C49" s="168" t="str">
        <f>IF(AND(ISNUMBER(C48),ISNUMBER(C43)),IF(C48&gt;0,C43/C48,""),"")</f>
        <v/>
      </c>
      <c r="D49" s="168" t="str">
        <f>IF(AND(ISNUMBER(D48),ISNUMBER(D43)),IF(D48&gt;0,D43/D48,""),"")</f>
        <v/>
      </c>
      <c r="E49" s="168" t="str">
        <f>IF(AND(ISNUMBER(E48),ISNUMBER(E43)),IF(E48&gt;0,E43/E48,""),"")</f>
        <v/>
      </c>
      <c r="F49" s="168" t="str">
        <f>IF(AND(ISNUMBER(F48),ISNUMBER(F43)),IF(F48&gt;0,F43/F48,""),"")</f>
        <v/>
      </c>
      <c r="G49" s="168" t="str">
        <f>IF(AND(ISNUMBER(G48),ISNUMBER(G43)),IF(G48&gt;0,G43/G48,""),"")</f>
        <v/>
      </c>
      <c r="H49" s="168" t="str">
        <f>IF(AND(ISNUMBER(H48),ISNUMBER(H43)),IF(H48&gt;0,H43/H48,""),"")</f>
        <v/>
      </c>
      <c r="I49" s="168" t="str">
        <f>IF(AND(ISNUMBER(I48),ISNUMBER(I43)),IF(I48&gt;0,I43/I48,""),"")</f>
        <v/>
      </c>
      <c r="J49" s="168" t="str">
        <f>IF(AND(ISNUMBER(J48),ISNUMBER(J43)),IF(J48&gt;0,J43/J48,""),"")</f>
        <v/>
      </c>
      <c r="K49" s="168" t="str">
        <f>IF(AND(ISNUMBER(K48),ISNUMBER(K43)),IF(K48&gt;0,K43/K48,""),"")</f>
        <v/>
      </c>
      <c r="L49" s="168" t="str">
        <f>IF(AND(ISNUMBER(L48),ISNUMBER(L43)),IF(L48&gt;0,L43/L48,""),"")</f>
        <v/>
      </c>
      <c r="M49" s="168" t="str">
        <f>IF(AND(ISNUMBER(M48),ISNUMBER(M43)),IF(M48&gt;0,M43/M48,""),"")</f>
        <v/>
      </c>
      <c r="N49" s="168" t="str">
        <f>IF(AND(ISNUMBER(N48),ISNUMBER(N43)),IF(N48&gt;0,N43/N48,""),"")</f>
        <v/>
      </c>
      <c r="O49" s="168" t="str">
        <f>IF(AND(ISNUMBER(O48),ISNUMBER(O43)),IF(O48&gt;0,O43/O48,""),"")</f>
        <v/>
      </c>
      <c r="P49" s="168" t="str">
        <f>IF(AND(ISNUMBER(P48),ISNUMBER(P43)),IF(P48&gt;0,P43/P48,""),"")</f>
        <v/>
      </c>
      <c r="Q49" s="168" t="str">
        <f>IF(AND(ISNUMBER(Q48),ISNUMBER(Q43)),IF(Q48&gt;0,Q43/Q48,""),"")</f>
        <v/>
      </c>
      <c r="R49" s="168" t="str">
        <f>IF(AND(ISNUMBER(R48),ISNUMBER(R43)),IF(R48&gt;0,R43/R48,""),"")</f>
        <v/>
      </c>
      <c r="S49" s="168" t="str">
        <f>IF(AND(ISNUMBER(S48),ISNUMBER(S43)),IF(S48&gt;0,S43/S48,""),"")</f>
        <v/>
      </c>
    </row>
    <row r="50">
      <c r="A50" s="163" t="inlineStr">
        <is>
          <t xml:space="preserve">Status</t>
        </is>
      </c>
      <c r="C50" s="169" t="str">
        <f>IF(ISNUMBER(C49),IF(C49&gt;=1,"meta atingida","abaixo da meta"),"")</f>
        <v/>
      </c>
      <c r="D50" s="169" t="str">
        <f>IF(ISNUMBER(D49),IF(D49&gt;=1,"meta atingida","abaixo da meta"),"")</f>
        <v/>
      </c>
      <c r="E50" s="169" t="str">
        <f>IF(ISNUMBER(E49),IF(E49&gt;=1,"meta atingida","abaixo da meta"),"")</f>
        <v/>
      </c>
      <c r="F50" s="169" t="str">
        <f>IF(ISNUMBER(F49),IF(F49&gt;=1,"meta atingida","abaixo da meta"),"")</f>
        <v/>
      </c>
      <c r="G50" s="169" t="str">
        <f>IF(ISNUMBER(G49),IF(G49&gt;=1,"meta atingida","abaixo da meta"),"")</f>
        <v/>
      </c>
      <c r="H50" s="169" t="str">
        <f>IF(ISNUMBER(H49),IF(H49&gt;=1,"meta atingida","abaixo da meta"),"")</f>
        <v/>
      </c>
      <c r="I50" s="169" t="str">
        <f>IF(AND(ISNUMBER(I48),ISNUMBER(I43)),IF(I43&lt;=I48,"dentro do limite","acima do limite"),"")</f>
        <v/>
      </c>
      <c r="J50" s="169" t="str">
        <f>IF(AND(ISNUMBER(J48),ISNUMBER(J43)),IF(J43&lt;=J48,"dentro do limite","acima do limite"),"")</f>
        <v/>
      </c>
      <c r="K50" s="169" t="str">
        <f>IF(AND(ISNUMBER(K48),ISNUMBER(K43)),IF(K43&lt;=K48,"dentro do limite","acima do limite"),"")</f>
        <v/>
      </c>
      <c r="L50" s="169" t="str">
        <f>IF(ISNUMBER(L49),IF(L49&gt;=1,"meta atingida","abaixo da meta"),"")</f>
        <v/>
      </c>
      <c r="M50" s="169" t="str">
        <f>IF(ISNUMBER(M49),IF(M49&gt;=1,"meta atingida","abaixo da meta"),"")</f>
        <v/>
      </c>
      <c r="N50" s="169" t="str">
        <f>IF(ISNUMBER(N43),IF(N43&gt;=$B$6,"crítico",IF(N43&gt;=$B$5,"atenção","dentro da faixa")),"")</f>
        <v>atenção</v>
      </c>
      <c r="O50" s="169" t="str">
        <f>IF(ISNUMBER(O49),IF(O49&gt;=1,"meta atingida","abaixo da meta"),"")</f>
        <v/>
      </c>
      <c r="P50" s="169" t="str">
        <f>IF(AND(ISNUMBER(P48),ISNUMBER(P43)),IF(P43&lt;=P48,"dentro do limite","acima do limite"),"")</f>
        <v/>
      </c>
      <c r="Q50" s="169" t="str">
        <f>IF(ISNUMBER(Q49),IF(Q49&gt;=1,"meta atingida","abaixo da meta"),"")</f>
        <v/>
      </c>
      <c r="R50" s="169" t="str">
        <f>IF(ISNUMBER(R49),IF(R49&gt;=1,"meta atingida","abaixo da meta"),"")</f>
        <v/>
      </c>
      <c r="S50" s="169" t="str">
        <f>IF(AND(ISNUMBER(S48),ISNUMBER(S43)),IF(S43&lt;=S48,"dentro do limite","acima do limite"),"")</f>
        <v/>
      </c>
    </row>
    <row r="54">
      <c r="A54" s="146" t="inlineStr">
        <is>
          <t xml:space="preserve">METAS DO MÊS por indicador (edite as células amarelas; vazio = sem meta). Taxa de ocupação: meta em %.</t>
        </is>
      </c>
    </row>
    <row r="55" ht="30" customHeight="1">
      <c r="A55" s="145" t="inlineStr">
        <is>
          <t xml:space="preserve">Indicador</t>
        </is>
      </c>
      <c r="B55" s="145" t="inlineStr">
        <is>
          <t xml:space="preserve">Todos</t>
        </is>
      </c>
      <c r="C55" s="145" t="inlineStr">
        <is>
          <t xml:space="preserve">Barry Callebaut</t>
        </is>
      </c>
      <c r="D55" s="145" t="inlineStr">
        <is>
          <t xml:space="preserve">Gm</t>
        </is>
      </c>
      <c r="E55" s="145" t="inlineStr">
        <is>
          <t xml:space="preserve">Mondelez</t>
        </is>
      </c>
      <c r="F55" s="145" t="inlineStr">
        <is>
          <t xml:space="preserve">Nestlé</t>
        </is>
      </c>
      <c r="G55" s="145" t="inlineStr">
        <is>
          <t xml:space="preserve">PMB</t>
        </is>
      </c>
    </row>
    <row r="56">
      <c r="A56" s="159" t="inlineStr">
        <is>
          <t xml:space="preserve">IN · Veículos Recebidos</t>
        </is>
      </c>
      <c r="B56" s="160"/>
      <c r="C56" s="160">
        <v>150</v>
      </c>
      <c r="D56" s="160"/>
      <c r="E56" s="160"/>
      <c r="F56" s="160"/>
      <c r="G56" s="160"/>
    </row>
    <row r="57">
      <c r="A57" s="159" t="inlineStr">
        <is>
          <t xml:space="preserve">IN · Pallets Movimentados</t>
        </is>
      </c>
      <c r="B57" s="160"/>
      <c r="C57" s="160"/>
      <c r="D57" s="160"/>
      <c r="E57" s="160"/>
      <c r="F57" s="160"/>
      <c r="G57" s="160"/>
    </row>
    <row r="58">
      <c r="A58" s="159" t="inlineStr">
        <is>
          <t xml:space="preserve">IN · Toneladas Movimentadas</t>
        </is>
      </c>
      <c r="B58" s="160"/>
      <c r="C58" s="160"/>
      <c r="D58" s="160"/>
      <c r="E58" s="160"/>
      <c r="F58" s="160"/>
      <c r="G58" s="160"/>
    </row>
    <row r="59">
      <c r="A59" s="159" t="inlineStr">
        <is>
          <t xml:space="preserve">OUT · Veículos Expedidos</t>
        </is>
      </c>
      <c r="B59" s="160"/>
      <c r="C59" s="160">
        <v>200</v>
      </c>
      <c r="D59" s="160"/>
      <c r="E59" s="160"/>
      <c r="F59" s="160"/>
      <c r="G59" s="160"/>
    </row>
    <row r="60">
      <c r="A60" s="159" t="inlineStr">
        <is>
          <t xml:space="preserve">OUT · Pallets Movimentados</t>
        </is>
      </c>
      <c r="B60" s="160"/>
      <c r="C60" s="160"/>
      <c r="D60" s="160"/>
      <c r="E60" s="160"/>
      <c r="F60" s="160"/>
      <c r="G60" s="160"/>
    </row>
    <row r="61">
      <c r="A61" s="159" t="inlineStr">
        <is>
          <t xml:space="preserve">OUT · Toneladas Movimentadas</t>
        </is>
      </c>
      <c r="B61" s="160"/>
      <c r="C61" s="160"/>
      <c r="D61" s="160"/>
      <c r="E61" s="160"/>
      <c r="F61" s="160"/>
      <c r="G61" s="160"/>
    </row>
    <row r="62">
      <c r="A62" s="159" t="inlineStr">
        <is>
          <t xml:space="preserve">NC · Incidentes</t>
        </is>
      </c>
      <c r="B62" s="160"/>
      <c r="C62" s="160"/>
      <c r="D62" s="160"/>
      <c r="E62" s="160"/>
      <c r="F62" s="160"/>
      <c r="G62" s="160"/>
    </row>
    <row r="63">
      <c r="A63" s="159" t="inlineStr">
        <is>
          <t xml:space="preserve">NC · No show</t>
        </is>
      </c>
      <c r="B63" s="160"/>
      <c r="C63" s="160"/>
      <c r="D63" s="160"/>
      <c r="E63" s="160"/>
      <c r="F63" s="160"/>
      <c r="G63" s="160"/>
    </row>
    <row r="64">
      <c r="A64" s="159" t="inlineStr">
        <is>
          <t xml:space="preserve">NC · Backlog</t>
        </is>
      </c>
      <c r="B64" s="160"/>
      <c r="C64" s="160"/>
      <c r="D64" s="160"/>
      <c r="E64" s="160"/>
      <c r="F64" s="160"/>
      <c r="G64" s="160"/>
    </row>
    <row r="65">
      <c r="A65" s="159" t="inlineStr">
        <is>
          <t xml:space="preserve">OCUPAÇÃO (P.P) · Posições Disponíveis</t>
        </is>
      </c>
      <c r="B65" s="160"/>
      <c r="C65" s="160"/>
      <c r="D65" s="160"/>
      <c r="E65" s="160"/>
      <c r="F65" s="160"/>
      <c r="G65" s="160"/>
    </row>
    <row r="66">
      <c r="A66" s="159" t="inlineStr">
        <is>
          <t xml:space="preserve">OCUPAÇÃO (P.P) · Posições Ocupadas</t>
        </is>
      </c>
      <c r="B66" s="160"/>
      <c r="C66" s="160"/>
      <c r="D66" s="160"/>
      <c r="E66" s="160"/>
      <c r="F66" s="160"/>
      <c r="G66" s="160"/>
    </row>
    <row r="67">
      <c r="A67" s="159" t="inlineStr">
        <is>
          <t xml:space="preserve">OCUPAÇÃO (P.P) · Taxa de Ocupação</t>
        </is>
      </c>
      <c r="B67" s="161"/>
      <c r="C67" s="161">
        <v>0.85</v>
      </c>
      <c r="D67" s="161"/>
      <c r="E67" s="161"/>
      <c r="F67" s="161"/>
      <c r="G67" s="161"/>
    </row>
    <row r="68">
      <c r="A68" s="159" t="inlineStr">
        <is>
          <t xml:space="preserve">GENTE · Efetivo Op.</t>
        </is>
      </c>
      <c r="B68" s="160"/>
      <c r="C68" s="160"/>
      <c r="D68" s="160"/>
      <c r="E68" s="160"/>
      <c r="F68" s="160"/>
      <c r="G68" s="160"/>
    </row>
    <row r="69">
      <c r="A69" s="159" t="inlineStr">
        <is>
          <t xml:space="preserve">GENTE · Falta</t>
        </is>
      </c>
      <c r="B69" s="160"/>
      <c r="C69" s="160"/>
      <c r="D69" s="160"/>
      <c r="E69" s="160"/>
      <c r="F69" s="160"/>
      <c r="G69" s="160"/>
    </row>
    <row r="70">
      <c r="A70" s="159" t="inlineStr">
        <is>
          <t xml:space="preserve">GENTE · Folga</t>
        </is>
      </c>
      <c r="B70" s="160"/>
      <c r="C70" s="160"/>
      <c r="D70" s="160"/>
      <c r="E70" s="160"/>
      <c r="F70" s="160"/>
      <c r="G70" s="160"/>
    </row>
    <row r="71">
      <c r="A71" s="159" t="inlineStr">
        <is>
          <t xml:space="preserve">GENTE · Férias</t>
        </is>
      </c>
      <c r="B71" s="160"/>
      <c r="C71" s="160"/>
      <c r="D71" s="160"/>
      <c r="E71" s="160"/>
      <c r="F71" s="160"/>
      <c r="G71" s="160"/>
    </row>
    <row r="72">
      <c r="A72" s="159" t="inlineStr">
        <is>
          <t xml:space="preserve">GENTE · Desligamento</t>
        </is>
      </c>
      <c r="B72" s="160"/>
      <c r="C72" s="160"/>
      <c r="D72" s="160"/>
      <c r="E72" s="160"/>
      <c r="F72" s="160"/>
      <c r="G72" s="160"/>
    </row>
    <row r="75">
      <c r="A75" s="146" t="inlineStr">
        <is>
          <t xml:space="preserve">PERFIL POR DIA DA SEMANA (média dos dias com operação, métrica escolhida)</t>
        </is>
      </c>
      <c r="F75" s="146" t="inlineStr">
        <is>
          <t xml:space="preserve">TONELADAS POR SEMANA (segue o filtro de cliente)</t>
        </is>
      </c>
    </row>
    <row r="76">
      <c r="A76" s="145" t="inlineStr">
        <is>
          <t xml:space="preserve">Dia da semana</t>
        </is>
      </c>
      <c r="B76" s="145" t="inlineStr">
        <is>
          <t xml:space="preserve">Nº</t>
        </is>
      </c>
      <c r="C76" s="145" t="inlineStr">
        <is>
          <t xml:space="preserve">IN</t>
        </is>
      </c>
      <c r="D76" s="145" t="inlineStr">
        <is>
          <t xml:space="preserve">OUT</t>
        </is>
      </c>
      <c r="F76" s="145" t="inlineStr">
        <is>
          <t xml:space="preserve">Semana</t>
        </is>
      </c>
      <c r="G76" s="145" t="inlineStr">
        <is>
          <t xml:space="preserve">Do dia</t>
        </is>
      </c>
      <c r="H76" s="145" t="inlineStr">
        <is>
          <t xml:space="preserve">Ao dia</t>
        </is>
      </c>
      <c r="I76" s="145" t="inlineStr">
        <is>
          <t xml:space="preserve">IN</t>
        </is>
      </c>
      <c r="J76" s="145" t="inlineStr">
        <is>
          <t xml:space="preserve">OUT</t>
        </is>
      </c>
    </row>
    <row r="77">
      <c r="A77" s="159" t="inlineStr">
        <is>
          <t xml:space="preserve">Seg</t>
        </is>
      </c>
      <c r="B77" s="139">
        <v>1</v>
      </c>
      <c r="C77" s="157">
        <f>IFERROR(AVERAGEIFS(U12:U42,T12:T42,$B77,U12:U42,"&gt;0"),0)</f>
        <v>15.75</v>
      </c>
      <c r="D77" s="157">
        <f>IFERROR(AVERAGEIFS(V12:V42,T12:T42,$B77,V12:V42,"&gt;0"),0)</f>
        <v>31.5</v>
      </c>
      <c r="F77" s="159" t="inlineStr">
        <is>
          <t xml:space="preserve">Sem 1 (01–07)</t>
        </is>
      </c>
      <c r="G77" s="139">
        <v>1</v>
      </c>
      <c r="H77" s="139">
        <v>7</v>
      </c>
      <c r="I77" s="157">
        <f>SUMIFS(E12:E42,A12:A42,"&gt;="&amp;$G77,A12:A42,"&lt;="&amp;$H77)</f>
        <v>1869.26</v>
      </c>
      <c r="J77" s="157">
        <f>SUMIFS(H12:H42,A12:A42,"&gt;="&amp;$G77,A12:A42,"&lt;="&amp;$H77)</f>
        <v>2403.75</v>
      </c>
    </row>
    <row r="78">
      <c r="A78" s="159" t="inlineStr">
        <is>
          <t xml:space="preserve">Ter</t>
        </is>
      </c>
      <c r="B78" s="139">
        <v>2</v>
      </c>
      <c r="C78" s="157">
        <f>IFERROR(AVERAGEIFS(U12:U42,T12:T42,$B78,U12:U42,"&gt;0"),0)</f>
        <v>19.8</v>
      </c>
      <c r="D78" s="157">
        <f>IFERROR(AVERAGEIFS(V12:V42,T12:T42,$B78,V12:V42,"&gt;0"),0)</f>
        <v>25.6</v>
      </c>
      <c r="F78" s="159" t="inlineStr">
        <is>
          <t xml:space="preserve">Sem 2 (08–14)</t>
        </is>
      </c>
      <c r="G78" s="139">
        <v>8</v>
      </c>
      <c r="H78" s="139">
        <v>14</v>
      </c>
      <c r="I78" s="157">
        <f>SUMIFS(E12:E42,A12:A42,"&gt;="&amp;$G78,A12:A42,"&lt;="&amp;$H78)</f>
        <v>2196.65</v>
      </c>
      <c r="J78" s="157">
        <f>SUMIFS(H12:H42,A12:A42,"&gt;="&amp;$G78,A12:A42,"&lt;="&amp;$H78)</f>
        <v>2857.7</v>
      </c>
    </row>
    <row r="79">
      <c r="A79" s="159" t="inlineStr">
        <is>
          <t xml:space="preserve">Qua</t>
        </is>
      </c>
      <c r="B79" s="139">
        <v>3</v>
      </c>
      <c r="C79" s="157">
        <f>IFERROR(AVERAGEIFS(U12:U42,T12:T42,$B79,U12:U42,"&gt;0"),0)</f>
        <v>21.75</v>
      </c>
      <c r="D79" s="157">
        <f>IFERROR(AVERAGEIFS(V12:V42,T12:T42,$B79,V12:V42,"&gt;0"),0)</f>
        <v>25</v>
      </c>
      <c r="F79" s="159" t="inlineStr">
        <is>
          <t xml:space="preserve">Sem 3 (15–21)</t>
        </is>
      </c>
      <c r="G79" s="139">
        <v>15</v>
      </c>
      <c r="H79" s="139">
        <v>21</v>
      </c>
      <c r="I79" s="157">
        <f>SUMIFS(E12:E42,A12:A42,"&gt;="&amp;$G79,A12:A42,"&lt;="&amp;$H79)</f>
        <v>1290.73</v>
      </c>
      <c r="J79" s="157">
        <f>SUMIFS(H12:H42,A12:A42,"&gt;="&amp;$G79,A12:A42,"&lt;="&amp;$H79)</f>
        <v>1297.46</v>
      </c>
    </row>
    <row r="80">
      <c r="A80" s="159" t="inlineStr">
        <is>
          <t xml:space="preserve">Qui</t>
        </is>
      </c>
      <c r="B80" s="139">
        <v>4</v>
      </c>
      <c r="C80" s="157">
        <f>IFERROR(AVERAGEIFS(U12:U42,T12:T42,$B80,U12:U42,"&gt;0"),0)</f>
        <v>25</v>
      </c>
      <c r="D80" s="157">
        <f>IFERROR(AVERAGEIFS(V12:V42,T12:T42,$B80,V12:V42,"&gt;0"),0)</f>
        <v>26.75</v>
      </c>
      <c r="F80" s="159" t="inlineStr">
        <is>
          <t xml:space="preserve">Sem 4 (22–28)</t>
        </is>
      </c>
      <c r="G80" s="139">
        <v>22</v>
      </c>
      <c r="H80" s="139">
        <v>28</v>
      </c>
      <c r="I80" s="157">
        <f>SUMIFS(E12:E42,A12:A42,"&gt;="&amp;$G80,A12:A42,"&lt;="&amp;$H80)</f>
        <v>1789.19</v>
      </c>
      <c r="J80" s="157">
        <f>SUMIFS(H12:H42,A12:A42,"&gt;="&amp;$G80,A12:A42,"&lt;="&amp;$H80)</f>
        <v>1666.14</v>
      </c>
    </row>
    <row r="81">
      <c r="A81" s="159" t="inlineStr">
        <is>
          <t xml:space="preserve">Sex</t>
        </is>
      </c>
      <c r="B81" s="139">
        <v>5</v>
      </c>
      <c r="C81" s="157">
        <f>IFERROR(AVERAGEIFS(U12:U42,T12:T42,$B81,U12:U42,"&gt;0"),0)</f>
        <v>22.5</v>
      </c>
      <c r="D81" s="157">
        <f>IFERROR(AVERAGEIFS(V12:V42,T12:T42,$B81,V12:V42,"&gt;0"),0)</f>
        <v>37.25</v>
      </c>
      <c r="F81" s="159" t="str">
        <f>IF(DAY($D$7)&lt;29,"Sem 5 (—)","Sem 5 (29–"&amp;DAY($D$7)&amp;")")</f>
        <v>Sem 5 (29–30)</v>
      </c>
      <c r="G81" s="139">
        <v>29</v>
      </c>
      <c r="H81" s="139">
        <f>DAY($D$7)</f>
        <v>30</v>
      </c>
      <c r="I81" s="157">
        <f>SUMIFS(E12:E42,A12:A42,"&gt;="&amp;$G81,A12:A42,"&lt;="&amp;$H81)</f>
        <v>227.51</v>
      </c>
      <c r="J81" s="157">
        <f>SUMIFS(H12:H42,A12:A42,"&gt;="&amp;$G81,A12:A42,"&lt;="&amp;$H81)</f>
        <v>168.46</v>
      </c>
    </row>
    <row r="82">
      <c r="A82" s="159" t="inlineStr">
        <is>
          <t xml:space="preserve">Sáb</t>
        </is>
      </c>
      <c r="B82" s="139">
        <v>6</v>
      </c>
      <c r="C82" s="157">
        <f>IFERROR(AVERAGEIFS(U12:U42,T12:T42,$B82,U12:U42,"&gt;0"),0)</f>
        <v>3.5</v>
      </c>
      <c r="D82" s="157">
        <f>IFERROR(AVERAGEIFS(V12:V42,T12:T42,$B82,V12:V42,"&gt;0"),0)</f>
        <v>12</v>
      </c>
    </row>
    <row r="83">
      <c r="A83" s="159" t="inlineStr">
        <is>
          <t xml:space="preserve">Dom</t>
        </is>
      </c>
      <c r="B83" s="139">
        <v>7</v>
      </c>
      <c r="C83" s="157">
        <f>IFERROR(AVERAGEIFS(U12:U42,T12:T42,$B83,U12:U42,"&gt;0"),0)</f>
        <v>4</v>
      </c>
      <c r="D83" s="157">
        <f>IFERROR(AVERAGEIFS(V12:V42,T12:T42,$B83,V12:V42,"&gt;0"),0)</f>
        <v>14</v>
      </c>
    </row>
    <row r="86">
      <c r="A86" s="146" t="inlineStr">
        <is>
          <t xml:space="preserve">POR CLIENTE — mês inteiro (todos os clientes, independe do filtro). Estoque = último dado do mês.</t>
        </is>
      </c>
    </row>
    <row r="87" ht="30" customHeight="1">
      <c r="A87" s="145" t="inlineStr">
        <is>
          <t xml:space="preserve">Indicador</t>
        </is>
      </c>
      <c r="B87" s="145" t="inlineStr">
        <is>
          <t xml:space="preserve">Barry Callebaut</t>
        </is>
      </c>
      <c r="C87" s="145" t="inlineStr">
        <is>
          <t xml:space="preserve">PMB</t>
        </is>
      </c>
      <c r="D87" s="145" t="inlineStr">
        <is>
          <t xml:space="preserve">Nestlé</t>
        </is>
      </c>
      <c r="E87" s="145" t="inlineStr">
        <is>
          <t xml:space="preserve">Mondelez</t>
        </is>
      </c>
      <c r="F87" s="145" t="inlineStr">
        <is>
          <t xml:space="preserve">Gm</t>
        </is>
      </c>
      <c r="G87" s="145" t="inlineStr">
        <is>
          <t xml:space="preserve">TOTAL CD</t>
        </is>
      </c>
    </row>
    <row r="88">
      <c r="A88" s="159" t="inlineStr">
        <is>
          <t xml:space="preserve">IN · Veículos Recebidos</t>
        </is>
      </c>
      <c r="B88" s="153">
        <f>SUMIFS(Base!$C$3:$C$5001,Base!$B$3:$B$5001,B$87,Base!$A$3:$A$5001,"&gt;="&amp;$C$7,Base!$A$3:$A$5001,"&lt;="&amp;$D$7)</f>
        <v>84</v>
      </c>
      <c r="C88" s="153">
        <f>SUMIFS(Base!$C$3:$C$5001,Base!$B$3:$B$5001,C$87,Base!$A$3:$A$5001,"&gt;="&amp;$C$7,Base!$A$3:$A$5001,"&lt;="&amp;$D$7)</f>
        <v>102</v>
      </c>
      <c r="D88" s="153">
        <f>SUMIFS(Base!$C$3:$C$5001,Base!$B$3:$B$5001,D$87,Base!$A$3:$A$5001,"&gt;="&amp;$C$7,Base!$A$3:$A$5001,"&lt;="&amp;$D$7)</f>
        <v>104</v>
      </c>
      <c r="E88" s="153">
        <f>SUMIFS(Base!$C$3:$C$5001,Base!$B$3:$B$5001,E$87,Base!$A$3:$A$5001,"&gt;="&amp;$C$7,Base!$A$3:$A$5001,"&lt;="&amp;$D$7)</f>
        <v>88</v>
      </c>
      <c r="F88" s="153">
        <f>SUMIFS(Base!$C$3:$C$5001,Base!$B$3:$B$5001,F$87,Base!$A$3:$A$5001,"&gt;="&amp;$C$7,Base!$A$3:$A$5001,"&lt;="&amp;$D$7)</f>
        <v>80</v>
      </c>
      <c r="G88" s="172">
        <f>SUM(B88:F88)</f>
        <v>458</v>
      </c>
    </row>
    <row r="89">
      <c r="A89" s="159" t="inlineStr">
        <is>
          <t xml:space="preserve">IN · Pallets Movimentados</t>
        </is>
      </c>
      <c r="B89" s="153">
        <f>SUMIFS(Base!$D$3:$D$5001,Base!$B$3:$B$5001,B$87,Base!$A$3:$A$5001,"&gt;="&amp;$C$7,Base!$A$3:$A$5001,"&lt;="&amp;$D$7)</f>
        <v>1960</v>
      </c>
      <c r="C89" s="153">
        <f>SUMIFS(Base!$D$3:$D$5001,Base!$B$3:$B$5001,C$87,Base!$A$3:$A$5001,"&gt;="&amp;$C$7,Base!$A$3:$A$5001,"&lt;="&amp;$D$7)</f>
        <v>2417</v>
      </c>
      <c r="D89" s="153">
        <f>SUMIFS(Base!$D$3:$D$5001,Base!$B$3:$B$5001,D$87,Base!$A$3:$A$5001,"&gt;="&amp;$C$7,Base!$A$3:$A$5001,"&lt;="&amp;$D$7)</f>
        <v>2547</v>
      </c>
      <c r="E89" s="153">
        <f>SUMIFS(Base!$D$3:$D$5001,Base!$B$3:$B$5001,E$87,Base!$A$3:$A$5001,"&gt;="&amp;$C$7,Base!$A$3:$A$5001,"&lt;="&amp;$D$7)</f>
        <v>2131</v>
      </c>
      <c r="F89" s="153">
        <f>SUMIFS(Base!$D$3:$D$5001,Base!$B$3:$B$5001,F$87,Base!$A$3:$A$5001,"&gt;="&amp;$C$7,Base!$A$3:$A$5001,"&lt;="&amp;$D$7)</f>
        <v>1902</v>
      </c>
      <c r="G89" s="172">
        <f>SUM(B89:F89)</f>
        <v>10957</v>
      </c>
    </row>
    <row r="90">
      <c r="A90" s="159" t="inlineStr">
        <is>
          <t xml:space="preserve">IN · Toneladas Movimentadas</t>
        </is>
      </c>
      <c r="B90" s="157">
        <f>SUMIFS(Base!$E$3:$E$5001,Base!$B$3:$B$5001,B$87,Base!$A$3:$A$5001,"&gt;="&amp;$C$7,Base!$A$3:$A$5001,"&lt;="&amp;$D$7)</f>
        <v>1445.28</v>
      </c>
      <c r="C90" s="157">
        <f>SUMIFS(Base!$E$3:$E$5001,Base!$B$3:$B$5001,C$87,Base!$A$3:$A$5001,"&gt;="&amp;$C$7,Base!$A$3:$A$5001,"&lt;="&amp;$D$7)</f>
        <v>1557.8</v>
      </c>
      <c r="D90" s="157">
        <f>SUMIFS(Base!$E$3:$E$5001,Base!$B$3:$B$5001,D$87,Base!$A$3:$A$5001,"&gt;="&amp;$C$7,Base!$A$3:$A$5001,"&lt;="&amp;$D$7)</f>
        <v>1592.76</v>
      </c>
      <c r="E90" s="157">
        <f>SUMIFS(Base!$E$3:$E$5001,Base!$B$3:$B$5001,E$87,Base!$A$3:$A$5001,"&gt;="&amp;$C$7,Base!$A$3:$A$5001,"&lt;="&amp;$D$7)</f>
        <v>1409.33</v>
      </c>
      <c r="F90" s="157">
        <f>SUMIFS(Base!$E$3:$E$5001,Base!$B$3:$B$5001,F$87,Base!$A$3:$A$5001,"&gt;="&amp;$C$7,Base!$A$3:$A$5001,"&lt;="&amp;$D$7)</f>
        <v>1368.17</v>
      </c>
      <c r="G90" s="173">
        <f>SUM(B90:F90)</f>
        <v>7373.34</v>
      </c>
    </row>
    <row r="91">
      <c r="A91" s="159" t="inlineStr">
        <is>
          <t xml:space="preserve">OUT · Veículos Expedidos</t>
        </is>
      </c>
      <c r="B91" s="153">
        <f>SUMIFS(Base!$F$3:$F$5001,Base!$B$3:$B$5001,B$87,Base!$A$3:$A$5001,"&gt;="&amp;$C$7,Base!$A$3:$A$5001,"&lt;="&amp;$D$7)</f>
        <v>205</v>
      </c>
      <c r="C91" s="153">
        <f>SUMIFS(Base!$F$3:$F$5001,Base!$B$3:$B$5001,C$87,Base!$A$3:$A$5001,"&gt;="&amp;$C$7,Base!$A$3:$A$5001,"&lt;="&amp;$D$7)</f>
        <v>141</v>
      </c>
      <c r="D91" s="153">
        <f>SUMIFS(Base!$F$3:$F$5001,Base!$B$3:$B$5001,D$87,Base!$A$3:$A$5001,"&gt;="&amp;$C$7,Base!$A$3:$A$5001,"&lt;="&amp;$D$7)</f>
        <v>130</v>
      </c>
      <c r="E91" s="153">
        <f>SUMIFS(Base!$F$3:$F$5001,Base!$B$3:$B$5001,E$87,Base!$A$3:$A$5001,"&gt;="&amp;$C$7,Base!$A$3:$A$5001,"&lt;="&amp;$D$7)</f>
        <v>140</v>
      </c>
      <c r="F91" s="153">
        <f>SUMIFS(Base!$F$3:$F$5001,Base!$B$3:$B$5001,F$87,Base!$A$3:$A$5001,"&gt;="&amp;$C$7,Base!$A$3:$A$5001,"&lt;="&amp;$D$7)</f>
        <v>86</v>
      </c>
      <c r="G91" s="172">
        <f>SUM(B91:F91)</f>
        <v>702</v>
      </c>
    </row>
    <row r="92">
      <c r="A92" s="159" t="inlineStr">
        <is>
          <t xml:space="preserve">OUT · Pallets Movimentados</t>
        </is>
      </c>
      <c r="B92" s="153">
        <f>SUMIFS(Base!$G$3:$G$5001,Base!$B$3:$B$5001,B$87,Base!$A$3:$A$5001,"&gt;="&amp;$C$7,Base!$A$3:$A$5001,"&lt;="&amp;$D$7)</f>
        <v>3690</v>
      </c>
      <c r="C92" s="153">
        <f>SUMIFS(Base!$G$3:$G$5001,Base!$B$3:$B$5001,C$87,Base!$A$3:$A$5001,"&gt;="&amp;$C$7,Base!$A$3:$A$5001,"&lt;="&amp;$D$7)</f>
        <v>2538</v>
      </c>
      <c r="D92" s="153">
        <f>SUMIFS(Base!$G$3:$G$5001,Base!$B$3:$B$5001,D$87,Base!$A$3:$A$5001,"&gt;="&amp;$C$7,Base!$A$3:$A$5001,"&lt;="&amp;$D$7)</f>
        <v>2340</v>
      </c>
      <c r="E92" s="153">
        <f>SUMIFS(Base!$G$3:$G$5001,Base!$B$3:$B$5001,E$87,Base!$A$3:$A$5001,"&gt;="&amp;$C$7,Base!$A$3:$A$5001,"&lt;="&amp;$D$7)</f>
        <v>2520</v>
      </c>
      <c r="F92" s="153">
        <f>SUMIFS(Base!$G$3:$G$5001,Base!$B$3:$B$5001,F$87,Base!$A$3:$A$5001,"&gt;="&amp;$C$7,Base!$A$3:$A$5001,"&lt;="&amp;$D$7)</f>
        <v>1548</v>
      </c>
      <c r="G92" s="172">
        <f>SUM(B92:F92)</f>
        <v>12636</v>
      </c>
    </row>
    <row r="93">
      <c r="A93" s="159" t="inlineStr">
        <is>
          <t xml:space="preserve">OUT · Toneladas Movimentadas</t>
        </is>
      </c>
      <c r="B93" s="157">
        <f>SUMIFS(Base!$H$3:$H$5001,Base!$B$3:$B$5001,B$87,Base!$A$3:$A$5001,"&gt;="&amp;$C$7,Base!$A$3:$A$5001,"&lt;="&amp;$D$7)</f>
        <v>2495.13</v>
      </c>
      <c r="C93" s="157">
        <f>SUMIFS(Base!$H$3:$H$5001,Base!$B$3:$B$5001,C$87,Base!$A$3:$A$5001,"&gt;="&amp;$C$7,Base!$A$3:$A$5001,"&lt;="&amp;$D$7)</f>
        <v>1592.22</v>
      </c>
      <c r="D93" s="157">
        <f>SUMIFS(Base!$H$3:$H$5001,Base!$B$3:$B$5001,D$87,Base!$A$3:$A$5001,"&gt;="&amp;$C$7,Base!$A$3:$A$5001,"&lt;="&amp;$D$7)</f>
        <v>1318.34</v>
      </c>
      <c r="E93" s="157">
        <f>SUMIFS(Base!$H$3:$H$5001,Base!$B$3:$B$5001,E$87,Base!$A$3:$A$5001,"&gt;="&amp;$C$7,Base!$A$3:$A$5001,"&lt;="&amp;$D$7)</f>
        <v>1864.14</v>
      </c>
      <c r="F93" s="157">
        <f>SUMIFS(Base!$H$3:$H$5001,Base!$B$3:$B$5001,F$87,Base!$A$3:$A$5001,"&gt;="&amp;$C$7,Base!$A$3:$A$5001,"&lt;="&amp;$D$7)</f>
        <v>1123.68</v>
      </c>
      <c r="G93" s="173">
        <f>SUM(B93:F93)</f>
        <v>8393.51</v>
      </c>
    </row>
    <row r="94">
      <c r="A94" s="159" t="inlineStr">
        <is>
          <t xml:space="preserve">NC · Incidentes</t>
        </is>
      </c>
      <c r="B94" s="153">
        <f>SUMIFS(Base!$I$3:$I$5001,Base!$B$3:$B$5001,B$87,Base!$A$3:$A$5001,"&gt;="&amp;$C$7,Base!$A$3:$A$5001,"&lt;="&amp;$D$7)</f>
        <v>2</v>
      </c>
      <c r="C94" s="153">
        <f>SUMIFS(Base!$I$3:$I$5001,Base!$B$3:$B$5001,C$87,Base!$A$3:$A$5001,"&gt;="&amp;$C$7,Base!$A$3:$A$5001,"&lt;="&amp;$D$7)</f>
        <v>2</v>
      </c>
      <c r="D94" s="153">
        <f>SUMIFS(Base!$I$3:$I$5001,Base!$B$3:$B$5001,D$87,Base!$A$3:$A$5001,"&gt;="&amp;$C$7,Base!$A$3:$A$5001,"&lt;="&amp;$D$7)</f>
        <v>5</v>
      </c>
      <c r="E94" s="153">
        <f>SUMIFS(Base!$I$3:$I$5001,Base!$B$3:$B$5001,E$87,Base!$A$3:$A$5001,"&gt;="&amp;$C$7,Base!$A$3:$A$5001,"&lt;="&amp;$D$7)</f>
        <v>1</v>
      </c>
      <c r="F94" s="153">
        <f>SUMIFS(Base!$I$3:$I$5001,Base!$B$3:$B$5001,F$87,Base!$A$3:$A$5001,"&gt;="&amp;$C$7,Base!$A$3:$A$5001,"&lt;="&amp;$D$7)</f>
        <v>1</v>
      </c>
      <c r="G94" s="172">
        <f>SUM(B94:F94)</f>
        <v>11</v>
      </c>
    </row>
    <row r="95">
      <c r="A95" s="159" t="inlineStr">
        <is>
          <t xml:space="preserve">NC · No show</t>
        </is>
      </c>
      <c r="B95" s="153">
        <f>SUMIFS(Base!$J$3:$J$5001,Base!$B$3:$B$5001,B$87,Base!$A$3:$A$5001,"&gt;="&amp;$C$7,Base!$A$3:$A$5001,"&lt;="&amp;$D$7)</f>
        <v>0</v>
      </c>
      <c r="C95" s="153">
        <f>SUMIFS(Base!$J$3:$J$5001,Base!$B$3:$B$5001,C$87,Base!$A$3:$A$5001,"&gt;="&amp;$C$7,Base!$A$3:$A$5001,"&lt;="&amp;$D$7)</f>
        <v>0</v>
      </c>
      <c r="D95" s="153">
        <f>SUMIFS(Base!$J$3:$J$5001,Base!$B$3:$B$5001,D$87,Base!$A$3:$A$5001,"&gt;="&amp;$C$7,Base!$A$3:$A$5001,"&lt;="&amp;$D$7)</f>
        <v>0</v>
      </c>
      <c r="E95" s="153">
        <f>SUMIFS(Base!$J$3:$J$5001,Base!$B$3:$B$5001,E$87,Base!$A$3:$A$5001,"&gt;="&amp;$C$7,Base!$A$3:$A$5001,"&lt;="&amp;$D$7)</f>
        <v>0</v>
      </c>
      <c r="F95" s="153">
        <f>SUMIFS(Base!$J$3:$J$5001,Base!$B$3:$B$5001,F$87,Base!$A$3:$A$5001,"&gt;="&amp;$C$7,Base!$A$3:$A$5001,"&lt;="&amp;$D$7)</f>
        <v>0</v>
      </c>
      <c r="G95" s="172">
        <f>SUM(B95:F95)</f>
        <v>0</v>
      </c>
    </row>
    <row r="96">
      <c r="A96" s="159" t="inlineStr">
        <is>
          <t xml:space="preserve">NC · Backlog</t>
        </is>
      </c>
      <c r="B96" s="153" t="str">
        <f>IF(COUNTIFS(Base!$B$3:$B$5001,B$87,Base!$A$3:$A$5001,"&gt;="&amp;$C$7,Base!$A$3:$A$5001,"&lt;="&amp;$D$7,Base!$K$3:$K$5001,"&lt;&gt;")=0,"",SUMIFS(Base!$K$3:$K$5001,Base!$B$3:$B$5001,B$87,Base!$A$3:$A$5001,_xlfn.MAXIFS(Base!$A$3:$A$5001,Base!$B$3:$B$5001,B$87,Base!$A$3:$A$5001,"&gt;="&amp;$C$7,Base!$A$3:$A$5001,"&lt;="&amp;$D$7,Base!$K$3:$K$5001,"&lt;&gt;")))</f>
        <v/>
      </c>
      <c r="C96" s="153" t="str">
        <f>IF(COUNTIFS(Base!$B$3:$B$5001,C$87,Base!$A$3:$A$5001,"&gt;="&amp;$C$7,Base!$A$3:$A$5001,"&lt;="&amp;$D$7,Base!$K$3:$K$5001,"&lt;&gt;")=0,"",SUMIFS(Base!$K$3:$K$5001,Base!$B$3:$B$5001,C$87,Base!$A$3:$A$5001,_xlfn.MAXIFS(Base!$A$3:$A$5001,Base!$B$3:$B$5001,C$87,Base!$A$3:$A$5001,"&gt;="&amp;$C$7,Base!$A$3:$A$5001,"&lt;="&amp;$D$7,Base!$K$3:$K$5001,"&lt;&gt;")))</f>
        <v/>
      </c>
      <c r="D96" s="153" t="str">
        <f>IF(COUNTIFS(Base!$B$3:$B$5001,D$87,Base!$A$3:$A$5001,"&gt;="&amp;$C$7,Base!$A$3:$A$5001,"&lt;="&amp;$D$7,Base!$K$3:$K$5001,"&lt;&gt;")=0,"",SUMIFS(Base!$K$3:$K$5001,Base!$B$3:$B$5001,D$87,Base!$A$3:$A$5001,_xlfn.MAXIFS(Base!$A$3:$A$5001,Base!$B$3:$B$5001,D$87,Base!$A$3:$A$5001,"&gt;="&amp;$C$7,Base!$A$3:$A$5001,"&lt;="&amp;$D$7,Base!$K$3:$K$5001,"&lt;&gt;")))</f>
        <v/>
      </c>
      <c r="E96" s="153" t="str">
        <f>IF(COUNTIFS(Base!$B$3:$B$5001,E$87,Base!$A$3:$A$5001,"&gt;="&amp;$C$7,Base!$A$3:$A$5001,"&lt;="&amp;$D$7,Base!$K$3:$K$5001,"&lt;&gt;")=0,"",SUMIFS(Base!$K$3:$K$5001,Base!$B$3:$B$5001,E$87,Base!$A$3:$A$5001,_xlfn.MAXIFS(Base!$A$3:$A$5001,Base!$B$3:$B$5001,E$87,Base!$A$3:$A$5001,"&gt;="&amp;$C$7,Base!$A$3:$A$5001,"&lt;="&amp;$D$7,Base!$K$3:$K$5001,"&lt;&gt;")))</f>
        <v/>
      </c>
      <c r="F96" s="153" t="str">
        <f>IF(COUNTIFS(Base!$B$3:$B$5001,F$87,Base!$A$3:$A$5001,"&gt;="&amp;$C$7,Base!$A$3:$A$5001,"&lt;="&amp;$D$7,Base!$K$3:$K$5001,"&lt;&gt;")=0,"",SUMIFS(Base!$K$3:$K$5001,Base!$B$3:$B$5001,F$87,Base!$A$3:$A$5001,_xlfn.MAXIFS(Base!$A$3:$A$5001,Base!$B$3:$B$5001,F$87,Base!$A$3:$A$5001,"&gt;="&amp;$C$7,Base!$A$3:$A$5001,"&lt;="&amp;$D$7,Base!$K$3:$K$5001,"&lt;&gt;")))</f>
        <v/>
      </c>
      <c r="G96" s="172">
        <f>SUM(B96:F96)</f>
        <v>0</v>
      </c>
    </row>
    <row r="97">
      <c r="A97" s="159" t="inlineStr">
        <is>
          <t xml:space="preserve">OCUPAÇÃO (P.P) · Posições Disponíveis</t>
        </is>
      </c>
      <c r="B97" s="153">
        <f>IF(COUNTIFS(Base!$B$3:$B$5001,B$87,Base!$A$3:$A$5001,"&gt;="&amp;$C$7,Base!$A$3:$A$5001,"&lt;="&amp;$D$7,Base!$M$3:$M$5001,"&lt;&gt;")=0,"",SUMIFS(Base!$L$3:$L$5001,Base!$B$3:$B$5001,B$87,Base!$A$3:$A$5001,_xlfn.MAXIFS(Base!$A$3:$A$5001,Base!$B$3:$B$5001,B$87,Base!$A$3:$A$5001,"&gt;="&amp;$C$7,Base!$A$3:$A$5001,"&lt;="&amp;$D$7,Base!$M$3:$M$5001,"&lt;&gt;")))</f>
        <v>1950</v>
      </c>
      <c r="C97" s="153" t="inlineStr">
        <is>
          <t xml:space="preserve">Cross</t>
        </is>
      </c>
      <c r="D97" s="153">
        <f>IF(COUNTIFS(Base!$B$3:$B$5001,D$87,Base!$A$3:$A$5001,"&gt;="&amp;$C$7,Base!$A$3:$A$5001,"&lt;="&amp;$D$7,Base!$M$3:$M$5001,"&lt;&gt;")=0,"",SUMIFS(Base!$L$3:$L$5001,Base!$B$3:$B$5001,D$87,Base!$A$3:$A$5001,_xlfn.MAXIFS(Base!$A$3:$A$5001,Base!$B$3:$B$5001,D$87,Base!$A$3:$A$5001,"&gt;="&amp;$C$7,Base!$A$3:$A$5001,"&lt;="&amp;$D$7,Base!$M$3:$M$5001,"&lt;&gt;")))</f>
        <v>1400</v>
      </c>
      <c r="E97" s="153" t="inlineStr">
        <is>
          <t xml:space="preserve">Spot</t>
        </is>
      </c>
      <c r="F97" s="153">
        <f>IF(COUNTIFS(Base!$B$3:$B$5001,F$87,Base!$A$3:$A$5001,"&gt;="&amp;$C$7,Base!$A$3:$A$5001,"&lt;="&amp;$D$7,Base!$M$3:$M$5001,"&lt;&gt;")=0,"",SUMIFS(Base!$L$3:$L$5001,Base!$B$3:$B$5001,F$87,Base!$A$3:$A$5001,_xlfn.MAXIFS(Base!$A$3:$A$5001,Base!$B$3:$B$5001,F$87,Base!$A$3:$A$5001,"&gt;="&amp;$C$7,Base!$A$3:$A$5001,"&lt;="&amp;$D$7,Base!$M$3:$M$5001,"&lt;&gt;")))</f>
        <v>800</v>
      </c>
      <c r="G97" s="172">
        <f>$B$4</f>
        <v>5872</v>
      </c>
    </row>
    <row r="98">
      <c r="A98" s="159" t="inlineStr">
        <is>
          <t xml:space="preserve">OCUPAÇÃO (P.P) · Posições Ocupadas</t>
        </is>
      </c>
      <c r="B98" s="153">
        <f>IF(COUNTIFS(Base!$B$3:$B$5001,B$87,Base!$A$3:$A$5001,"&gt;="&amp;$C$7,Base!$A$3:$A$5001,"&lt;="&amp;$D$7,Base!$M$3:$M$5001,"&lt;&gt;")=0,"",SUMIFS(Base!$M$3:$M$5001,Base!$B$3:$B$5001,B$87,Base!$A$3:$A$5001,_xlfn.MAXIFS(Base!$A$3:$A$5001,Base!$B$3:$B$5001,B$87,Base!$A$3:$A$5001,"&gt;="&amp;$C$7,Base!$A$3:$A$5001,"&lt;="&amp;$D$7,Base!$M$3:$M$5001,"&lt;&gt;")))</f>
        <v>1872</v>
      </c>
      <c r="C98" s="153">
        <f>IF(COUNTIFS(Base!$B$3:$B$5001,C$87,Base!$A$3:$A$5001,"&gt;="&amp;$C$7,Base!$A$3:$A$5001,"&lt;="&amp;$D$7,Base!$M$3:$M$5001,"&lt;&gt;")=0,"",SUMIFS(Base!$M$3:$M$5001,Base!$B$3:$B$5001,C$87,Base!$A$3:$A$5001,_xlfn.MAXIFS(Base!$A$3:$A$5001,Base!$B$3:$B$5001,C$87,Base!$A$3:$A$5001,"&gt;="&amp;$C$7,Base!$A$3:$A$5001,"&lt;="&amp;$D$7,Base!$M$3:$M$5001,"&lt;&gt;")))</f>
        <v>221</v>
      </c>
      <c r="D98" s="153">
        <f>IF(COUNTIFS(Base!$B$3:$B$5001,D$87,Base!$A$3:$A$5001,"&gt;="&amp;$C$7,Base!$A$3:$A$5001,"&lt;="&amp;$D$7,Base!$M$3:$M$5001,"&lt;&gt;")=0,"",SUMIFS(Base!$M$3:$M$5001,Base!$B$3:$B$5001,D$87,Base!$A$3:$A$5001,_xlfn.MAXIFS(Base!$A$3:$A$5001,Base!$B$3:$B$5001,D$87,Base!$A$3:$A$5001,"&gt;="&amp;$C$7,Base!$A$3:$A$5001,"&lt;="&amp;$D$7,Base!$M$3:$M$5001,"&lt;&gt;")))</f>
        <v>1196</v>
      </c>
      <c r="E98" s="153">
        <f>IF(COUNTIFS(Base!$B$3:$B$5001,E$87,Base!$A$3:$A$5001,"&gt;="&amp;$C$7,Base!$A$3:$A$5001,"&lt;="&amp;$D$7,Base!$M$3:$M$5001,"&lt;&gt;")=0,"",SUMIFS(Base!$M$3:$M$5001,Base!$B$3:$B$5001,E$87,Base!$A$3:$A$5001,_xlfn.MAXIFS(Base!$A$3:$A$5001,Base!$B$3:$B$5001,E$87,Base!$A$3:$A$5001,"&gt;="&amp;$C$7,Base!$A$3:$A$5001,"&lt;="&amp;$D$7,Base!$M$3:$M$5001,"&lt;&gt;")))</f>
        <v>373</v>
      </c>
      <c r="F98" s="153">
        <f>IF(COUNTIFS(Base!$B$3:$B$5001,F$87,Base!$A$3:$A$5001,"&gt;="&amp;$C$7,Base!$A$3:$A$5001,"&lt;="&amp;$D$7,Base!$M$3:$M$5001,"&lt;&gt;")=0,"",SUMIFS(Base!$M$3:$M$5001,Base!$B$3:$B$5001,F$87,Base!$A$3:$A$5001,_xlfn.MAXIFS(Base!$A$3:$A$5001,Base!$B$3:$B$5001,F$87,Base!$A$3:$A$5001,"&gt;="&amp;$C$7,Base!$A$3:$A$5001,"&lt;="&amp;$D$7,Base!$M$3:$M$5001,"&lt;&gt;")))</f>
        <v>565</v>
      </c>
      <c r="G98" s="172">
        <f>SUM(B98:F98)</f>
        <v>4227</v>
      </c>
    </row>
    <row r="99">
      <c r="A99" s="159" t="inlineStr">
        <is>
          <t xml:space="preserve">OCUPAÇÃO (P.P) · Taxa de Ocupação</t>
        </is>
      </c>
      <c r="B99" s="158">
        <f>IF(AND(ISNUMBER(B98),ISNUMBER(B97)),IF(B97&gt;0,B98/B97,""),"")</f>
        <v>0.96</v>
      </c>
      <c r="C99" s="158" t="str">
        <f>IF(AND(ISNUMBER(C98),ISNUMBER(C97)),IF(C97&gt;0,C98/C97,""),"")</f>
        <v/>
      </c>
      <c r="D99" s="158">
        <f>IF(AND(ISNUMBER(D98),ISNUMBER(D97)),IF(D97&gt;0,D98/D97,""),"")</f>
        <v>0.854285714285714</v>
      </c>
      <c r="E99" s="158" t="str">
        <f>IF(AND(ISNUMBER(E98),ISNUMBER(E97)),IF(E97&gt;0,E98/E97,""),"")</f>
        <v/>
      </c>
      <c r="F99" s="158">
        <f>IF(AND(ISNUMBER(F98),ISNUMBER(F97)),IF(F97&gt;0,F98/F97,""),"")</f>
        <v>0.70625</v>
      </c>
      <c r="G99" s="174">
        <f>IFERROR(G98/$B$4,"")</f>
        <v>0.719856948228883</v>
      </c>
    </row>
    <row r="100">
      <c r="A100" s="159" t="inlineStr">
        <is>
          <t xml:space="preserve">GENTE · Efetivo Op.</t>
        </is>
      </c>
      <c r="B100" s="153">
        <f>IF(COUNTIFS(Base!$B$3:$B$5001,B$87,Base!$A$3:$A$5001,"&gt;="&amp;$C$7,Base!$A$3:$A$5001,"&lt;="&amp;$D$7,Base!$N$3:$N$5001,"&lt;&gt;")=0,"",SUMIFS(Base!$N$3:$N$5001,Base!$B$3:$B$5001,B$87,Base!$A$3:$A$5001,_xlfn.MAXIFS(Base!$A$3:$A$5001,Base!$B$3:$B$5001,B$87,Base!$A$3:$A$5001,"&gt;="&amp;$C$7,Base!$A$3:$A$5001,"&lt;="&amp;$D$7,Base!$N$3:$N$5001,"&lt;&gt;")))</f>
        <v>5</v>
      </c>
      <c r="C100" s="153">
        <f>IF(COUNTIFS(Base!$B$3:$B$5001,C$87,Base!$A$3:$A$5001,"&gt;="&amp;$C$7,Base!$A$3:$A$5001,"&lt;="&amp;$D$7,Base!$N$3:$N$5001,"&lt;&gt;")=0,"",SUMIFS(Base!$N$3:$N$5001,Base!$B$3:$B$5001,C$87,Base!$A$3:$A$5001,_xlfn.MAXIFS(Base!$A$3:$A$5001,Base!$B$3:$B$5001,C$87,Base!$A$3:$A$5001,"&gt;="&amp;$C$7,Base!$A$3:$A$5001,"&lt;="&amp;$D$7,Base!$N$3:$N$5001,"&lt;&gt;")))</f>
        <v>3</v>
      </c>
      <c r="D100" s="153">
        <f>IF(COUNTIFS(Base!$B$3:$B$5001,D$87,Base!$A$3:$A$5001,"&gt;="&amp;$C$7,Base!$A$3:$A$5001,"&lt;="&amp;$D$7,Base!$N$3:$N$5001,"&lt;&gt;")=0,"",SUMIFS(Base!$N$3:$N$5001,Base!$B$3:$B$5001,D$87,Base!$A$3:$A$5001,_xlfn.MAXIFS(Base!$A$3:$A$5001,Base!$B$3:$B$5001,D$87,Base!$A$3:$A$5001,"&gt;="&amp;$C$7,Base!$A$3:$A$5001,"&lt;="&amp;$D$7,Base!$N$3:$N$5001,"&lt;&gt;")))</f>
        <v>8</v>
      </c>
      <c r="E100" s="153">
        <f>IF(COUNTIFS(Base!$B$3:$B$5001,E$87,Base!$A$3:$A$5001,"&gt;="&amp;$C$7,Base!$A$3:$A$5001,"&lt;="&amp;$D$7,Base!$N$3:$N$5001,"&lt;&gt;")=0,"",SUMIFS(Base!$N$3:$N$5001,Base!$B$3:$B$5001,E$87,Base!$A$3:$A$5001,_xlfn.MAXIFS(Base!$A$3:$A$5001,Base!$B$3:$B$5001,E$87,Base!$A$3:$A$5001,"&gt;="&amp;$C$7,Base!$A$3:$A$5001,"&lt;="&amp;$D$7,Base!$N$3:$N$5001,"&lt;&gt;")))</f>
        <v>5</v>
      </c>
      <c r="F100" s="153">
        <f>IF(COUNTIFS(Base!$B$3:$B$5001,F$87,Base!$A$3:$A$5001,"&gt;="&amp;$C$7,Base!$A$3:$A$5001,"&lt;="&amp;$D$7,Base!$N$3:$N$5001,"&lt;&gt;")=0,"",SUMIFS(Base!$N$3:$N$5001,Base!$B$3:$B$5001,F$87,Base!$A$3:$A$5001,_xlfn.MAXIFS(Base!$A$3:$A$5001,Base!$B$3:$B$5001,F$87,Base!$A$3:$A$5001,"&gt;="&amp;$C$7,Base!$A$3:$A$5001,"&lt;="&amp;$D$7,Base!$N$3:$N$5001,"&lt;&gt;")))</f>
        <v>5</v>
      </c>
      <c r="G100" s="172">
        <f>SUM(B100:F100)</f>
        <v>26</v>
      </c>
    </row>
    <row r="101">
      <c r="A101" s="159" t="inlineStr">
        <is>
          <t xml:space="preserve">GENTE · Falta</t>
        </is>
      </c>
      <c r="B101" s="153">
        <f>SUMIFS(Base!$O$3:$O$5001,Base!$B$3:$B$5001,B$87,Base!$A$3:$A$5001,"&gt;="&amp;$C$7,Base!$A$3:$A$5001,"&lt;="&amp;$D$7)</f>
        <v>0</v>
      </c>
      <c r="C101" s="153">
        <f>SUMIFS(Base!$O$3:$O$5001,Base!$B$3:$B$5001,C$87,Base!$A$3:$A$5001,"&gt;="&amp;$C$7,Base!$A$3:$A$5001,"&lt;="&amp;$D$7)</f>
        <v>0</v>
      </c>
      <c r="D101" s="153">
        <f>SUMIFS(Base!$O$3:$O$5001,Base!$B$3:$B$5001,D$87,Base!$A$3:$A$5001,"&gt;="&amp;$C$7,Base!$A$3:$A$5001,"&lt;="&amp;$D$7)</f>
        <v>0</v>
      </c>
      <c r="E101" s="153">
        <f>SUMIFS(Base!$O$3:$O$5001,Base!$B$3:$B$5001,E$87,Base!$A$3:$A$5001,"&gt;="&amp;$C$7,Base!$A$3:$A$5001,"&lt;="&amp;$D$7)</f>
        <v>0</v>
      </c>
      <c r="F101" s="153">
        <f>SUMIFS(Base!$O$3:$O$5001,Base!$B$3:$B$5001,F$87,Base!$A$3:$A$5001,"&gt;="&amp;$C$7,Base!$A$3:$A$5001,"&lt;="&amp;$D$7)</f>
        <v>0</v>
      </c>
      <c r="G101" s="172">
        <f>SUM(B101:F101)</f>
        <v>0</v>
      </c>
    </row>
    <row r="102">
      <c r="A102" s="159" t="inlineStr">
        <is>
          <t xml:space="preserve">GENTE · Folga</t>
        </is>
      </c>
      <c r="B102" s="153">
        <f>SUMIFS(Base!$P$3:$P$5001,Base!$B$3:$B$5001,B$87,Base!$A$3:$A$5001,"&gt;="&amp;$C$7,Base!$A$3:$A$5001,"&lt;="&amp;$D$7)</f>
        <v>0</v>
      </c>
      <c r="C102" s="153">
        <f>SUMIFS(Base!$P$3:$P$5001,Base!$B$3:$B$5001,C$87,Base!$A$3:$A$5001,"&gt;="&amp;$C$7,Base!$A$3:$A$5001,"&lt;="&amp;$D$7)</f>
        <v>0</v>
      </c>
      <c r="D102" s="153">
        <f>SUMIFS(Base!$P$3:$P$5001,Base!$B$3:$B$5001,D$87,Base!$A$3:$A$5001,"&gt;="&amp;$C$7,Base!$A$3:$A$5001,"&lt;="&amp;$D$7)</f>
        <v>0</v>
      </c>
      <c r="E102" s="153">
        <f>SUMIFS(Base!$P$3:$P$5001,Base!$B$3:$B$5001,E$87,Base!$A$3:$A$5001,"&gt;="&amp;$C$7,Base!$A$3:$A$5001,"&lt;="&amp;$D$7)</f>
        <v>0</v>
      </c>
      <c r="F102" s="153">
        <f>SUMIFS(Base!$P$3:$P$5001,Base!$B$3:$B$5001,F$87,Base!$A$3:$A$5001,"&gt;="&amp;$C$7,Base!$A$3:$A$5001,"&lt;="&amp;$D$7)</f>
        <v>0</v>
      </c>
      <c r="G102" s="172">
        <f>SUM(B102:F102)</f>
        <v>0</v>
      </c>
    </row>
    <row r="103">
      <c r="A103" s="159" t="inlineStr">
        <is>
          <t xml:space="preserve">GENTE · Férias</t>
        </is>
      </c>
      <c r="B103" s="153">
        <f>SUMIFS(Base!$Q$3:$Q$5001,Base!$B$3:$B$5001,B$87,Base!$A$3:$A$5001,"&gt;="&amp;$C$7,Base!$A$3:$A$5001,"&lt;="&amp;$D$7)</f>
        <v>0</v>
      </c>
      <c r="C103" s="153">
        <f>SUMIFS(Base!$Q$3:$Q$5001,Base!$B$3:$B$5001,C$87,Base!$A$3:$A$5001,"&gt;="&amp;$C$7,Base!$A$3:$A$5001,"&lt;="&amp;$D$7)</f>
        <v>0</v>
      </c>
      <c r="D103" s="153">
        <f>SUMIFS(Base!$Q$3:$Q$5001,Base!$B$3:$B$5001,D$87,Base!$A$3:$A$5001,"&gt;="&amp;$C$7,Base!$A$3:$A$5001,"&lt;="&amp;$D$7)</f>
        <v>0</v>
      </c>
      <c r="E103" s="153">
        <f>SUMIFS(Base!$Q$3:$Q$5001,Base!$B$3:$B$5001,E$87,Base!$A$3:$A$5001,"&gt;="&amp;$C$7,Base!$A$3:$A$5001,"&lt;="&amp;$D$7)</f>
        <v>0</v>
      </c>
      <c r="F103" s="153">
        <f>SUMIFS(Base!$Q$3:$Q$5001,Base!$B$3:$B$5001,F$87,Base!$A$3:$A$5001,"&gt;="&amp;$C$7,Base!$A$3:$A$5001,"&lt;="&amp;$D$7)</f>
        <v>0</v>
      </c>
      <c r="G103" s="172">
        <f>SUM(B103:F103)</f>
        <v>0</v>
      </c>
    </row>
    <row r="104">
      <c r="A104" s="159" t="inlineStr">
        <is>
          <t xml:space="preserve">GENTE · Desligamento</t>
        </is>
      </c>
      <c r="B104" s="153">
        <f>SUMIFS(Base!$R$3:$R$5001,Base!$B$3:$B$5001,B$87,Base!$A$3:$A$5001,"&gt;="&amp;$C$7,Base!$A$3:$A$5001,"&lt;="&amp;$D$7)</f>
        <v>0</v>
      </c>
      <c r="C104" s="153">
        <f>SUMIFS(Base!$R$3:$R$5001,Base!$B$3:$B$5001,C$87,Base!$A$3:$A$5001,"&gt;="&amp;$C$7,Base!$A$3:$A$5001,"&lt;="&amp;$D$7)</f>
        <v>0</v>
      </c>
      <c r="D104" s="153">
        <f>SUMIFS(Base!$R$3:$R$5001,Base!$B$3:$B$5001,D$87,Base!$A$3:$A$5001,"&gt;="&amp;$C$7,Base!$A$3:$A$5001,"&lt;="&amp;$D$7)</f>
        <v>0</v>
      </c>
      <c r="E104" s="153">
        <f>SUMIFS(Base!$R$3:$R$5001,Base!$B$3:$B$5001,E$87,Base!$A$3:$A$5001,"&gt;="&amp;$C$7,Base!$A$3:$A$5001,"&lt;="&amp;$D$7)</f>
        <v>0</v>
      </c>
      <c r="F104" s="153">
        <f>SUMIFS(Base!$R$3:$R$5001,Base!$B$3:$B$5001,F$87,Base!$A$3:$A$5001,"&gt;="&amp;$C$7,Base!$A$3:$A$5001,"&lt;="&amp;$D$7)</f>
        <v>0</v>
      </c>
      <c r="G104" s="172">
        <f>SUM(B104:F104)</f>
        <v>0</v>
      </c>
    </row>
    <row r="107">
      <c r="A107" s="146" t="inlineStr">
        <is>
          <t xml:space="preserve">ESTOQUES POR CLIENTE — último valor informado até cada dia (base de Backlog, Posições e Efetivo no modo "Todos" e nos gráficos)</t>
        </is>
      </c>
    </row>
    <row r="108">
      <c r="A108" s="145" t="inlineStr">
        <is>
          <t xml:space="preserve">Backlog</t>
        </is>
      </c>
      <c r="B108" s="145" t="inlineStr">
        <is>
          <t xml:space="preserve">Data</t>
        </is>
      </c>
      <c r="C108" s="145" t="inlineStr">
        <is>
          <t xml:space="preserve">Barry Callebaut</t>
        </is>
      </c>
      <c r="D108" s="145" t="inlineStr">
        <is>
          <t xml:space="preserve">Gm</t>
        </is>
      </c>
      <c r="E108" s="145" t="inlineStr">
        <is>
          <t xml:space="preserve">Mondelez</t>
        </is>
      </c>
      <c r="F108" s="145" t="inlineStr">
        <is>
          <t xml:space="preserve">Nestlé</t>
        </is>
      </c>
      <c r="G108" s="145" t="inlineStr">
        <is>
          <t xml:space="preserve">PMB</t>
        </is>
      </c>
    </row>
    <row r="109">
      <c r="A109" s="147">
        <v>1</v>
      </c>
      <c r="B109" s="148">
        <f>$B$12</f>
        <v>46266</v>
      </c>
      <c r="C109" s="149" t="str">
        <f>IF($A109&gt;$B$9,"",IF(COUNTIFS(Base!$B$3:$B$5001,C$108,Base!$A$3:$A$5001,"&gt;="&amp;$C$7,Base!$A$3:$A$5001,"&lt;="&amp;$B109,Base!$K$3:$K$5001,"&lt;&gt;")=0,"",SUMIFS(Base!$K$3:$K$5001,Base!$B$3:$B$5001,C$108,Base!$A$3:$A$5001,_xlfn.MAXIFS(Base!$A$3:$A$5001,Base!$B$3:$B$5001,C$108,Base!$A$3:$A$5001,"&gt;="&amp;$C$7,Base!$A$3:$A$5001,"&lt;="&amp;$B109,Base!$K$3:$K$5001,"&lt;&gt;"))))</f>
        <v/>
      </c>
      <c r="D109" s="149" t="str">
        <f>IF($A109&gt;$B$9,"",IF(COUNTIFS(Base!$B$3:$B$5001,D$108,Base!$A$3:$A$5001,"&gt;="&amp;$C$7,Base!$A$3:$A$5001,"&lt;="&amp;$B109,Base!$K$3:$K$5001,"&lt;&gt;")=0,"",SUMIFS(Base!$K$3:$K$5001,Base!$B$3:$B$5001,D$108,Base!$A$3:$A$5001,_xlfn.MAXIFS(Base!$A$3:$A$5001,Base!$B$3:$B$5001,D$108,Base!$A$3:$A$5001,"&gt;="&amp;$C$7,Base!$A$3:$A$5001,"&lt;="&amp;$B109,Base!$K$3:$K$5001,"&lt;&gt;"))))</f>
        <v/>
      </c>
      <c r="E109" s="149" t="str">
        <f>IF($A109&gt;$B$9,"",IF(COUNTIFS(Base!$B$3:$B$5001,E$108,Base!$A$3:$A$5001,"&gt;="&amp;$C$7,Base!$A$3:$A$5001,"&lt;="&amp;$B109,Base!$K$3:$K$5001,"&lt;&gt;")=0,"",SUMIFS(Base!$K$3:$K$5001,Base!$B$3:$B$5001,E$108,Base!$A$3:$A$5001,_xlfn.MAXIFS(Base!$A$3:$A$5001,Base!$B$3:$B$5001,E$108,Base!$A$3:$A$5001,"&gt;="&amp;$C$7,Base!$A$3:$A$5001,"&lt;="&amp;$B109,Base!$K$3:$K$5001,"&lt;&gt;"))))</f>
        <v/>
      </c>
      <c r="F109" s="149" t="str">
        <f>IF($A109&gt;$B$9,"",IF(COUNTIFS(Base!$B$3:$B$5001,F$108,Base!$A$3:$A$5001,"&gt;="&amp;$C$7,Base!$A$3:$A$5001,"&lt;="&amp;$B109,Base!$K$3:$K$5001,"&lt;&gt;")=0,"",SUMIFS(Base!$K$3:$K$5001,Base!$B$3:$B$5001,F$108,Base!$A$3:$A$5001,_xlfn.MAXIFS(Base!$A$3:$A$5001,Base!$B$3:$B$5001,F$108,Base!$A$3:$A$5001,"&gt;="&amp;$C$7,Base!$A$3:$A$5001,"&lt;="&amp;$B109,Base!$K$3:$K$5001,"&lt;&gt;"))))</f>
        <v/>
      </c>
      <c r="G109" s="149" t="str">
        <f>IF($A109&gt;$B$9,"",IF(COUNTIFS(Base!$B$3:$B$5001,G$108,Base!$A$3:$A$5001,"&gt;="&amp;$C$7,Base!$A$3:$A$5001,"&lt;="&amp;$B109,Base!$K$3:$K$5001,"&lt;&gt;")=0,"",SUMIFS(Base!$K$3:$K$5001,Base!$B$3:$B$5001,G$108,Base!$A$3:$A$5001,_xlfn.MAXIFS(Base!$A$3:$A$5001,Base!$B$3:$B$5001,G$108,Base!$A$3:$A$5001,"&gt;="&amp;$C$7,Base!$A$3:$A$5001,"&lt;="&amp;$B109,Base!$K$3:$K$5001,"&lt;&gt;"))))</f>
        <v/>
      </c>
    </row>
    <row r="110">
      <c r="A110" s="147">
        <v>2</v>
      </c>
      <c r="B110" s="148">
        <f>$B$13</f>
        <v>46267</v>
      </c>
      <c r="C110" s="149" t="str">
        <f>IF($A110&gt;$B$9,"",IF(COUNTIFS(Base!$B$3:$B$5001,C$108,Base!$A$3:$A$5001,"&gt;="&amp;$C$7,Base!$A$3:$A$5001,"&lt;="&amp;$B110,Base!$K$3:$K$5001,"&lt;&gt;")=0,"",SUMIFS(Base!$K$3:$K$5001,Base!$B$3:$B$5001,C$108,Base!$A$3:$A$5001,_xlfn.MAXIFS(Base!$A$3:$A$5001,Base!$B$3:$B$5001,C$108,Base!$A$3:$A$5001,"&gt;="&amp;$C$7,Base!$A$3:$A$5001,"&lt;="&amp;$B110,Base!$K$3:$K$5001,"&lt;&gt;"))))</f>
        <v/>
      </c>
      <c r="D110" s="149" t="str">
        <f>IF($A110&gt;$B$9,"",IF(COUNTIFS(Base!$B$3:$B$5001,D$108,Base!$A$3:$A$5001,"&gt;="&amp;$C$7,Base!$A$3:$A$5001,"&lt;="&amp;$B110,Base!$K$3:$K$5001,"&lt;&gt;")=0,"",SUMIFS(Base!$K$3:$K$5001,Base!$B$3:$B$5001,D$108,Base!$A$3:$A$5001,_xlfn.MAXIFS(Base!$A$3:$A$5001,Base!$B$3:$B$5001,D$108,Base!$A$3:$A$5001,"&gt;="&amp;$C$7,Base!$A$3:$A$5001,"&lt;="&amp;$B110,Base!$K$3:$K$5001,"&lt;&gt;"))))</f>
        <v/>
      </c>
      <c r="E110" s="149" t="str">
        <f>IF($A110&gt;$B$9,"",IF(COUNTIFS(Base!$B$3:$B$5001,E$108,Base!$A$3:$A$5001,"&gt;="&amp;$C$7,Base!$A$3:$A$5001,"&lt;="&amp;$B110,Base!$K$3:$K$5001,"&lt;&gt;")=0,"",SUMIFS(Base!$K$3:$K$5001,Base!$B$3:$B$5001,E$108,Base!$A$3:$A$5001,_xlfn.MAXIFS(Base!$A$3:$A$5001,Base!$B$3:$B$5001,E$108,Base!$A$3:$A$5001,"&gt;="&amp;$C$7,Base!$A$3:$A$5001,"&lt;="&amp;$B110,Base!$K$3:$K$5001,"&lt;&gt;"))))</f>
        <v/>
      </c>
      <c r="F110" s="149" t="str">
        <f>IF($A110&gt;$B$9,"",IF(COUNTIFS(Base!$B$3:$B$5001,F$108,Base!$A$3:$A$5001,"&gt;="&amp;$C$7,Base!$A$3:$A$5001,"&lt;="&amp;$B110,Base!$K$3:$K$5001,"&lt;&gt;")=0,"",SUMIFS(Base!$K$3:$K$5001,Base!$B$3:$B$5001,F$108,Base!$A$3:$A$5001,_xlfn.MAXIFS(Base!$A$3:$A$5001,Base!$B$3:$B$5001,F$108,Base!$A$3:$A$5001,"&gt;="&amp;$C$7,Base!$A$3:$A$5001,"&lt;="&amp;$B110,Base!$K$3:$K$5001,"&lt;&gt;"))))</f>
        <v/>
      </c>
      <c r="G110" s="149" t="str">
        <f>IF($A110&gt;$B$9,"",IF(COUNTIFS(Base!$B$3:$B$5001,G$108,Base!$A$3:$A$5001,"&gt;="&amp;$C$7,Base!$A$3:$A$5001,"&lt;="&amp;$B110,Base!$K$3:$K$5001,"&lt;&gt;")=0,"",SUMIFS(Base!$K$3:$K$5001,Base!$B$3:$B$5001,G$108,Base!$A$3:$A$5001,_xlfn.MAXIFS(Base!$A$3:$A$5001,Base!$B$3:$B$5001,G$108,Base!$A$3:$A$5001,"&gt;="&amp;$C$7,Base!$A$3:$A$5001,"&lt;="&amp;$B110,Base!$K$3:$K$5001,"&lt;&gt;"))))</f>
        <v/>
      </c>
    </row>
    <row r="111">
      <c r="A111" s="147">
        <v>3</v>
      </c>
      <c r="B111" s="148">
        <f>$B$14</f>
        <v>46268</v>
      </c>
      <c r="C111" s="149" t="str">
        <f>IF($A111&gt;$B$9,"",IF(COUNTIFS(Base!$B$3:$B$5001,C$108,Base!$A$3:$A$5001,"&gt;="&amp;$C$7,Base!$A$3:$A$5001,"&lt;="&amp;$B111,Base!$K$3:$K$5001,"&lt;&gt;")=0,"",SUMIFS(Base!$K$3:$K$5001,Base!$B$3:$B$5001,C$108,Base!$A$3:$A$5001,_xlfn.MAXIFS(Base!$A$3:$A$5001,Base!$B$3:$B$5001,C$108,Base!$A$3:$A$5001,"&gt;="&amp;$C$7,Base!$A$3:$A$5001,"&lt;="&amp;$B111,Base!$K$3:$K$5001,"&lt;&gt;"))))</f>
        <v/>
      </c>
      <c r="D111" s="149" t="str">
        <f>IF($A111&gt;$B$9,"",IF(COUNTIFS(Base!$B$3:$B$5001,D$108,Base!$A$3:$A$5001,"&gt;="&amp;$C$7,Base!$A$3:$A$5001,"&lt;="&amp;$B111,Base!$K$3:$K$5001,"&lt;&gt;")=0,"",SUMIFS(Base!$K$3:$K$5001,Base!$B$3:$B$5001,D$108,Base!$A$3:$A$5001,_xlfn.MAXIFS(Base!$A$3:$A$5001,Base!$B$3:$B$5001,D$108,Base!$A$3:$A$5001,"&gt;="&amp;$C$7,Base!$A$3:$A$5001,"&lt;="&amp;$B111,Base!$K$3:$K$5001,"&lt;&gt;"))))</f>
        <v/>
      </c>
      <c r="E111" s="149" t="str">
        <f>IF($A111&gt;$B$9,"",IF(COUNTIFS(Base!$B$3:$B$5001,E$108,Base!$A$3:$A$5001,"&gt;="&amp;$C$7,Base!$A$3:$A$5001,"&lt;="&amp;$B111,Base!$K$3:$K$5001,"&lt;&gt;")=0,"",SUMIFS(Base!$K$3:$K$5001,Base!$B$3:$B$5001,E$108,Base!$A$3:$A$5001,_xlfn.MAXIFS(Base!$A$3:$A$5001,Base!$B$3:$B$5001,E$108,Base!$A$3:$A$5001,"&gt;="&amp;$C$7,Base!$A$3:$A$5001,"&lt;="&amp;$B111,Base!$K$3:$K$5001,"&lt;&gt;"))))</f>
        <v/>
      </c>
      <c r="F111" s="149" t="str">
        <f>IF($A111&gt;$B$9,"",IF(COUNTIFS(Base!$B$3:$B$5001,F$108,Base!$A$3:$A$5001,"&gt;="&amp;$C$7,Base!$A$3:$A$5001,"&lt;="&amp;$B111,Base!$K$3:$K$5001,"&lt;&gt;")=0,"",SUMIFS(Base!$K$3:$K$5001,Base!$B$3:$B$5001,F$108,Base!$A$3:$A$5001,_xlfn.MAXIFS(Base!$A$3:$A$5001,Base!$B$3:$B$5001,F$108,Base!$A$3:$A$5001,"&gt;="&amp;$C$7,Base!$A$3:$A$5001,"&lt;="&amp;$B111,Base!$K$3:$K$5001,"&lt;&gt;"))))</f>
        <v/>
      </c>
      <c r="G111" s="149" t="str">
        <f>IF($A111&gt;$B$9,"",IF(COUNTIFS(Base!$B$3:$B$5001,G$108,Base!$A$3:$A$5001,"&gt;="&amp;$C$7,Base!$A$3:$A$5001,"&lt;="&amp;$B111,Base!$K$3:$K$5001,"&lt;&gt;")=0,"",SUMIFS(Base!$K$3:$K$5001,Base!$B$3:$B$5001,G$108,Base!$A$3:$A$5001,_xlfn.MAXIFS(Base!$A$3:$A$5001,Base!$B$3:$B$5001,G$108,Base!$A$3:$A$5001,"&gt;="&amp;$C$7,Base!$A$3:$A$5001,"&lt;="&amp;$B111,Base!$K$3:$K$5001,"&lt;&gt;"))))</f>
        <v/>
      </c>
    </row>
    <row r="112">
      <c r="A112" s="147">
        <v>4</v>
      </c>
      <c r="B112" s="148">
        <f>$B$15</f>
        <v>46269</v>
      </c>
      <c r="C112" s="149" t="str">
        <f>IF($A112&gt;$B$9,"",IF(COUNTIFS(Base!$B$3:$B$5001,C$108,Base!$A$3:$A$5001,"&gt;="&amp;$C$7,Base!$A$3:$A$5001,"&lt;="&amp;$B112,Base!$K$3:$K$5001,"&lt;&gt;")=0,"",SUMIFS(Base!$K$3:$K$5001,Base!$B$3:$B$5001,C$108,Base!$A$3:$A$5001,_xlfn.MAXIFS(Base!$A$3:$A$5001,Base!$B$3:$B$5001,C$108,Base!$A$3:$A$5001,"&gt;="&amp;$C$7,Base!$A$3:$A$5001,"&lt;="&amp;$B112,Base!$K$3:$K$5001,"&lt;&gt;"))))</f>
        <v/>
      </c>
      <c r="D112" s="149" t="str">
        <f>IF($A112&gt;$B$9,"",IF(COUNTIFS(Base!$B$3:$B$5001,D$108,Base!$A$3:$A$5001,"&gt;="&amp;$C$7,Base!$A$3:$A$5001,"&lt;="&amp;$B112,Base!$K$3:$K$5001,"&lt;&gt;")=0,"",SUMIFS(Base!$K$3:$K$5001,Base!$B$3:$B$5001,D$108,Base!$A$3:$A$5001,_xlfn.MAXIFS(Base!$A$3:$A$5001,Base!$B$3:$B$5001,D$108,Base!$A$3:$A$5001,"&gt;="&amp;$C$7,Base!$A$3:$A$5001,"&lt;="&amp;$B112,Base!$K$3:$K$5001,"&lt;&gt;"))))</f>
        <v/>
      </c>
      <c r="E112" s="149" t="str">
        <f>IF($A112&gt;$B$9,"",IF(COUNTIFS(Base!$B$3:$B$5001,E$108,Base!$A$3:$A$5001,"&gt;="&amp;$C$7,Base!$A$3:$A$5001,"&lt;="&amp;$B112,Base!$K$3:$K$5001,"&lt;&gt;")=0,"",SUMIFS(Base!$K$3:$K$5001,Base!$B$3:$B$5001,E$108,Base!$A$3:$A$5001,_xlfn.MAXIFS(Base!$A$3:$A$5001,Base!$B$3:$B$5001,E$108,Base!$A$3:$A$5001,"&gt;="&amp;$C$7,Base!$A$3:$A$5001,"&lt;="&amp;$B112,Base!$K$3:$K$5001,"&lt;&gt;"))))</f>
        <v/>
      </c>
      <c r="F112" s="149" t="str">
        <f>IF($A112&gt;$B$9,"",IF(COUNTIFS(Base!$B$3:$B$5001,F$108,Base!$A$3:$A$5001,"&gt;="&amp;$C$7,Base!$A$3:$A$5001,"&lt;="&amp;$B112,Base!$K$3:$K$5001,"&lt;&gt;")=0,"",SUMIFS(Base!$K$3:$K$5001,Base!$B$3:$B$5001,F$108,Base!$A$3:$A$5001,_xlfn.MAXIFS(Base!$A$3:$A$5001,Base!$B$3:$B$5001,F$108,Base!$A$3:$A$5001,"&gt;="&amp;$C$7,Base!$A$3:$A$5001,"&lt;="&amp;$B112,Base!$K$3:$K$5001,"&lt;&gt;"))))</f>
        <v/>
      </c>
      <c r="G112" s="149" t="str">
        <f>IF($A112&gt;$B$9,"",IF(COUNTIFS(Base!$B$3:$B$5001,G$108,Base!$A$3:$A$5001,"&gt;="&amp;$C$7,Base!$A$3:$A$5001,"&lt;="&amp;$B112,Base!$K$3:$K$5001,"&lt;&gt;")=0,"",SUMIFS(Base!$K$3:$K$5001,Base!$B$3:$B$5001,G$108,Base!$A$3:$A$5001,_xlfn.MAXIFS(Base!$A$3:$A$5001,Base!$B$3:$B$5001,G$108,Base!$A$3:$A$5001,"&gt;="&amp;$C$7,Base!$A$3:$A$5001,"&lt;="&amp;$B112,Base!$K$3:$K$5001,"&lt;&gt;"))))</f>
        <v/>
      </c>
    </row>
    <row r="113">
      <c r="A113" s="147">
        <v>5</v>
      </c>
      <c r="B113" s="148">
        <f>$B$16</f>
        <v>46270</v>
      </c>
      <c r="C113" s="149" t="str">
        <f>IF($A113&gt;$B$9,"",IF(COUNTIFS(Base!$B$3:$B$5001,C$108,Base!$A$3:$A$5001,"&gt;="&amp;$C$7,Base!$A$3:$A$5001,"&lt;="&amp;$B113,Base!$K$3:$K$5001,"&lt;&gt;")=0,"",SUMIFS(Base!$K$3:$K$5001,Base!$B$3:$B$5001,C$108,Base!$A$3:$A$5001,_xlfn.MAXIFS(Base!$A$3:$A$5001,Base!$B$3:$B$5001,C$108,Base!$A$3:$A$5001,"&gt;="&amp;$C$7,Base!$A$3:$A$5001,"&lt;="&amp;$B113,Base!$K$3:$K$5001,"&lt;&gt;"))))</f>
        <v/>
      </c>
      <c r="D113" s="149" t="str">
        <f>IF($A113&gt;$B$9,"",IF(COUNTIFS(Base!$B$3:$B$5001,D$108,Base!$A$3:$A$5001,"&gt;="&amp;$C$7,Base!$A$3:$A$5001,"&lt;="&amp;$B113,Base!$K$3:$K$5001,"&lt;&gt;")=0,"",SUMIFS(Base!$K$3:$K$5001,Base!$B$3:$B$5001,D$108,Base!$A$3:$A$5001,_xlfn.MAXIFS(Base!$A$3:$A$5001,Base!$B$3:$B$5001,D$108,Base!$A$3:$A$5001,"&gt;="&amp;$C$7,Base!$A$3:$A$5001,"&lt;="&amp;$B113,Base!$K$3:$K$5001,"&lt;&gt;"))))</f>
        <v/>
      </c>
      <c r="E113" s="149" t="str">
        <f>IF($A113&gt;$B$9,"",IF(COUNTIFS(Base!$B$3:$B$5001,E$108,Base!$A$3:$A$5001,"&gt;="&amp;$C$7,Base!$A$3:$A$5001,"&lt;="&amp;$B113,Base!$K$3:$K$5001,"&lt;&gt;")=0,"",SUMIFS(Base!$K$3:$K$5001,Base!$B$3:$B$5001,E$108,Base!$A$3:$A$5001,_xlfn.MAXIFS(Base!$A$3:$A$5001,Base!$B$3:$B$5001,E$108,Base!$A$3:$A$5001,"&gt;="&amp;$C$7,Base!$A$3:$A$5001,"&lt;="&amp;$B113,Base!$K$3:$K$5001,"&lt;&gt;"))))</f>
        <v/>
      </c>
      <c r="F113" s="149" t="str">
        <f>IF($A113&gt;$B$9,"",IF(COUNTIFS(Base!$B$3:$B$5001,F$108,Base!$A$3:$A$5001,"&gt;="&amp;$C$7,Base!$A$3:$A$5001,"&lt;="&amp;$B113,Base!$K$3:$K$5001,"&lt;&gt;")=0,"",SUMIFS(Base!$K$3:$K$5001,Base!$B$3:$B$5001,F$108,Base!$A$3:$A$5001,_xlfn.MAXIFS(Base!$A$3:$A$5001,Base!$B$3:$B$5001,F$108,Base!$A$3:$A$5001,"&gt;="&amp;$C$7,Base!$A$3:$A$5001,"&lt;="&amp;$B113,Base!$K$3:$K$5001,"&lt;&gt;"))))</f>
        <v/>
      </c>
      <c r="G113" s="149" t="str">
        <f>IF($A113&gt;$B$9,"",IF(COUNTIFS(Base!$B$3:$B$5001,G$108,Base!$A$3:$A$5001,"&gt;="&amp;$C$7,Base!$A$3:$A$5001,"&lt;="&amp;$B113,Base!$K$3:$K$5001,"&lt;&gt;")=0,"",SUMIFS(Base!$K$3:$K$5001,Base!$B$3:$B$5001,G$108,Base!$A$3:$A$5001,_xlfn.MAXIFS(Base!$A$3:$A$5001,Base!$B$3:$B$5001,G$108,Base!$A$3:$A$5001,"&gt;="&amp;$C$7,Base!$A$3:$A$5001,"&lt;="&amp;$B113,Base!$K$3:$K$5001,"&lt;&gt;"))))</f>
        <v/>
      </c>
    </row>
    <row r="114">
      <c r="A114" s="147">
        <v>6</v>
      </c>
      <c r="B114" s="148">
        <f>$B$17</f>
        <v>46271</v>
      </c>
      <c r="C114" s="149" t="str">
        <f>IF($A114&gt;$B$9,"",IF(COUNTIFS(Base!$B$3:$B$5001,C$108,Base!$A$3:$A$5001,"&gt;="&amp;$C$7,Base!$A$3:$A$5001,"&lt;="&amp;$B114,Base!$K$3:$K$5001,"&lt;&gt;")=0,"",SUMIFS(Base!$K$3:$K$5001,Base!$B$3:$B$5001,C$108,Base!$A$3:$A$5001,_xlfn.MAXIFS(Base!$A$3:$A$5001,Base!$B$3:$B$5001,C$108,Base!$A$3:$A$5001,"&gt;="&amp;$C$7,Base!$A$3:$A$5001,"&lt;="&amp;$B114,Base!$K$3:$K$5001,"&lt;&gt;"))))</f>
        <v/>
      </c>
      <c r="D114" s="149" t="str">
        <f>IF($A114&gt;$B$9,"",IF(COUNTIFS(Base!$B$3:$B$5001,D$108,Base!$A$3:$A$5001,"&gt;="&amp;$C$7,Base!$A$3:$A$5001,"&lt;="&amp;$B114,Base!$K$3:$K$5001,"&lt;&gt;")=0,"",SUMIFS(Base!$K$3:$K$5001,Base!$B$3:$B$5001,D$108,Base!$A$3:$A$5001,_xlfn.MAXIFS(Base!$A$3:$A$5001,Base!$B$3:$B$5001,D$108,Base!$A$3:$A$5001,"&gt;="&amp;$C$7,Base!$A$3:$A$5001,"&lt;="&amp;$B114,Base!$K$3:$K$5001,"&lt;&gt;"))))</f>
        <v/>
      </c>
      <c r="E114" s="149" t="str">
        <f>IF($A114&gt;$B$9,"",IF(COUNTIFS(Base!$B$3:$B$5001,E$108,Base!$A$3:$A$5001,"&gt;="&amp;$C$7,Base!$A$3:$A$5001,"&lt;="&amp;$B114,Base!$K$3:$K$5001,"&lt;&gt;")=0,"",SUMIFS(Base!$K$3:$K$5001,Base!$B$3:$B$5001,E$108,Base!$A$3:$A$5001,_xlfn.MAXIFS(Base!$A$3:$A$5001,Base!$B$3:$B$5001,E$108,Base!$A$3:$A$5001,"&gt;="&amp;$C$7,Base!$A$3:$A$5001,"&lt;="&amp;$B114,Base!$K$3:$K$5001,"&lt;&gt;"))))</f>
        <v/>
      </c>
      <c r="F114" s="149" t="str">
        <f>IF($A114&gt;$B$9,"",IF(COUNTIFS(Base!$B$3:$B$5001,F$108,Base!$A$3:$A$5001,"&gt;="&amp;$C$7,Base!$A$3:$A$5001,"&lt;="&amp;$B114,Base!$K$3:$K$5001,"&lt;&gt;")=0,"",SUMIFS(Base!$K$3:$K$5001,Base!$B$3:$B$5001,F$108,Base!$A$3:$A$5001,_xlfn.MAXIFS(Base!$A$3:$A$5001,Base!$B$3:$B$5001,F$108,Base!$A$3:$A$5001,"&gt;="&amp;$C$7,Base!$A$3:$A$5001,"&lt;="&amp;$B114,Base!$K$3:$K$5001,"&lt;&gt;"))))</f>
        <v/>
      </c>
      <c r="G114" s="149" t="str">
        <f>IF($A114&gt;$B$9,"",IF(COUNTIFS(Base!$B$3:$B$5001,G$108,Base!$A$3:$A$5001,"&gt;="&amp;$C$7,Base!$A$3:$A$5001,"&lt;="&amp;$B114,Base!$K$3:$K$5001,"&lt;&gt;")=0,"",SUMIFS(Base!$K$3:$K$5001,Base!$B$3:$B$5001,G$108,Base!$A$3:$A$5001,_xlfn.MAXIFS(Base!$A$3:$A$5001,Base!$B$3:$B$5001,G$108,Base!$A$3:$A$5001,"&gt;="&amp;$C$7,Base!$A$3:$A$5001,"&lt;="&amp;$B114,Base!$K$3:$K$5001,"&lt;&gt;"))))</f>
        <v/>
      </c>
    </row>
    <row r="115">
      <c r="A115" s="147">
        <v>7</v>
      </c>
      <c r="B115" s="148">
        <f>$B$18</f>
        <v>46272</v>
      </c>
      <c r="C115" s="149" t="str">
        <f>IF($A115&gt;$B$9,"",IF(COUNTIFS(Base!$B$3:$B$5001,C$108,Base!$A$3:$A$5001,"&gt;="&amp;$C$7,Base!$A$3:$A$5001,"&lt;="&amp;$B115,Base!$K$3:$K$5001,"&lt;&gt;")=0,"",SUMIFS(Base!$K$3:$K$5001,Base!$B$3:$B$5001,C$108,Base!$A$3:$A$5001,_xlfn.MAXIFS(Base!$A$3:$A$5001,Base!$B$3:$B$5001,C$108,Base!$A$3:$A$5001,"&gt;="&amp;$C$7,Base!$A$3:$A$5001,"&lt;="&amp;$B115,Base!$K$3:$K$5001,"&lt;&gt;"))))</f>
        <v/>
      </c>
      <c r="D115" s="149" t="str">
        <f>IF($A115&gt;$B$9,"",IF(COUNTIFS(Base!$B$3:$B$5001,D$108,Base!$A$3:$A$5001,"&gt;="&amp;$C$7,Base!$A$3:$A$5001,"&lt;="&amp;$B115,Base!$K$3:$K$5001,"&lt;&gt;")=0,"",SUMIFS(Base!$K$3:$K$5001,Base!$B$3:$B$5001,D$108,Base!$A$3:$A$5001,_xlfn.MAXIFS(Base!$A$3:$A$5001,Base!$B$3:$B$5001,D$108,Base!$A$3:$A$5001,"&gt;="&amp;$C$7,Base!$A$3:$A$5001,"&lt;="&amp;$B115,Base!$K$3:$K$5001,"&lt;&gt;"))))</f>
        <v/>
      </c>
      <c r="E115" s="149" t="str">
        <f>IF($A115&gt;$B$9,"",IF(COUNTIFS(Base!$B$3:$B$5001,E$108,Base!$A$3:$A$5001,"&gt;="&amp;$C$7,Base!$A$3:$A$5001,"&lt;="&amp;$B115,Base!$K$3:$K$5001,"&lt;&gt;")=0,"",SUMIFS(Base!$K$3:$K$5001,Base!$B$3:$B$5001,E$108,Base!$A$3:$A$5001,_xlfn.MAXIFS(Base!$A$3:$A$5001,Base!$B$3:$B$5001,E$108,Base!$A$3:$A$5001,"&gt;="&amp;$C$7,Base!$A$3:$A$5001,"&lt;="&amp;$B115,Base!$K$3:$K$5001,"&lt;&gt;"))))</f>
        <v/>
      </c>
      <c r="F115" s="149" t="str">
        <f>IF($A115&gt;$B$9,"",IF(COUNTIFS(Base!$B$3:$B$5001,F$108,Base!$A$3:$A$5001,"&gt;="&amp;$C$7,Base!$A$3:$A$5001,"&lt;="&amp;$B115,Base!$K$3:$K$5001,"&lt;&gt;")=0,"",SUMIFS(Base!$K$3:$K$5001,Base!$B$3:$B$5001,F$108,Base!$A$3:$A$5001,_xlfn.MAXIFS(Base!$A$3:$A$5001,Base!$B$3:$B$5001,F$108,Base!$A$3:$A$5001,"&gt;="&amp;$C$7,Base!$A$3:$A$5001,"&lt;="&amp;$B115,Base!$K$3:$K$5001,"&lt;&gt;"))))</f>
        <v/>
      </c>
      <c r="G115" s="149" t="str">
        <f>IF($A115&gt;$B$9,"",IF(COUNTIFS(Base!$B$3:$B$5001,G$108,Base!$A$3:$A$5001,"&gt;="&amp;$C$7,Base!$A$3:$A$5001,"&lt;="&amp;$B115,Base!$K$3:$K$5001,"&lt;&gt;")=0,"",SUMIFS(Base!$K$3:$K$5001,Base!$B$3:$B$5001,G$108,Base!$A$3:$A$5001,_xlfn.MAXIFS(Base!$A$3:$A$5001,Base!$B$3:$B$5001,G$108,Base!$A$3:$A$5001,"&gt;="&amp;$C$7,Base!$A$3:$A$5001,"&lt;="&amp;$B115,Base!$K$3:$K$5001,"&lt;&gt;"))))</f>
        <v/>
      </c>
    </row>
    <row r="116">
      <c r="A116" s="147">
        <v>8</v>
      </c>
      <c r="B116" s="148">
        <f>$B$19</f>
        <v>46273</v>
      </c>
      <c r="C116" s="149" t="str">
        <f>IF($A116&gt;$B$9,"",IF(COUNTIFS(Base!$B$3:$B$5001,C$108,Base!$A$3:$A$5001,"&gt;="&amp;$C$7,Base!$A$3:$A$5001,"&lt;="&amp;$B116,Base!$K$3:$K$5001,"&lt;&gt;")=0,"",SUMIFS(Base!$K$3:$K$5001,Base!$B$3:$B$5001,C$108,Base!$A$3:$A$5001,_xlfn.MAXIFS(Base!$A$3:$A$5001,Base!$B$3:$B$5001,C$108,Base!$A$3:$A$5001,"&gt;="&amp;$C$7,Base!$A$3:$A$5001,"&lt;="&amp;$B116,Base!$K$3:$K$5001,"&lt;&gt;"))))</f>
        <v/>
      </c>
      <c r="D116" s="149" t="str">
        <f>IF($A116&gt;$B$9,"",IF(COUNTIFS(Base!$B$3:$B$5001,D$108,Base!$A$3:$A$5001,"&gt;="&amp;$C$7,Base!$A$3:$A$5001,"&lt;="&amp;$B116,Base!$K$3:$K$5001,"&lt;&gt;")=0,"",SUMIFS(Base!$K$3:$K$5001,Base!$B$3:$B$5001,D$108,Base!$A$3:$A$5001,_xlfn.MAXIFS(Base!$A$3:$A$5001,Base!$B$3:$B$5001,D$108,Base!$A$3:$A$5001,"&gt;="&amp;$C$7,Base!$A$3:$A$5001,"&lt;="&amp;$B116,Base!$K$3:$K$5001,"&lt;&gt;"))))</f>
        <v/>
      </c>
      <c r="E116" s="149" t="str">
        <f>IF($A116&gt;$B$9,"",IF(COUNTIFS(Base!$B$3:$B$5001,E$108,Base!$A$3:$A$5001,"&gt;="&amp;$C$7,Base!$A$3:$A$5001,"&lt;="&amp;$B116,Base!$K$3:$K$5001,"&lt;&gt;")=0,"",SUMIFS(Base!$K$3:$K$5001,Base!$B$3:$B$5001,E$108,Base!$A$3:$A$5001,_xlfn.MAXIFS(Base!$A$3:$A$5001,Base!$B$3:$B$5001,E$108,Base!$A$3:$A$5001,"&gt;="&amp;$C$7,Base!$A$3:$A$5001,"&lt;="&amp;$B116,Base!$K$3:$K$5001,"&lt;&gt;"))))</f>
        <v/>
      </c>
      <c r="F116" s="149" t="str">
        <f>IF($A116&gt;$B$9,"",IF(COUNTIFS(Base!$B$3:$B$5001,F$108,Base!$A$3:$A$5001,"&gt;="&amp;$C$7,Base!$A$3:$A$5001,"&lt;="&amp;$B116,Base!$K$3:$K$5001,"&lt;&gt;")=0,"",SUMIFS(Base!$K$3:$K$5001,Base!$B$3:$B$5001,F$108,Base!$A$3:$A$5001,_xlfn.MAXIFS(Base!$A$3:$A$5001,Base!$B$3:$B$5001,F$108,Base!$A$3:$A$5001,"&gt;="&amp;$C$7,Base!$A$3:$A$5001,"&lt;="&amp;$B116,Base!$K$3:$K$5001,"&lt;&gt;"))))</f>
        <v/>
      </c>
      <c r="G116" s="149" t="str">
        <f>IF($A116&gt;$B$9,"",IF(COUNTIFS(Base!$B$3:$B$5001,G$108,Base!$A$3:$A$5001,"&gt;="&amp;$C$7,Base!$A$3:$A$5001,"&lt;="&amp;$B116,Base!$K$3:$K$5001,"&lt;&gt;")=0,"",SUMIFS(Base!$K$3:$K$5001,Base!$B$3:$B$5001,G$108,Base!$A$3:$A$5001,_xlfn.MAXIFS(Base!$A$3:$A$5001,Base!$B$3:$B$5001,G$108,Base!$A$3:$A$5001,"&gt;="&amp;$C$7,Base!$A$3:$A$5001,"&lt;="&amp;$B116,Base!$K$3:$K$5001,"&lt;&gt;"))))</f>
        <v/>
      </c>
    </row>
    <row r="117">
      <c r="A117" s="147">
        <v>9</v>
      </c>
      <c r="B117" s="148">
        <f>$B$20</f>
        <v>46274</v>
      </c>
      <c r="C117" s="149" t="str">
        <f>IF($A117&gt;$B$9,"",IF(COUNTIFS(Base!$B$3:$B$5001,C$108,Base!$A$3:$A$5001,"&gt;="&amp;$C$7,Base!$A$3:$A$5001,"&lt;="&amp;$B117,Base!$K$3:$K$5001,"&lt;&gt;")=0,"",SUMIFS(Base!$K$3:$K$5001,Base!$B$3:$B$5001,C$108,Base!$A$3:$A$5001,_xlfn.MAXIFS(Base!$A$3:$A$5001,Base!$B$3:$B$5001,C$108,Base!$A$3:$A$5001,"&gt;="&amp;$C$7,Base!$A$3:$A$5001,"&lt;="&amp;$B117,Base!$K$3:$K$5001,"&lt;&gt;"))))</f>
        <v/>
      </c>
      <c r="D117" s="149" t="str">
        <f>IF($A117&gt;$B$9,"",IF(COUNTIFS(Base!$B$3:$B$5001,D$108,Base!$A$3:$A$5001,"&gt;="&amp;$C$7,Base!$A$3:$A$5001,"&lt;="&amp;$B117,Base!$K$3:$K$5001,"&lt;&gt;")=0,"",SUMIFS(Base!$K$3:$K$5001,Base!$B$3:$B$5001,D$108,Base!$A$3:$A$5001,_xlfn.MAXIFS(Base!$A$3:$A$5001,Base!$B$3:$B$5001,D$108,Base!$A$3:$A$5001,"&gt;="&amp;$C$7,Base!$A$3:$A$5001,"&lt;="&amp;$B117,Base!$K$3:$K$5001,"&lt;&gt;"))))</f>
        <v/>
      </c>
      <c r="E117" s="149" t="str">
        <f>IF($A117&gt;$B$9,"",IF(COUNTIFS(Base!$B$3:$B$5001,E$108,Base!$A$3:$A$5001,"&gt;="&amp;$C$7,Base!$A$3:$A$5001,"&lt;="&amp;$B117,Base!$K$3:$K$5001,"&lt;&gt;")=0,"",SUMIFS(Base!$K$3:$K$5001,Base!$B$3:$B$5001,E$108,Base!$A$3:$A$5001,_xlfn.MAXIFS(Base!$A$3:$A$5001,Base!$B$3:$B$5001,E$108,Base!$A$3:$A$5001,"&gt;="&amp;$C$7,Base!$A$3:$A$5001,"&lt;="&amp;$B117,Base!$K$3:$K$5001,"&lt;&gt;"))))</f>
        <v/>
      </c>
      <c r="F117" s="149" t="str">
        <f>IF($A117&gt;$B$9,"",IF(COUNTIFS(Base!$B$3:$B$5001,F$108,Base!$A$3:$A$5001,"&gt;="&amp;$C$7,Base!$A$3:$A$5001,"&lt;="&amp;$B117,Base!$K$3:$K$5001,"&lt;&gt;")=0,"",SUMIFS(Base!$K$3:$K$5001,Base!$B$3:$B$5001,F$108,Base!$A$3:$A$5001,_xlfn.MAXIFS(Base!$A$3:$A$5001,Base!$B$3:$B$5001,F$108,Base!$A$3:$A$5001,"&gt;="&amp;$C$7,Base!$A$3:$A$5001,"&lt;="&amp;$B117,Base!$K$3:$K$5001,"&lt;&gt;"))))</f>
        <v/>
      </c>
      <c r="G117" s="149" t="str">
        <f>IF($A117&gt;$B$9,"",IF(COUNTIFS(Base!$B$3:$B$5001,G$108,Base!$A$3:$A$5001,"&gt;="&amp;$C$7,Base!$A$3:$A$5001,"&lt;="&amp;$B117,Base!$K$3:$K$5001,"&lt;&gt;")=0,"",SUMIFS(Base!$K$3:$K$5001,Base!$B$3:$B$5001,G$108,Base!$A$3:$A$5001,_xlfn.MAXIFS(Base!$A$3:$A$5001,Base!$B$3:$B$5001,G$108,Base!$A$3:$A$5001,"&gt;="&amp;$C$7,Base!$A$3:$A$5001,"&lt;="&amp;$B117,Base!$K$3:$K$5001,"&lt;&gt;"))))</f>
        <v/>
      </c>
    </row>
    <row r="118">
      <c r="A118" s="147">
        <v>10</v>
      </c>
      <c r="B118" s="148">
        <f>$B$21</f>
        <v>46275</v>
      </c>
      <c r="C118" s="149" t="str">
        <f>IF($A118&gt;$B$9,"",IF(COUNTIFS(Base!$B$3:$B$5001,C$108,Base!$A$3:$A$5001,"&gt;="&amp;$C$7,Base!$A$3:$A$5001,"&lt;="&amp;$B118,Base!$K$3:$K$5001,"&lt;&gt;")=0,"",SUMIFS(Base!$K$3:$K$5001,Base!$B$3:$B$5001,C$108,Base!$A$3:$A$5001,_xlfn.MAXIFS(Base!$A$3:$A$5001,Base!$B$3:$B$5001,C$108,Base!$A$3:$A$5001,"&gt;="&amp;$C$7,Base!$A$3:$A$5001,"&lt;="&amp;$B118,Base!$K$3:$K$5001,"&lt;&gt;"))))</f>
        <v/>
      </c>
      <c r="D118" s="149" t="str">
        <f>IF($A118&gt;$B$9,"",IF(COUNTIFS(Base!$B$3:$B$5001,D$108,Base!$A$3:$A$5001,"&gt;="&amp;$C$7,Base!$A$3:$A$5001,"&lt;="&amp;$B118,Base!$K$3:$K$5001,"&lt;&gt;")=0,"",SUMIFS(Base!$K$3:$K$5001,Base!$B$3:$B$5001,D$108,Base!$A$3:$A$5001,_xlfn.MAXIFS(Base!$A$3:$A$5001,Base!$B$3:$B$5001,D$108,Base!$A$3:$A$5001,"&gt;="&amp;$C$7,Base!$A$3:$A$5001,"&lt;="&amp;$B118,Base!$K$3:$K$5001,"&lt;&gt;"))))</f>
        <v/>
      </c>
      <c r="E118" s="149" t="str">
        <f>IF($A118&gt;$B$9,"",IF(COUNTIFS(Base!$B$3:$B$5001,E$108,Base!$A$3:$A$5001,"&gt;="&amp;$C$7,Base!$A$3:$A$5001,"&lt;="&amp;$B118,Base!$K$3:$K$5001,"&lt;&gt;")=0,"",SUMIFS(Base!$K$3:$K$5001,Base!$B$3:$B$5001,E$108,Base!$A$3:$A$5001,_xlfn.MAXIFS(Base!$A$3:$A$5001,Base!$B$3:$B$5001,E$108,Base!$A$3:$A$5001,"&gt;="&amp;$C$7,Base!$A$3:$A$5001,"&lt;="&amp;$B118,Base!$K$3:$K$5001,"&lt;&gt;"))))</f>
        <v/>
      </c>
      <c r="F118" s="149" t="str">
        <f>IF($A118&gt;$B$9,"",IF(COUNTIFS(Base!$B$3:$B$5001,F$108,Base!$A$3:$A$5001,"&gt;="&amp;$C$7,Base!$A$3:$A$5001,"&lt;="&amp;$B118,Base!$K$3:$K$5001,"&lt;&gt;")=0,"",SUMIFS(Base!$K$3:$K$5001,Base!$B$3:$B$5001,F$108,Base!$A$3:$A$5001,_xlfn.MAXIFS(Base!$A$3:$A$5001,Base!$B$3:$B$5001,F$108,Base!$A$3:$A$5001,"&gt;="&amp;$C$7,Base!$A$3:$A$5001,"&lt;="&amp;$B118,Base!$K$3:$K$5001,"&lt;&gt;"))))</f>
        <v/>
      </c>
      <c r="G118" s="149" t="str">
        <f>IF($A118&gt;$B$9,"",IF(COUNTIFS(Base!$B$3:$B$5001,G$108,Base!$A$3:$A$5001,"&gt;="&amp;$C$7,Base!$A$3:$A$5001,"&lt;="&amp;$B118,Base!$K$3:$K$5001,"&lt;&gt;")=0,"",SUMIFS(Base!$K$3:$K$5001,Base!$B$3:$B$5001,G$108,Base!$A$3:$A$5001,_xlfn.MAXIFS(Base!$A$3:$A$5001,Base!$B$3:$B$5001,G$108,Base!$A$3:$A$5001,"&gt;="&amp;$C$7,Base!$A$3:$A$5001,"&lt;="&amp;$B118,Base!$K$3:$K$5001,"&lt;&gt;"))))</f>
        <v/>
      </c>
    </row>
    <row r="119">
      <c r="A119" s="147">
        <v>11</v>
      </c>
      <c r="B119" s="148">
        <f>$B$22</f>
        <v>46276</v>
      </c>
      <c r="C119" s="149" t="str">
        <f>IF($A119&gt;$B$9,"",IF(COUNTIFS(Base!$B$3:$B$5001,C$108,Base!$A$3:$A$5001,"&gt;="&amp;$C$7,Base!$A$3:$A$5001,"&lt;="&amp;$B119,Base!$K$3:$K$5001,"&lt;&gt;")=0,"",SUMIFS(Base!$K$3:$K$5001,Base!$B$3:$B$5001,C$108,Base!$A$3:$A$5001,_xlfn.MAXIFS(Base!$A$3:$A$5001,Base!$B$3:$B$5001,C$108,Base!$A$3:$A$5001,"&gt;="&amp;$C$7,Base!$A$3:$A$5001,"&lt;="&amp;$B119,Base!$K$3:$K$5001,"&lt;&gt;"))))</f>
        <v/>
      </c>
      <c r="D119" s="149" t="str">
        <f>IF($A119&gt;$B$9,"",IF(COUNTIFS(Base!$B$3:$B$5001,D$108,Base!$A$3:$A$5001,"&gt;="&amp;$C$7,Base!$A$3:$A$5001,"&lt;="&amp;$B119,Base!$K$3:$K$5001,"&lt;&gt;")=0,"",SUMIFS(Base!$K$3:$K$5001,Base!$B$3:$B$5001,D$108,Base!$A$3:$A$5001,_xlfn.MAXIFS(Base!$A$3:$A$5001,Base!$B$3:$B$5001,D$108,Base!$A$3:$A$5001,"&gt;="&amp;$C$7,Base!$A$3:$A$5001,"&lt;="&amp;$B119,Base!$K$3:$K$5001,"&lt;&gt;"))))</f>
        <v/>
      </c>
      <c r="E119" s="149" t="str">
        <f>IF($A119&gt;$B$9,"",IF(COUNTIFS(Base!$B$3:$B$5001,E$108,Base!$A$3:$A$5001,"&gt;="&amp;$C$7,Base!$A$3:$A$5001,"&lt;="&amp;$B119,Base!$K$3:$K$5001,"&lt;&gt;")=0,"",SUMIFS(Base!$K$3:$K$5001,Base!$B$3:$B$5001,E$108,Base!$A$3:$A$5001,_xlfn.MAXIFS(Base!$A$3:$A$5001,Base!$B$3:$B$5001,E$108,Base!$A$3:$A$5001,"&gt;="&amp;$C$7,Base!$A$3:$A$5001,"&lt;="&amp;$B119,Base!$K$3:$K$5001,"&lt;&gt;"))))</f>
        <v/>
      </c>
      <c r="F119" s="149" t="str">
        <f>IF($A119&gt;$B$9,"",IF(COUNTIFS(Base!$B$3:$B$5001,F$108,Base!$A$3:$A$5001,"&gt;="&amp;$C$7,Base!$A$3:$A$5001,"&lt;="&amp;$B119,Base!$K$3:$K$5001,"&lt;&gt;")=0,"",SUMIFS(Base!$K$3:$K$5001,Base!$B$3:$B$5001,F$108,Base!$A$3:$A$5001,_xlfn.MAXIFS(Base!$A$3:$A$5001,Base!$B$3:$B$5001,F$108,Base!$A$3:$A$5001,"&gt;="&amp;$C$7,Base!$A$3:$A$5001,"&lt;="&amp;$B119,Base!$K$3:$K$5001,"&lt;&gt;"))))</f>
        <v/>
      </c>
      <c r="G119" s="149" t="str">
        <f>IF($A119&gt;$B$9,"",IF(COUNTIFS(Base!$B$3:$B$5001,G$108,Base!$A$3:$A$5001,"&gt;="&amp;$C$7,Base!$A$3:$A$5001,"&lt;="&amp;$B119,Base!$K$3:$K$5001,"&lt;&gt;")=0,"",SUMIFS(Base!$K$3:$K$5001,Base!$B$3:$B$5001,G$108,Base!$A$3:$A$5001,_xlfn.MAXIFS(Base!$A$3:$A$5001,Base!$B$3:$B$5001,G$108,Base!$A$3:$A$5001,"&gt;="&amp;$C$7,Base!$A$3:$A$5001,"&lt;="&amp;$B119,Base!$K$3:$K$5001,"&lt;&gt;"))))</f>
        <v/>
      </c>
    </row>
    <row r="120">
      <c r="A120" s="147">
        <v>12</v>
      </c>
      <c r="B120" s="148">
        <f>$B$23</f>
        <v>46277</v>
      </c>
      <c r="C120" s="149" t="str">
        <f>IF($A120&gt;$B$9,"",IF(COUNTIFS(Base!$B$3:$B$5001,C$108,Base!$A$3:$A$5001,"&gt;="&amp;$C$7,Base!$A$3:$A$5001,"&lt;="&amp;$B120,Base!$K$3:$K$5001,"&lt;&gt;")=0,"",SUMIFS(Base!$K$3:$K$5001,Base!$B$3:$B$5001,C$108,Base!$A$3:$A$5001,_xlfn.MAXIFS(Base!$A$3:$A$5001,Base!$B$3:$B$5001,C$108,Base!$A$3:$A$5001,"&gt;="&amp;$C$7,Base!$A$3:$A$5001,"&lt;="&amp;$B120,Base!$K$3:$K$5001,"&lt;&gt;"))))</f>
        <v/>
      </c>
      <c r="D120" s="149" t="str">
        <f>IF($A120&gt;$B$9,"",IF(COUNTIFS(Base!$B$3:$B$5001,D$108,Base!$A$3:$A$5001,"&gt;="&amp;$C$7,Base!$A$3:$A$5001,"&lt;="&amp;$B120,Base!$K$3:$K$5001,"&lt;&gt;")=0,"",SUMIFS(Base!$K$3:$K$5001,Base!$B$3:$B$5001,D$108,Base!$A$3:$A$5001,_xlfn.MAXIFS(Base!$A$3:$A$5001,Base!$B$3:$B$5001,D$108,Base!$A$3:$A$5001,"&gt;="&amp;$C$7,Base!$A$3:$A$5001,"&lt;="&amp;$B120,Base!$K$3:$K$5001,"&lt;&gt;"))))</f>
        <v/>
      </c>
      <c r="E120" s="149" t="str">
        <f>IF($A120&gt;$B$9,"",IF(COUNTIFS(Base!$B$3:$B$5001,E$108,Base!$A$3:$A$5001,"&gt;="&amp;$C$7,Base!$A$3:$A$5001,"&lt;="&amp;$B120,Base!$K$3:$K$5001,"&lt;&gt;")=0,"",SUMIFS(Base!$K$3:$K$5001,Base!$B$3:$B$5001,E$108,Base!$A$3:$A$5001,_xlfn.MAXIFS(Base!$A$3:$A$5001,Base!$B$3:$B$5001,E$108,Base!$A$3:$A$5001,"&gt;="&amp;$C$7,Base!$A$3:$A$5001,"&lt;="&amp;$B120,Base!$K$3:$K$5001,"&lt;&gt;"))))</f>
        <v/>
      </c>
      <c r="F120" s="149" t="str">
        <f>IF($A120&gt;$B$9,"",IF(COUNTIFS(Base!$B$3:$B$5001,F$108,Base!$A$3:$A$5001,"&gt;="&amp;$C$7,Base!$A$3:$A$5001,"&lt;="&amp;$B120,Base!$K$3:$K$5001,"&lt;&gt;")=0,"",SUMIFS(Base!$K$3:$K$5001,Base!$B$3:$B$5001,F$108,Base!$A$3:$A$5001,_xlfn.MAXIFS(Base!$A$3:$A$5001,Base!$B$3:$B$5001,F$108,Base!$A$3:$A$5001,"&gt;="&amp;$C$7,Base!$A$3:$A$5001,"&lt;="&amp;$B120,Base!$K$3:$K$5001,"&lt;&gt;"))))</f>
        <v/>
      </c>
      <c r="G120" s="149" t="str">
        <f>IF($A120&gt;$B$9,"",IF(COUNTIFS(Base!$B$3:$B$5001,G$108,Base!$A$3:$A$5001,"&gt;="&amp;$C$7,Base!$A$3:$A$5001,"&lt;="&amp;$B120,Base!$K$3:$K$5001,"&lt;&gt;")=0,"",SUMIFS(Base!$K$3:$K$5001,Base!$B$3:$B$5001,G$108,Base!$A$3:$A$5001,_xlfn.MAXIFS(Base!$A$3:$A$5001,Base!$B$3:$B$5001,G$108,Base!$A$3:$A$5001,"&gt;="&amp;$C$7,Base!$A$3:$A$5001,"&lt;="&amp;$B120,Base!$K$3:$K$5001,"&lt;&gt;"))))</f>
        <v/>
      </c>
    </row>
    <row r="121">
      <c r="A121" s="147">
        <v>13</v>
      </c>
      <c r="B121" s="148">
        <f>$B$24</f>
        <v>46278</v>
      </c>
      <c r="C121" s="149" t="str">
        <f>IF($A121&gt;$B$9,"",IF(COUNTIFS(Base!$B$3:$B$5001,C$108,Base!$A$3:$A$5001,"&gt;="&amp;$C$7,Base!$A$3:$A$5001,"&lt;="&amp;$B121,Base!$K$3:$K$5001,"&lt;&gt;")=0,"",SUMIFS(Base!$K$3:$K$5001,Base!$B$3:$B$5001,C$108,Base!$A$3:$A$5001,_xlfn.MAXIFS(Base!$A$3:$A$5001,Base!$B$3:$B$5001,C$108,Base!$A$3:$A$5001,"&gt;="&amp;$C$7,Base!$A$3:$A$5001,"&lt;="&amp;$B121,Base!$K$3:$K$5001,"&lt;&gt;"))))</f>
        <v/>
      </c>
      <c r="D121" s="149" t="str">
        <f>IF($A121&gt;$B$9,"",IF(COUNTIFS(Base!$B$3:$B$5001,D$108,Base!$A$3:$A$5001,"&gt;="&amp;$C$7,Base!$A$3:$A$5001,"&lt;="&amp;$B121,Base!$K$3:$K$5001,"&lt;&gt;")=0,"",SUMIFS(Base!$K$3:$K$5001,Base!$B$3:$B$5001,D$108,Base!$A$3:$A$5001,_xlfn.MAXIFS(Base!$A$3:$A$5001,Base!$B$3:$B$5001,D$108,Base!$A$3:$A$5001,"&gt;="&amp;$C$7,Base!$A$3:$A$5001,"&lt;="&amp;$B121,Base!$K$3:$K$5001,"&lt;&gt;"))))</f>
        <v/>
      </c>
      <c r="E121" s="149" t="str">
        <f>IF($A121&gt;$B$9,"",IF(COUNTIFS(Base!$B$3:$B$5001,E$108,Base!$A$3:$A$5001,"&gt;="&amp;$C$7,Base!$A$3:$A$5001,"&lt;="&amp;$B121,Base!$K$3:$K$5001,"&lt;&gt;")=0,"",SUMIFS(Base!$K$3:$K$5001,Base!$B$3:$B$5001,E$108,Base!$A$3:$A$5001,_xlfn.MAXIFS(Base!$A$3:$A$5001,Base!$B$3:$B$5001,E$108,Base!$A$3:$A$5001,"&gt;="&amp;$C$7,Base!$A$3:$A$5001,"&lt;="&amp;$B121,Base!$K$3:$K$5001,"&lt;&gt;"))))</f>
        <v/>
      </c>
      <c r="F121" s="149" t="str">
        <f>IF($A121&gt;$B$9,"",IF(COUNTIFS(Base!$B$3:$B$5001,F$108,Base!$A$3:$A$5001,"&gt;="&amp;$C$7,Base!$A$3:$A$5001,"&lt;="&amp;$B121,Base!$K$3:$K$5001,"&lt;&gt;")=0,"",SUMIFS(Base!$K$3:$K$5001,Base!$B$3:$B$5001,F$108,Base!$A$3:$A$5001,_xlfn.MAXIFS(Base!$A$3:$A$5001,Base!$B$3:$B$5001,F$108,Base!$A$3:$A$5001,"&gt;="&amp;$C$7,Base!$A$3:$A$5001,"&lt;="&amp;$B121,Base!$K$3:$K$5001,"&lt;&gt;"))))</f>
        <v/>
      </c>
      <c r="G121" s="149" t="str">
        <f>IF($A121&gt;$B$9,"",IF(COUNTIFS(Base!$B$3:$B$5001,G$108,Base!$A$3:$A$5001,"&gt;="&amp;$C$7,Base!$A$3:$A$5001,"&lt;="&amp;$B121,Base!$K$3:$K$5001,"&lt;&gt;")=0,"",SUMIFS(Base!$K$3:$K$5001,Base!$B$3:$B$5001,G$108,Base!$A$3:$A$5001,_xlfn.MAXIFS(Base!$A$3:$A$5001,Base!$B$3:$B$5001,G$108,Base!$A$3:$A$5001,"&gt;="&amp;$C$7,Base!$A$3:$A$5001,"&lt;="&amp;$B121,Base!$K$3:$K$5001,"&lt;&gt;"))))</f>
        <v/>
      </c>
    </row>
    <row r="122">
      <c r="A122" s="147">
        <v>14</v>
      </c>
      <c r="B122" s="148">
        <f>$B$25</f>
        <v>46279</v>
      </c>
      <c r="C122" s="149" t="str">
        <f>IF($A122&gt;$B$9,"",IF(COUNTIFS(Base!$B$3:$B$5001,C$108,Base!$A$3:$A$5001,"&gt;="&amp;$C$7,Base!$A$3:$A$5001,"&lt;="&amp;$B122,Base!$K$3:$K$5001,"&lt;&gt;")=0,"",SUMIFS(Base!$K$3:$K$5001,Base!$B$3:$B$5001,C$108,Base!$A$3:$A$5001,_xlfn.MAXIFS(Base!$A$3:$A$5001,Base!$B$3:$B$5001,C$108,Base!$A$3:$A$5001,"&gt;="&amp;$C$7,Base!$A$3:$A$5001,"&lt;="&amp;$B122,Base!$K$3:$K$5001,"&lt;&gt;"))))</f>
        <v/>
      </c>
      <c r="D122" s="149" t="str">
        <f>IF($A122&gt;$B$9,"",IF(COUNTIFS(Base!$B$3:$B$5001,D$108,Base!$A$3:$A$5001,"&gt;="&amp;$C$7,Base!$A$3:$A$5001,"&lt;="&amp;$B122,Base!$K$3:$K$5001,"&lt;&gt;")=0,"",SUMIFS(Base!$K$3:$K$5001,Base!$B$3:$B$5001,D$108,Base!$A$3:$A$5001,_xlfn.MAXIFS(Base!$A$3:$A$5001,Base!$B$3:$B$5001,D$108,Base!$A$3:$A$5001,"&gt;="&amp;$C$7,Base!$A$3:$A$5001,"&lt;="&amp;$B122,Base!$K$3:$K$5001,"&lt;&gt;"))))</f>
        <v/>
      </c>
      <c r="E122" s="149" t="str">
        <f>IF($A122&gt;$B$9,"",IF(COUNTIFS(Base!$B$3:$B$5001,E$108,Base!$A$3:$A$5001,"&gt;="&amp;$C$7,Base!$A$3:$A$5001,"&lt;="&amp;$B122,Base!$K$3:$K$5001,"&lt;&gt;")=0,"",SUMIFS(Base!$K$3:$K$5001,Base!$B$3:$B$5001,E$108,Base!$A$3:$A$5001,_xlfn.MAXIFS(Base!$A$3:$A$5001,Base!$B$3:$B$5001,E$108,Base!$A$3:$A$5001,"&gt;="&amp;$C$7,Base!$A$3:$A$5001,"&lt;="&amp;$B122,Base!$K$3:$K$5001,"&lt;&gt;"))))</f>
        <v/>
      </c>
      <c r="F122" s="149" t="str">
        <f>IF($A122&gt;$B$9,"",IF(COUNTIFS(Base!$B$3:$B$5001,F$108,Base!$A$3:$A$5001,"&gt;="&amp;$C$7,Base!$A$3:$A$5001,"&lt;="&amp;$B122,Base!$K$3:$K$5001,"&lt;&gt;")=0,"",SUMIFS(Base!$K$3:$K$5001,Base!$B$3:$B$5001,F$108,Base!$A$3:$A$5001,_xlfn.MAXIFS(Base!$A$3:$A$5001,Base!$B$3:$B$5001,F$108,Base!$A$3:$A$5001,"&gt;="&amp;$C$7,Base!$A$3:$A$5001,"&lt;="&amp;$B122,Base!$K$3:$K$5001,"&lt;&gt;"))))</f>
        <v/>
      </c>
      <c r="G122" s="149" t="str">
        <f>IF($A122&gt;$B$9,"",IF(COUNTIFS(Base!$B$3:$B$5001,G$108,Base!$A$3:$A$5001,"&gt;="&amp;$C$7,Base!$A$3:$A$5001,"&lt;="&amp;$B122,Base!$K$3:$K$5001,"&lt;&gt;")=0,"",SUMIFS(Base!$K$3:$K$5001,Base!$B$3:$B$5001,G$108,Base!$A$3:$A$5001,_xlfn.MAXIFS(Base!$A$3:$A$5001,Base!$B$3:$B$5001,G$108,Base!$A$3:$A$5001,"&gt;="&amp;$C$7,Base!$A$3:$A$5001,"&lt;="&amp;$B122,Base!$K$3:$K$5001,"&lt;&gt;"))))</f>
        <v/>
      </c>
    </row>
    <row r="123">
      <c r="A123" s="147">
        <v>15</v>
      </c>
      <c r="B123" s="148">
        <f>$B$26</f>
        <v>46280</v>
      </c>
      <c r="C123" s="149" t="str">
        <f>IF($A123&gt;$B$9,"",IF(COUNTIFS(Base!$B$3:$B$5001,C$108,Base!$A$3:$A$5001,"&gt;="&amp;$C$7,Base!$A$3:$A$5001,"&lt;="&amp;$B123,Base!$K$3:$K$5001,"&lt;&gt;")=0,"",SUMIFS(Base!$K$3:$K$5001,Base!$B$3:$B$5001,C$108,Base!$A$3:$A$5001,_xlfn.MAXIFS(Base!$A$3:$A$5001,Base!$B$3:$B$5001,C$108,Base!$A$3:$A$5001,"&gt;="&amp;$C$7,Base!$A$3:$A$5001,"&lt;="&amp;$B123,Base!$K$3:$K$5001,"&lt;&gt;"))))</f>
        <v/>
      </c>
      <c r="D123" s="149" t="str">
        <f>IF($A123&gt;$B$9,"",IF(COUNTIFS(Base!$B$3:$B$5001,D$108,Base!$A$3:$A$5001,"&gt;="&amp;$C$7,Base!$A$3:$A$5001,"&lt;="&amp;$B123,Base!$K$3:$K$5001,"&lt;&gt;")=0,"",SUMIFS(Base!$K$3:$K$5001,Base!$B$3:$B$5001,D$108,Base!$A$3:$A$5001,_xlfn.MAXIFS(Base!$A$3:$A$5001,Base!$B$3:$B$5001,D$108,Base!$A$3:$A$5001,"&gt;="&amp;$C$7,Base!$A$3:$A$5001,"&lt;="&amp;$B123,Base!$K$3:$K$5001,"&lt;&gt;"))))</f>
        <v/>
      </c>
      <c r="E123" s="149" t="str">
        <f>IF($A123&gt;$B$9,"",IF(COUNTIFS(Base!$B$3:$B$5001,E$108,Base!$A$3:$A$5001,"&gt;="&amp;$C$7,Base!$A$3:$A$5001,"&lt;="&amp;$B123,Base!$K$3:$K$5001,"&lt;&gt;")=0,"",SUMIFS(Base!$K$3:$K$5001,Base!$B$3:$B$5001,E$108,Base!$A$3:$A$5001,_xlfn.MAXIFS(Base!$A$3:$A$5001,Base!$B$3:$B$5001,E$108,Base!$A$3:$A$5001,"&gt;="&amp;$C$7,Base!$A$3:$A$5001,"&lt;="&amp;$B123,Base!$K$3:$K$5001,"&lt;&gt;"))))</f>
        <v/>
      </c>
      <c r="F123" s="149" t="str">
        <f>IF($A123&gt;$B$9,"",IF(COUNTIFS(Base!$B$3:$B$5001,F$108,Base!$A$3:$A$5001,"&gt;="&amp;$C$7,Base!$A$3:$A$5001,"&lt;="&amp;$B123,Base!$K$3:$K$5001,"&lt;&gt;")=0,"",SUMIFS(Base!$K$3:$K$5001,Base!$B$3:$B$5001,F$108,Base!$A$3:$A$5001,_xlfn.MAXIFS(Base!$A$3:$A$5001,Base!$B$3:$B$5001,F$108,Base!$A$3:$A$5001,"&gt;="&amp;$C$7,Base!$A$3:$A$5001,"&lt;="&amp;$B123,Base!$K$3:$K$5001,"&lt;&gt;"))))</f>
        <v/>
      </c>
      <c r="G123" s="149" t="str">
        <f>IF($A123&gt;$B$9,"",IF(COUNTIFS(Base!$B$3:$B$5001,G$108,Base!$A$3:$A$5001,"&gt;="&amp;$C$7,Base!$A$3:$A$5001,"&lt;="&amp;$B123,Base!$K$3:$K$5001,"&lt;&gt;")=0,"",SUMIFS(Base!$K$3:$K$5001,Base!$B$3:$B$5001,G$108,Base!$A$3:$A$5001,_xlfn.MAXIFS(Base!$A$3:$A$5001,Base!$B$3:$B$5001,G$108,Base!$A$3:$A$5001,"&gt;="&amp;$C$7,Base!$A$3:$A$5001,"&lt;="&amp;$B123,Base!$K$3:$K$5001,"&lt;&gt;"))))</f>
        <v/>
      </c>
    </row>
    <row r="124">
      <c r="A124" s="147">
        <v>16</v>
      </c>
      <c r="B124" s="148">
        <f>$B$27</f>
        <v>46281</v>
      </c>
      <c r="C124" s="149" t="str">
        <f>IF($A124&gt;$B$9,"",IF(COUNTIFS(Base!$B$3:$B$5001,C$108,Base!$A$3:$A$5001,"&gt;="&amp;$C$7,Base!$A$3:$A$5001,"&lt;="&amp;$B124,Base!$K$3:$K$5001,"&lt;&gt;")=0,"",SUMIFS(Base!$K$3:$K$5001,Base!$B$3:$B$5001,C$108,Base!$A$3:$A$5001,_xlfn.MAXIFS(Base!$A$3:$A$5001,Base!$B$3:$B$5001,C$108,Base!$A$3:$A$5001,"&gt;="&amp;$C$7,Base!$A$3:$A$5001,"&lt;="&amp;$B124,Base!$K$3:$K$5001,"&lt;&gt;"))))</f>
        <v/>
      </c>
      <c r="D124" s="149" t="str">
        <f>IF($A124&gt;$B$9,"",IF(COUNTIFS(Base!$B$3:$B$5001,D$108,Base!$A$3:$A$5001,"&gt;="&amp;$C$7,Base!$A$3:$A$5001,"&lt;="&amp;$B124,Base!$K$3:$K$5001,"&lt;&gt;")=0,"",SUMIFS(Base!$K$3:$K$5001,Base!$B$3:$B$5001,D$108,Base!$A$3:$A$5001,_xlfn.MAXIFS(Base!$A$3:$A$5001,Base!$B$3:$B$5001,D$108,Base!$A$3:$A$5001,"&gt;="&amp;$C$7,Base!$A$3:$A$5001,"&lt;="&amp;$B124,Base!$K$3:$K$5001,"&lt;&gt;"))))</f>
        <v/>
      </c>
      <c r="E124" s="149" t="str">
        <f>IF($A124&gt;$B$9,"",IF(COUNTIFS(Base!$B$3:$B$5001,E$108,Base!$A$3:$A$5001,"&gt;="&amp;$C$7,Base!$A$3:$A$5001,"&lt;="&amp;$B124,Base!$K$3:$K$5001,"&lt;&gt;")=0,"",SUMIFS(Base!$K$3:$K$5001,Base!$B$3:$B$5001,E$108,Base!$A$3:$A$5001,_xlfn.MAXIFS(Base!$A$3:$A$5001,Base!$B$3:$B$5001,E$108,Base!$A$3:$A$5001,"&gt;="&amp;$C$7,Base!$A$3:$A$5001,"&lt;="&amp;$B124,Base!$K$3:$K$5001,"&lt;&gt;"))))</f>
        <v/>
      </c>
      <c r="F124" s="149" t="str">
        <f>IF($A124&gt;$B$9,"",IF(COUNTIFS(Base!$B$3:$B$5001,F$108,Base!$A$3:$A$5001,"&gt;="&amp;$C$7,Base!$A$3:$A$5001,"&lt;="&amp;$B124,Base!$K$3:$K$5001,"&lt;&gt;")=0,"",SUMIFS(Base!$K$3:$K$5001,Base!$B$3:$B$5001,F$108,Base!$A$3:$A$5001,_xlfn.MAXIFS(Base!$A$3:$A$5001,Base!$B$3:$B$5001,F$108,Base!$A$3:$A$5001,"&gt;="&amp;$C$7,Base!$A$3:$A$5001,"&lt;="&amp;$B124,Base!$K$3:$K$5001,"&lt;&gt;"))))</f>
        <v/>
      </c>
      <c r="G124" s="149" t="str">
        <f>IF($A124&gt;$B$9,"",IF(COUNTIFS(Base!$B$3:$B$5001,G$108,Base!$A$3:$A$5001,"&gt;="&amp;$C$7,Base!$A$3:$A$5001,"&lt;="&amp;$B124,Base!$K$3:$K$5001,"&lt;&gt;")=0,"",SUMIFS(Base!$K$3:$K$5001,Base!$B$3:$B$5001,G$108,Base!$A$3:$A$5001,_xlfn.MAXIFS(Base!$A$3:$A$5001,Base!$B$3:$B$5001,G$108,Base!$A$3:$A$5001,"&gt;="&amp;$C$7,Base!$A$3:$A$5001,"&lt;="&amp;$B124,Base!$K$3:$K$5001,"&lt;&gt;"))))</f>
        <v/>
      </c>
    </row>
    <row r="125">
      <c r="A125" s="147">
        <v>17</v>
      </c>
      <c r="B125" s="148">
        <f>$B$28</f>
        <v>46282</v>
      </c>
      <c r="C125" s="149" t="str">
        <f>IF($A125&gt;$B$9,"",IF(COUNTIFS(Base!$B$3:$B$5001,C$108,Base!$A$3:$A$5001,"&gt;="&amp;$C$7,Base!$A$3:$A$5001,"&lt;="&amp;$B125,Base!$K$3:$K$5001,"&lt;&gt;")=0,"",SUMIFS(Base!$K$3:$K$5001,Base!$B$3:$B$5001,C$108,Base!$A$3:$A$5001,_xlfn.MAXIFS(Base!$A$3:$A$5001,Base!$B$3:$B$5001,C$108,Base!$A$3:$A$5001,"&gt;="&amp;$C$7,Base!$A$3:$A$5001,"&lt;="&amp;$B125,Base!$K$3:$K$5001,"&lt;&gt;"))))</f>
        <v/>
      </c>
      <c r="D125" s="149" t="str">
        <f>IF($A125&gt;$B$9,"",IF(COUNTIFS(Base!$B$3:$B$5001,D$108,Base!$A$3:$A$5001,"&gt;="&amp;$C$7,Base!$A$3:$A$5001,"&lt;="&amp;$B125,Base!$K$3:$K$5001,"&lt;&gt;")=0,"",SUMIFS(Base!$K$3:$K$5001,Base!$B$3:$B$5001,D$108,Base!$A$3:$A$5001,_xlfn.MAXIFS(Base!$A$3:$A$5001,Base!$B$3:$B$5001,D$108,Base!$A$3:$A$5001,"&gt;="&amp;$C$7,Base!$A$3:$A$5001,"&lt;="&amp;$B125,Base!$K$3:$K$5001,"&lt;&gt;"))))</f>
        <v/>
      </c>
      <c r="E125" s="149" t="str">
        <f>IF($A125&gt;$B$9,"",IF(COUNTIFS(Base!$B$3:$B$5001,E$108,Base!$A$3:$A$5001,"&gt;="&amp;$C$7,Base!$A$3:$A$5001,"&lt;="&amp;$B125,Base!$K$3:$K$5001,"&lt;&gt;")=0,"",SUMIFS(Base!$K$3:$K$5001,Base!$B$3:$B$5001,E$108,Base!$A$3:$A$5001,_xlfn.MAXIFS(Base!$A$3:$A$5001,Base!$B$3:$B$5001,E$108,Base!$A$3:$A$5001,"&gt;="&amp;$C$7,Base!$A$3:$A$5001,"&lt;="&amp;$B125,Base!$K$3:$K$5001,"&lt;&gt;"))))</f>
        <v/>
      </c>
      <c r="F125" s="149" t="str">
        <f>IF($A125&gt;$B$9,"",IF(COUNTIFS(Base!$B$3:$B$5001,F$108,Base!$A$3:$A$5001,"&gt;="&amp;$C$7,Base!$A$3:$A$5001,"&lt;="&amp;$B125,Base!$K$3:$K$5001,"&lt;&gt;")=0,"",SUMIFS(Base!$K$3:$K$5001,Base!$B$3:$B$5001,F$108,Base!$A$3:$A$5001,_xlfn.MAXIFS(Base!$A$3:$A$5001,Base!$B$3:$B$5001,F$108,Base!$A$3:$A$5001,"&gt;="&amp;$C$7,Base!$A$3:$A$5001,"&lt;="&amp;$B125,Base!$K$3:$K$5001,"&lt;&gt;"))))</f>
        <v/>
      </c>
      <c r="G125" s="149" t="str">
        <f>IF($A125&gt;$B$9,"",IF(COUNTIFS(Base!$B$3:$B$5001,G$108,Base!$A$3:$A$5001,"&gt;="&amp;$C$7,Base!$A$3:$A$5001,"&lt;="&amp;$B125,Base!$K$3:$K$5001,"&lt;&gt;")=0,"",SUMIFS(Base!$K$3:$K$5001,Base!$B$3:$B$5001,G$108,Base!$A$3:$A$5001,_xlfn.MAXIFS(Base!$A$3:$A$5001,Base!$B$3:$B$5001,G$108,Base!$A$3:$A$5001,"&gt;="&amp;$C$7,Base!$A$3:$A$5001,"&lt;="&amp;$B125,Base!$K$3:$K$5001,"&lt;&gt;"))))</f>
        <v/>
      </c>
    </row>
    <row r="126">
      <c r="A126" s="147">
        <v>18</v>
      </c>
      <c r="B126" s="148">
        <f>$B$29</f>
        <v>46283</v>
      </c>
      <c r="C126" s="149" t="str">
        <f>IF($A126&gt;$B$9,"",IF(COUNTIFS(Base!$B$3:$B$5001,C$108,Base!$A$3:$A$5001,"&gt;="&amp;$C$7,Base!$A$3:$A$5001,"&lt;="&amp;$B126,Base!$K$3:$K$5001,"&lt;&gt;")=0,"",SUMIFS(Base!$K$3:$K$5001,Base!$B$3:$B$5001,C$108,Base!$A$3:$A$5001,_xlfn.MAXIFS(Base!$A$3:$A$5001,Base!$B$3:$B$5001,C$108,Base!$A$3:$A$5001,"&gt;="&amp;$C$7,Base!$A$3:$A$5001,"&lt;="&amp;$B126,Base!$K$3:$K$5001,"&lt;&gt;"))))</f>
        <v/>
      </c>
      <c r="D126" s="149" t="str">
        <f>IF($A126&gt;$B$9,"",IF(COUNTIFS(Base!$B$3:$B$5001,D$108,Base!$A$3:$A$5001,"&gt;="&amp;$C$7,Base!$A$3:$A$5001,"&lt;="&amp;$B126,Base!$K$3:$K$5001,"&lt;&gt;")=0,"",SUMIFS(Base!$K$3:$K$5001,Base!$B$3:$B$5001,D$108,Base!$A$3:$A$5001,_xlfn.MAXIFS(Base!$A$3:$A$5001,Base!$B$3:$B$5001,D$108,Base!$A$3:$A$5001,"&gt;="&amp;$C$7,Base!$A$3:$A$5001,"&lt;="&amp;$B126,Base!$K$3:$K$5001,"&lt;&gt;"))))</f>
        <v/>
      </c>
      <c r="E126" s="149" t="str">
        <f>IF($A126&gt;$B$9,"",IF(COUNTIFS(Base!$B$3:$B$5001,E$108,Base!$A$3:$A$5001,"&gt;="&amp;$C$7,Base!$A$3:$A$5001,"&lt;="&amp;$B126,Base!$K$3:$K$5001,"&lt;&gt;")=0,"",SUMIFS(Base!$K$3:$K$5001,Base!$B$3:$B$5001,E$108,Base!$A$3:$A$5001,_xlfn.MAXIFS(Base!$A$3:$A$5001,Base!$B$3:$B$5001,E$108,Base!$A$3:$A$5001,"&gt;="&amp;$C$7,Base!$A$3:$A$5001,"&lt;="&amp;$B126,Base!$K$3:$K$5001,"&lt;&gt;"))))</f>
        <v/>
      </c>
      <c r="F126" s="149" t="str">
        <f>IF($A126&gt;$B$9,"",IF(COUNTIFS(Base!$B$3:$B$5001,F$108,Base!$A$3:$A$5001,"&gt;="&amp;$C$7,Base!$A$3:$A$5001,"&lt;="&amp;$B126,Base!$K$3:$K$5001,"&lt;&gt;")=0,"",SUMIFS(Base!$K$3:$K$5001,Base!$B$3:$B$5001,F$108,Base!$A$3:$A$5001,_xlfn.MAXIFS(Base!$A$3:$A$5001,Base!$B$3:$B$5001,F$108,Base!$A$3:$A$5001,"&gt;="&amp;$C$7,Base!$A$3:$A$5001,"&lt;="&amp;$B126,Base!$K$3:$K$5001,"&lt;&gt;"))))</f>
        <v/>
      </c>
      <c r="G126" s="149" t="str">
        <f>IF($A126&gt;$B$9,"",IF(COUNTIFS(Base!$B$3:$B$5001,G$108,Base!$A$3:$A$5001,"&gt;="&amp;$C$7,Base!$A$3:$A$5001,"&lt;="&amp;$B126,Base!$K$3:$K$5001,"&lt;&gt;")=0,"",SUMIFS(Base!$K$3:$K$5001,Base!$B$3:$B$5001,G$108,Base!$A$3:$A$5001,_xlfn.MAXIFS(Base!$A$3:$A$5001,Base!$B$3:$B$5001,G$108,Base!$A$3:$A$5001,"&gt;="&amp;$C$7,Base!$A$3:$A$5001,"&lt;="&amp;$B126,Base!$K$3:$K$5001,"&lt;&gt;"))))</f>
        <v/>
      </c>
    </row>
    <row r="127">
      <c r="A127" s="147">
        <v>19</v>
      </c>
      <c r="B127" s="148">
        <f>$B$30</f>
        <v>46284</v>
      </c>
      <c r="C127" s="149" t="str">
        <f>IF($A127&gt;$B$9,"",IF(COUNTIFS(Base!$B$3:$B$5001,C$108,Base!$A$3:$A$5001,"&gt;="&amp;$C$7,Base!$A$3:$A$5001,"&lt;="&amp;$B127,Base!$K$3:$K$5001,"&lt;&gt;")=0,"",SUMIFS(Base!$K$3:$K$5001,Base!$B$3:$B$5001,C$108,Base!$A$3:$A$5001,_xlfn.MAXIFS(Base!$A$3:$A$5001,Base!$B$3:$B$5001,C$108,Base!$A$3:$A$5001,"&gt;="&amp;$C$7,Base!$A$3:$A$5001,"&lt;="&amp;$B127,Base!$K$3:$K$5001,"&lt;&gt;"))))</f>
        <v/>
      </c>
      <c r="D127" s="149" t="str">
        <f>IF($A127&gt;$B$9,"",IF(COUNTIFS(Base!$B$3:$B$5001,D$108,Base!$A$3:$A$5001,"&gt;="&amp;$C$7,Base!$A$3:$A$5001,"&lt;="&amp;$B127,Base!$K$3:$K$5001,"&lt;&gt;")=0,"",SUMIFS(Base!$K$3:$K$5001,Base!$B$3:$B$5001,D$108,Base!$A$3:$A$5001,_xlfn.MAXIFS(Base!$A$3:$A$5001,Base!$B$3:$B$5001,D$108,Base!$A$3:$A$5001,"&gt;="&amp;$C$7,Base!$A$3:$A$5001,"&lt;="&amp;$B127,Base!$K$3:$K$5001,"&lt;&gt;"))))</f>
        <v/>
      </c>
      <c r="E127" s="149" t="str">
        <f>IF($A127&gt;$B$9,"",IF(COUNTIFS(Base!$B$3:$B$5001,E$108,Base!$A$3:$A$5001,"&gt;="&amp;$C$7,Base!$A$3:$A$5001,"&lt;="&amp;$B127,Base!$K$3:$K$5001,"&lt;&gt;")=0,"",SUMIFS(Base!$K$3:$K$5001,Base!$B$3:$B$5001,E$108,Base!$A$3:$A$5001,_xlfn.MAXIFS(Base!$A$3:$A$5001,Base!$B$3:$B$5001,E$108,Base!$A$3:$A$5001,"&gt;="&amp;$C$7,Base!$A$3:$A$5001,"&lt;="&amp;$B127,Base!$K$3:$K$5001,"&lt;&gt;"))))</f>
        <v/>
      </c>
      <c r="F127" s="149" t="str">
        <f>IF($A127&gt;$B$9,"",IF(COUNTIFS(Base!$B$3:$B$5001,F$108,Base!$A$3:$A$5001,"&gt;="&amp;$C$7,Base!$A$3:$A$5001,"&lt;="&amp;$B127,Base!$K$3:$K$5001,"&lt;&gt;")=0,"",SUMIFS(Base!$K$3:$K$5001,Base!$B$3:$B$5001,F$108,Base!$A$3:$A$5001,_xlfn.MAXIFS(Base!$A$3:$A$5001,Base!$B$3:$B$5001,F$108,Base!$A$3:$A$5001,"&gt;="&amp;$C$7,Base!$A$3:$A$5001,"&lt;="&amp;$B127,Base!$K$3:$K$5001,"&lt;&gt;"))))</f>
        <v/>
      </c>
      <c r="G127" s="149" t="str">
        <f>IF($A127&gt;$B$9,"",IF(COUNTIFS(Base!$B$3:$B$5001,G$108,Base!$A$3:$A$5001,"&gt;="&amp;$C$7,Base!$A$3:$A$5001,"&lt;="&amp;$B127,Base!$K$3:$K$5001,"&lt;&gt;")=0,"",SUMIFS(Base!$K$3:$K$5001,Base!$B$3:$B$5001,G$108,Base!$A$3:$A$5001,_xlfn.MAXIFS(Base!$A$3:$A$5001,Base!$B$3:$B$5001,G$108,Base!$A$3:$A$5001,"&gt;="&amp;$C$7,Base!$A$3:$A$5001,"&lt;="&amp;$B127,Base!$K$3:$K$5001,"&lt;&gt;"))))</f>
        <v/>
      </c>
    </row>
    <row r="128">
      <c r="A128" s="147">
        <v>20</v>
      </c>
      <c r="B128" s="148">
        <f>$B$31</f>
        <v>46285</v>
      </c>
      <c r="C128" s="149" t="str">
        <f>IF($A128&gt;$B$9,"",IF(COUNTIFS(Base!$B$3:$B$5001,C$108,Base!$A$3:$A$5001,"&gt;="&amp;$C$7,Base!$A$3:$A$5001,"&lt;="&amp;$B128,Base!$K$3:$K$5001,"&lt;&gt;")=0,"",SUMIFS(Base!$K$3:$K$5001,Base!$B$3:$B$5001,C$108,Base!$A$3:$A$5001,_xlfn.MAXIFS(Base!$A$3:$A$5001,Base!$B$3:$B$5001,C$108,Base!$A$3:$A$5001,"&gt;="&amp;$C$7,Base!$A$3:$A$5001,"&lt;="&amp;$B128,Base!$K$3:$K$5001,"&lt;&gt;"))))</f>
        <v/>
      </c>
      <c r="D128" s="149" t="str">
        <f>IF($A128&gt;$B$9,"",IF(COUNTIFS(Base!$B$3:$B$5001,D$108,Base!$A$3:$A$5001,"&gt;="&amp;$C$7,Base!$A$3:$A$5001,"&lt;="&amp;$B128,Base!$K$3:$K$5001,"&lt;&gt;")=0,"",SUMIFS(Base!$K$3:$K$5001,Base!$B$3:$B$5001,D$108,Base!$A$3:$A$5001,_xlfn.MAXIFS(Base!$A$3:$A$5001,Base!$B$3:$B$5001,D$108,Base!$A$3:$A$5001,"&gt;="&amp;$C$7,Base!$A$3:$A$5001,"&lt;="&amp;$B128,Base!$K$3:$K$5001,"&lt;&gt;"))))</f>
        <v/>
      </c>
      <c r="E128" s="149" t="str">
        <f>IF($A128&gt;$B$9,"",IF(COUNTIFS(Base!$B$3:$B$5001,E$108,Base!$A$3:$A$5001,"&gt;="&amp;$C$7,Base!$A$3:$A$5001,"&lt;="&amp;$B128,Base!$K$3:$K$5001,"&lt;&gt;")=0,"",SUMIFS(Base!$K$3:$K$5001,Base!$B$3:$B$5001,E$108,Base!$A$3:$A$5001,_xlfn.MAXIFS(Base!$A$3:$A$5001,Base!$B$3:$B$5001,E$108,Base!$A$3:$A$5001,"&gt;="&amp;$C$7,Base!$A$3:$A$5001,"&lt;="&amp;$B128,Base!$K$3:$K$5001,"&lt;&gt;"))))</f>
        <v/>
      </c>
      <c r="F128" s="149" t="str">
        <f>IF($A128&gt;$B$9,"",IF(COUNTIFS(Base!$B$3:$B$5001,F$108,Base!$A$3:$A$5001,"&gt;="&amp;$C$7,Base!$A$3:$A$5001,"&lt;="&amp;$B128,Base!$K$3:$K$5001,"&lt;&gt;")=0,"",SUMIFS(Base!$K$3:$K$5001,Base!$B$3:$B$5001,F$108,Base!$A$3:$A$5001,_xlfn.MAXIFS(Base!$A$3:$A$5001,Base!$B$3:$B$5001,F$108,Base!$A$3:$A$5001,"&gt;="&amp;$C$7,Base!$A$3:$A$5001,"&lt;="&amp;$B128,Base!$K$3:$K$5001,"&lt;&gt;"))))</f>
        <v/>
      </c>
      <c r="G128" s="149" t="str">
        <f>IF($A128&gt;$B$9,"",IF(COUNTIFS(Base!$B$3:$B$5001,G$108,Base!$A$3:$A$5001,"&gt;="&amp;$C$7,Base!$A$3:$A$5001,"&lt;="&amp;$B128,Base!$K$3:$K$5001,"&lt;&gt;")=0,"",SUMIFS(Base!$K$3:$K$5001,Base!$B$3:$B$5001,G$108,Base!$A$3:$A$5001,_xlfn.MAXIFS(Base!$A$3:$A$5001,Base!$B$3:$B$5001,G$108,Base!$A$3:$A$5001,"&gt;="&amp;$C$7,Base!$A$3:$A$5001,"&lt;="&amp;$B128,Base!$K$3:$K$5001,"&lt;&gt;"))))</f>
        <v/>
      </c>
    </row>
    <row r="129">
      <c r="A129" s="147">
        <v>21</v>
      </c>
      <c r="B129" s="148">
        <f>$B$32</f>
        <v>46286</v>
      </c>
      <c r="C129" s="149" t="str">
        <f>IF($A129&gt;$B$9,"",IF(COUNTIFS(Base!$B$3:$B$5001,C$108,Base!$A$3:$A$5001,"&gt;="&amp;$C$7,Base!$A$3:$A$5001,"&lt;="&amp;$B129,Base!$K$3:$K$5001,"&lt;&gt;")=0,"",SUMIFS(Base!$K$3:$K$5001,Base!$B$3:$B$5001,C$108,Base!$A$3:$A$5001,_xlfn.MAXIFS(Base!$A$3:$A$5001,Base!$B$3:$B$5001,C$108,Base!$A$3:$A$5001,"&gt;="&amp;$C$7,Base!$A$3:$A$5001,"&lt;="&amp;$B129,Base!$K$3:$K$5001,"&lt;&gt;"))))</f>
        <v/>
      </c>
      <c r="D129" s="149" t="str">
        <f>IF($A129&gt;$B$9,"",IF(COUNTIFS(Base!$B$3:$B$5001,D$108,Base!$A$3:$A$5001,"&gt;="&amp;$C$7,Base!$A$3:$A$5001,"&lt;="&amp;$B129,Base!$K$3:$K$5001,"&lt;&gt;")=0,"",SUMIFS(Base!$K$3:$K$5001,Base!$B$3:$B$5001,D$108,Base!$A$3:$A$5001,_xlfn.MAXIFS(Base!$A$3:$A$5001,Base!$B$3:$B$5001,D$108,Base!$A$3:$A$5001,"&gt;="&amp;$C$7,Base!$A$3:$A$5001,"&lt;="&amp;$B129,Base!$K$3:$K$5001,"&lt;&gt;"))))</f>
        <v/>
      </c>
      <c r="E129" s="149" t="str">
        <f>IF($A129&gt;$B$9,"",IF(COUNTIFS(Base!$B$3:$B$5001,E$108,Base!$A$3:$A$5001,"&gt;="&amp;$C$7,Base!$A$3:$A$5001,"&lt;="&amp;$B129,Base!$K$3:$K$5001,"&lt;&gt;")=0,"",SUMIFS(Base!$K$3:$K$5001,Base!$B$3:$B$5001,E$108,Base!$A$3:$A$5001,_xlfn.MAXIFS(Base!$A$3:$A$5001,Base!$B$3:$B$5001,E$108,Base!$A$3:$A$5001,"&gt;="&amp;$C$7,Base!$A$3:$A$5001,"&lt;="&amp;$B129,Base!$K$3:$K$5001,"&lt;&gt;"))))</f>
        <v/>
      </c>
      <c r="F129" s="149" t="str">
        <f>IF($A129&gt;$B$9,"",IF(COUNTIFS(Base!$B$3:$B$5001,F$108,Base!$A$3:$A$5001,"&gt;="&amp;$C$7,Base!$A$3:$A$5001,"&lt;="&amp;$B129,Base!$K$3:$K$5001,"&lt;&gt;")=0,"",SUMIFS(Base!$K$3:$K$5001,Base!$B$3:$B$5001,F$108,Base!$A$3:$A$5001,_xlfn.MAXIFS(Base!$A$3:$A$5001,Base!$B$3:$B$5001,F$108,Base!$A$3:$A$5001,"&gt;="&amp;$C$7,Base!$A$3:$A$5001,"&lt;="&amp;$B129,Base!$K$3:$K$5001,"&lt;&gt;"))))</f>
        <v/>
      </c>
      <c r="G129" s="149" t="str">
        <f>IF($A129&gt;$B$9,"",IF(COUNTIFS(Base!$B$3:$B$5001,G$108,Base!$A$3:$A$5001,"&gt;="&amp;$C$7,Base!$A$3:$A$5001,"&lt;="&amp;$B129,Base!$K$3:$K$5001,"&lt;&gt;")=0,"",SUMIFS(Base!$K$3:$K$5001,Base!$B$3:$B$5001,G$108,Base!$A$3:$A$5001,_xlfn.MAXIFS(Base!$A$3:$A$5001,Base!$B$3:$B$5001,G$108,Base!$A$3:$A$5001,"&gt;="&amp;$C$7,Base!$A$3:$A$5001,"&lt;="&amp;$B129,Base!$K$3:$K$5001,"&lt;&gt;"))))</f>
        <v/>
      </c>
    </row>
    <row r="130">
      <c r="A130" s="147">
        <v>22</v>
      </c>
      <c r="B130" s="148">
        <f>$B$33</f>
        <v>46287</v>
      </c>
      <c r="C130" s="149" t="str">
        <f>IF($A130&gt;$B$9,"",IF(COUNTIFS(Base!$B$3:$B$5001,C$108,Base!$A$3:$A$5001,"&gt;="&amp;$C$7,Base!$A$3:$A$5001,"&lt;="&amp;$B130,Base!$K$3:$K$5001,"&lt;&gt;")=0,"",SUMIFS(Base!$K$3:$K$5001,Base!$B$3:$B$5001,C$108,Base!$A$3:$A$5001,_xlfn.MAXIFS(Base!$A$3:$A$5001,Base!$B$3:$B$5001,C$108,Base!$A$3:$A$5001,"&gt;="&amp;$C$7,Base!$A$3:$A$5001,"&lt;="&amp;$B130,Base!$K$3:$K$5001,"&lt;&gt;"))))</f>
        <v/>
      </c>
      <c r="D130" s="149" t="str">
        <f>IF($A130&gt;$B$9,"",IF(COUNTIFS(Base!$B$3:$B$5001,D$108,Base!$A$3:$A$5001,"&gt;="&amp;$C$7,Base!$A$3:$A$5001,"&lt;="&amp;$B130,Base!$K$3:$K$5001,"&lt;&gt;")=0,"",SUMIFS(Base!$K$3:$K$5001,Base!$B$3:$B$5001,D$108,Base!$A$3:$A$5001,_xlfn.MAXIFS(Base!$A$3:$A$5001,Base!$B$3:$B$5001,D$108,Base!$A$3:$A$5001,"&gt;="&amp;$C$7,Base!$A$3:$A$5001,"&lt;="&amp;$B130,Base!$K$3:$K$5001,"&lt;&gt;"))))</f>
        <v/>
      </c>
      <c r="E130" s="149" t="str">
        <f>IF($A130&gt;$B$9,"",IF(COUNTIFS(Base!$B$3:$B$5001,E$108,Base!$A$3:$A$5001,"&gt;="&amp;$C$7,Base!$A$3:$A$5001,"&lt;="&amp;$B130,Base!$K$3:$K$5001,"&lt;&gt;")=0,"",SUMIFS(Base!$K$3:$K$5001,Base!$B$3:$B$5001,E$108,Base!$A$3:$A$5001,_xlfn.MAXIFS(Base!$A$3:$A$5001,Base!$B$3:$B$5001,E$108,Base!$A$3:$A$5001,"&gt;="&amp;$C$7,Base!$A$3:$A$5001,"&lt;="&amp;$B130,Base!$K$3:$K$5001,"&lt;&gt;"))))</f>
        <v/>
      </c>
      <c r="F130" s="149" t="str">
        <f>IF($A130&gt;$B$9,"",IF(COUNTIFS(Base!$B$3:$B$5001,F$108,Base!$A$3:$A$5001,"&gt;="&amp;$C$7,Base!$A$3:$A$5001,"&lt;="&amp;$B130,Base!$K$3:$K$5001,"&lt;&gt;")=0,"",SUMIFS(Base!$K$3:$K$5001,Base!$B$3:$B$5001,F$108,Base!$A$3:$A$5001,_xlfn.MAXIFS(Base!$A$3:$A$5001,Base!$B$3:$B$5001,F$108,Base!$A$3:$A$5001,"&gt;="&amp;$C$7,Base!$A$3:$A$5001,"&lt;="&amp;$B130,Base!$K$3:$K$5001,"&lt;&gt;"))))</f>
        <v/>
      </c>
      <c r="G130" s="149" t="str">
        <f>IF($A130&gt;$B$9,"",IF(COUNTIFS(Base!$B$3:$B$5001,G$108,Base!$A$3:$A$5001,"&gt;="&amp;$C$7,Base!$A$3:$A$5001,"&lt;="&amp;$B130,Base!$K$3:$K$5001,"&lt;&gt;")=0,"",SUMIFS(Base!$K$3:$K$5001,Base!$B$3:$B$5001,G$108,Base!$A$3:$A$5001,_xlfn.MAXIFS(Base!$A$3:$A$5001,Base!$B$3:$B$5001,G$108,Base!$A$3:$A$5001,"&gt;="&amp;$C$7,Base!$A$3:$A$5001,"&lt;="&amp;$B130,Base!$K$3:$K$5001,"&lt;&gt;"))))</f>
        <v/>
      </c>
    </row>
    <row r="131">
      <c r="A131" s="147">
        <v>23</v>
      </c>
      <c r="B131" s="148">
        <f>$B$34</f>
        <v>46288</v>
      </c>
      <c r="C131" s="149" t="str">
        <f>IF($A131&gt;$B$9,"",IF(COUNTIFS(Base!$B$3:$B$5001,C$108,Base!$A$3:$A$5001,"&gt;="&amp;$C$7,Base!$A$3:$A$5001,"&lt;="&amp;$B131,Base!$K$3:$K$5001,"&lt;&gt;")=0,"",SUMIFS(Base!$K$3:$K$5001,Base!$B$3:$B$5001,C$108,Base!$A$3:$A$5001,_xlfn.MAXIFS(Base!$A$3:$A$5001,Base!$B$3:$B$5001,C$108,Base!$A$3:$A$5001,"&gt;="&amp;$C$7,Base!$A$3:$A$5001,"&lt;="&amp;$B131,Base!$K$3:$K$5001,"&lt;&gt;"))))</f>
        <v/>
      </c>
      <c r="D131" s="149" t="str">
        <f>IF($A131&gt;$B$9,"",IF(COUNTIFS(Base!$B$3:$B$5001,D$108,Base!$A$3:$A$5001,"&gt;="&amp;$C$7,Base!$A$3:$A$5001,"&lt;="&amp;$B131,Base!$K$3:$K$5001,"&lt;&gt;")=0,"",SUMIFS(Base!$K$3:$K$5001,Base!$B$3:$B$5001,D$108,Base!$A$3:$A$5001,_xlfn.MAXIFS(Base!$A$3:$A$5001,Base!$B$3:$B$5001,D$108,Base!$A$3:$A$5001,"&gt;="&amp;$C$7,Base!$A$3:$A$5001,"&lt;="&amp;$B131,Base!$K$3:$K$5001,"&lt;&gt;"))))</f>
        <v/>
      </c>
      <c r="E131" s="149" t="str">
        <f>IF($A131&gt;$B$9,"",IF(COUNTIFS(Base!$B$3:$B$5001,E$108,Base!$A$3:$A$5001,"&gt;="&amp;$C$7,Base!$A$3:$A$5001,"&lt;="&amp;$B131,Base!$K$3:$K$5001,"&lt;&gt;")=0,"",SUMIFS(Base!$K$3:$K$5001,Base!$B$3:$B$5001,E$108,Base!$A$3:$A$5001,_xlfn.MAXIFS(Base!$A$3:$A$5001,Base!$B$3:$B$5001,E$108,Base!$A$3:$A$5001,"&gt;="&amp;$C$7,Base!$A$3:$A$5001,"&lt;="&amp;$B131,Base!$K$3:$K$5001,"&lt;&gt;"))))</f>
        <v/>
      </c>
      <c r="F131" s="149" t="str">
        <f>IF($A131&gt;$B$9,"",IF(COUNTIFS(Base!$B$3:$B$5001,F$108,Base!$A$3:$A$5001,"&gt;="&amp;$C$7,Base!$A$3:$A$5001,"&lt;="&amp;$B131,Base!$K$3:$K$5001,"&lt;&gt;")=0,"",SUMIFS(Base!$K$3:$K$5001,Base!$B$3:$B$5001,F$108,Base!$A$3:$A$5001,_xlfn.MAXIFS(Base!$A$3:$A$5001,Base!$B$3:$B$5001,F$108,Base!$A$3:$A$5001,"&gt;="&amp;$C$7,Base!$A$3:$A$5001,"&lt;="&amp;$B131,Base!$K$3:$K$5001,"&lt;&gt;"))))</f>
        <v/>
      </c>
      <c r="G131" s="149" t="str">
        <f>IF($A131&gt;$B$9,"",IF(COUNTIFS(Base!$B$3:$B$5001,G$108,Base!$A$3:$A$5001,"&gt;="&amp;$C$7,Base!$A$3:$A$5001,"&lt;="&amp;$B131,Base!$K$3:$K$5001,"&lt;&gt;")=0,"",SUMIFS(Base!$K$3:$K$5001,Base!$B$3:$B$5001,G$108,Base!$A$3:$A$5001,_xlfn.MAXIFS(Base!$A$3:$A$5001,Base!$B$3:$B$5001,G$108,Base!$A$3:$A$5001,"&gt;="&amp;$C$7,Base!$A$3:$A$5001,"&lt;="&amp;$B131,Base!$K$3:$K$5001,"&lt;&gt;"))))</f>
        <v/>
      </c>
    </row>
    <row r="132">
      <c r="A132" s="147">
        <v>24</v>
      </c>
      <c r="B132" s="148">
        <f>$B$35</f>
        <v>46289</v>
      </c>
      <c r="C132" s="149" t="str">
        <f>IF($A132&gt;$B$9,"",IF(COUNTIFS(Base!$B$3:$B$5001,C$108,Base!$A$3:$A$5001,"&gt;="&amp;$C$7,Base!$A$3:$A$5001,"&lt;="&amp;$B132,Base!$K$3:$K$5001,"&lt;&gt;")=0,"",SUMIFS(Base!$K$3:$K$5001,Base!$B$3:$B$5001,C$108,Base!$A$3:$A$5001,_xlfn.MAXIFS(Base!$A$3:$A$5001,Base!$B$3:$B$5001,C$108,Base!$A$3:$A$5001,"&gt;="&amp;$C$7,Base!$A$3:$A$5001,"&lt;="&amp;$B132,Base!$K$3:$K$5001,"&lt;&gt;"))))</f>
        <v/>
      </c>
      <c r="D132" s="149" t="str">
        <f>IF($A132&gt;$B$9,"",IF(COUNTIFS(Base!$B$3:$B$5001,D$108,Base!$A$3:$A$5001,"&gt;="&amp;$C$7,Base!$A$3:$A$5001,"&lt;="&amp;$B132,Base!$K$3:$K$5001,"&lt;&gt;")=0,"",SUMIFS(Base!$K$3:$K$5001,Base!$B$3:$B$5001,D$108,Base!$A$3:$A$5001,_xlfn.MAXIFS(Base!$A$3:$A$5001,Base!$B$3:$B$5001,D$108,Base!$A$3:$A$5001,"&gt;="&amp;$C$7,Base!$A$3:$A$5001,"&lt;="&amp;$B132,Base!$K$3:$K$5001,"&lt;&gt;"))))</f>
        <v/>
      </c>
      <c r="E132" s="149" t="str">
        <f>IF($A132&gt;$B$9,"",IF(COUNTIFS(Base!$B$3:$B$5001,E$108,Base!$A$3:$A$5001,"&gt;="&amp;$C$7,Base!$A$3:$A$5001,"&lt;="&amp;$B132,Base!$K$3:$K$5001,"&lt;&gt;")=0,"",SUMIFS(Base!$K$3:$K$5001,Base!$B$3:$B$5001,E$108,Base!$A$3:$A$5001,_xlfn.MAXIFS(Base!$A$3:$A$5001,Base!$B$3:$B$5001,E$108,Base!$A$3:$A$5001,"&gt;="&amp;$C$7,Base!$A$3:$A$5001,"&lt;="&amp;$B132,Base!$K$3:$K$5001,"&lt;&gt;"))))</f>
        <v/>
      </c>
      <c r="F132" s="149" t="str">
        <f>IF($A132&gt;$B$9,"",IF(COUNTIFS(Base!$B$3:$B$5001,F$108,Base!$A$3:$A$5001,"&gt;="&amp;$C$7,Base!$A$3:$A$5001,"&lt;="&amp;$B132,Base!$K$3:$K$5001,"&lt;&gt;")=0,"",SUMIFS(Base!$K$3:$K$5001,Base!$B$3:$B$5001,F$108,Base!$A$3:$A$5001,_xlfn.MAXIFS(Base!$A$3:$A$5001,Base!$B$3:$B$5001,F$108,Base!$A$3:$A$5001,"&gt;="&amp;$C$7,Base!$A$3:$A$5001,"&lt;="&amp;$B132,Base!$K$3:$K$5001,"&lt;&gt;"))))</f>
        <v/>
      </c>
      <c r="G132" s="149" t="str">
        <f>IF($A132&gt;$B$9,"",IF(COUNTIFS(Base!$B$3:$B$5001,G$108,Base!$A$3:$A$5001,"&gt;="&amp;$C$7,Base!$A$3:$A$5001,"&lt;="&amp;$B132,Base!$K$3:$K$5001,"&lt;&gt;")=0,"",SUMIFS(Base!$K$3:$K$5001,Base!$B$3:$B$5001,G$108,Base!$A$3:$A$5001,_xlfn.MAXIFS(Base!$A$3:$A$5001,Base!$B$3:$B$5001,G$108,Base!$A$3:$A$5001,"&gt;="&amp;$C$7,Base!$A$3:$A$5001,"&lt;="&amp;$B132,Base!$K$3:$K$5001,"&lt;&gt;"))))</f>
        <v/>
      </c>
    </row>
    <row r="133">
      <c r="A133" s="147">
        <v>25</v>
      </c>
      <c r="B133" s="148">
        <f>$B$36</f>
        <v>46290</v>
      </c>
      <c r="C133" s="149" t="str">
        <f>IF($A133&gt;$B$9,"",IF(COUNTIFS(Base!$B$3:$B$5001,C$108,Base!$A$3:$A$5001,"&gt;="&amp;$C$7,Base!$A$3:$A$5001,"&lt;="&amp;$B133,Base!$K$3:$K$5001,"&lt;&gt;")=0,"",SUMIFS(Base!$K$3:$K$5001,Base!$B$3:$B$5001,C$108,Base!$A$3:$A$5001,_xlfn.MAXIFS(Base!$A$3:$A$5001,Base!$B$3:$B$5001,C$108,Base!$A$3:$A$5001,"&gt;="&amp;$C$7,Base!$A$3:$A$5001,"&lt;="&amp;$B133,Base!$K$3:$K$5001,"&lt;&gt;"))))</f>
        <v/>
      </c>
      <c r="D133" s="149" t="str">
        <f>IF($A133&gt;$B$9,"",IF(COUNTIFS(Base!$B$3:$B$5001,D$108,Base!$A$3:$A$5001,"&gt;="&amp;$C$7,Base!$A$3:$A$5001,"&lt;="&amp;$B133,Base!$K$3:$K$5001,"&lt;&gt;")=0,"",SUMIFS(Base!$K$3:$K$5001,Base!$B$3:$B$5001,D$108,Base!$A$3:$A$5001,_xlfn.MAXIFS(Base!$A$3:$A$5001,Base!$B$3:$B$5001,D$108,Base!$A$3:$A$5001,"&gt;="&amp;$C$7,Base!$A$3:$A$5001,"&lt;="&amp;$B133,Base!$K$3:$K$5001,"&lt;&gt;"))))</f>
        <v/>
      </c>
      <c r="E133" s="149" t="str">
        <f>IF($A133&gt;$B$9,"",IF(COUNTIFS(Base!$B$3:$B$5001,E$108,Base!$A$3:$A$5001,"&gt;="&amp;$C$7,Base!$A$3:$A$5001,"&lt;="&amp;$B133,Base!$K$3:$K$5001,"&lt;&gt;")=0,"",SUMIFS(Base!$K$3:$K$5001,Base!$B$3:$B$5001,E$108,Base!$A$3:$A$5001,_xlfn.MAXIFS(Base!$A$3:$A$5001,Base!$B$3:$B$5001,E$108,Base!$A$3:$A$5001,"&gt;="&amp;$C$7,Base!$A$3:$A$5001,"&lt;="&amp;$B133,Base!$K$3:$K$5001,"&lt;&gt;"))))</f>
        <v/>
      </c>
      <c r="F133" s="149" t="str">
        <f>IF($A133&gt;$B$9,"",IF(COUNTIFS(Base!$B$3:$B$5001,F$108,Base!$A$3:$A$5001,"&gt;="&amp;$C$7,Base!$A$3:$A$5001,"&lt;="&amp;$B133,Base!$K$3:$K$5001,"&lt;&gt;")=0,"",SUMIFS(Base!$K$3:$K$5001,Base!$B$3:$B$5001,F$108,Base!$A$3:$A$5001,_xlfn.MAXIFS(Base!$A$3:$A$5001,Base!$B$3:$B$5001,F$108,Base!$A$3:$A$5001,"&gt;="&amp;$C$7,Base!$A$3:$A$5001,"&lt;="&amp;$B133,Base!$K$3:$K$5001,"&lt;&gt;"))))</f>
        <v/>
      </c>
      <c r="G133" s="149" t="str">
        <f>IF($A133&gt;$B$9,"",IF(COUNTIFS(Base!$B$3:$B$5001,G$108,Base!$A$3:$A$5001,"&gt;="&amp;$C$7,Base!$A$3:$A$5001,"&lt;="&amp;$B133,Base!$K$3:$K$5001,"&lt;&gt;")=0,"",SUMIFS(Base!$K$3:$K$5001,Base!$B$3:$B$5001,G$108,Base!$A$3:$A$5001,_xlfn.MAXIFS(Base!$A$3:$A$5001,Base!$B$3:$B$5001,G$108,Base!$A$3:$A$5001,"&gt;="&amp;$C$7,Base!$A$3:$A$5001,"&lt;="&amp;$B133,Base!$K$3:$K$5001,"&lt;&gt;"))))</f>
        <v/>
      </c>
    </row>
    <row r="134">
      <c r="A134" s="147">
        <v>26</v>
      </c>
      <c r="B134" s="148">
        <f>$B$37</f>
        <v>46291</v>
      </c>
      <c r="C134" s="149" t="str">
        <f>IF($A134&gt;$B$9,"",IF(COUNTIFS(Base!$B$3:$B$5001,C$108,Base!$A$3:$A$5001,"&gt;="&amp;$C$7,Base!$A$3:$A$5001,"&lt;="&amp;$B134,Base!$K$3:$K$5001,"&lt;&gt;")=0,"",SUMIFS(Base!$K$3:$K$5001,Base!$B$3:$B$5001,C$108,Base!$A$3:$A$5001,_xlfn.MAXIFS(Base!$A$3:$A$5001,Base!$B$3:$B$5001,C$108,Base!$A$3:$A$5001,"&gt;="&amp;$C$7,Base!$A$3:$A$5001,"&lt;="&amp;$B134,Base!$K$3:$K$5001,"&lt;&gt;"))))</f>
        <v/>
      </c>
      <c r="D134" s="149" t="str">
        <f>IF($A134&gt;$B$9,"",IF(COUNTIFS(Base!$B$3:$B$5001,D$108,Base!$A$3:$A$5001,"&gt;="&amp;$C$7,Base!$A$3:$A$5001,"&lt;="&amp;$B134,Base!$K$3:$K$5001,"&lt;&gt;")=0,"",SUMIFS(Base!$K$3:$K$5001,Base!$B$3:$B$5001,D$108,Base!$A$3:$A$5001,_xlfn.MAXIFS(Base!$A$3:$A$5001,Base!$B$3:$B$5001,D$108,Base!$A$3:$A$5001,"&gt;="&amp;$C$7,Base!$A$3:$A$5001,"&lt;="&amp;$B134,Base!$K$3:$K$5001,"&lt;&gt;"))))</f>
        <v/>
      </c>
      <c r="E134" s="149" t="str">
        <f>IF($A134&gt;$B$9,"",IF(COUNTIFS(Base!$B$3:$B$5001,E$108,Base!$A$3:$A$5001,"&gt;="&amp;$C$7,Base!$A$3:$A$5001,"&lt;="&amp;$B134,Base!$K$3:$K$5001,"&lt;&gt;")=0,"",SUMIFS(Base!$K$3:$K$5001,Base!$B$3:$B$5001,E$108,Base!$A$3:$A$5001,_xlfn.MAXIFS(Base!$A$3:$A$5001,Base!$B$3:$B$5001,E$108,Base!$A$3:$A$5001,"&gt;="&amp;$C$7,Base!$A$3:$A$5001,"&lt;="&amp;$B134,Base!$K$3:$K$5001,"&lt;&gt;"))))</f>
        <v/>
      </c>
      <c r="F134" s="149" t="str">
        <f>IF($A134&gt;$B$9,"",IF(COUNTIFS(Base!$B$3:$B$5001,F$108,Base!$A$3:$A$5001,"&gt;="&amp;$C$7,Base!$A$3:$A$5001,"&lt;="&amp;$B134,Base!$K$3:$K$5001,"&lt;&gt;")=0,"",SUMIFS(Base!$K$3:$K$5001,Base!$B$3:$B$5001,F$108,Base!$A$3:$A$5001,_xlfn.MAXIFS(Base!$A$3:$A$5001,Base!$B$3:$B$5001,F$108,Base!$A$3:$A$5001,"&gt;="&amp;$C$7,Base!$A$3:$A$5001,"&lt;="&amp;$B134,Base!$K$3:$K$5001,"&lt;&gt;"))))</f>
        <v/>
      </c>
      <c r="G134" s="149" t="str">
        <f>IF($A134&gt;$B$9,"",IF(COUNTIFS(Base!$B$3:$B$5001,G$108,Base!$A$3:$A$5001,"&gt;="&amp;$C$7,Base!$A$3:$A$5001,"&lt;="&amp;$B134,Base!$K$3:$K$5001,"&lt;&gt;")=0,"",SUMIFS(Base!$K$3:$K$5001,Base!$B$3:$B$5001,G$108,Base!$A$3:$A$5001,_xlfn.MAXIFS(Base!$A$3:$A$5001,Base!$B$3:$B$5001,G$108,Base!$A$3:$A$5001,"&gt;="&amp;$C$7,Base!$A$3:$A$5001,"&lt;="&amp;$B134,Base!$K$3:$K$5001,"&lt;&gt;"))))</f>
        <v/>
      </c>
    </row>
    <row r="135">
      <c r="A135" s="147">
        <v>27</v>
      </c>
      <c r="B135" s="148">
        <f>$B$38</f>
        <v>46292</v>
      </c>
      <c r="C135" s="149" t="str">
        <f>IF($A135&gt;$B$9,"",IF(COUNTIFS(Base!$B$3:$B$5001,C$108,Base!$A$3:$A$5001,"&gt;="&amp;$C$7,Base!$A$3:$A$5001,"&lt;="&amp;$B135,Base!$K$3:$K$5001,"&lt;&gt;")=0,"",SUMIFS(Base!$K$3:$K$5001,Base!$B$3:$B$5001,C$108,Base!$A$3:$A$5001,_xlfn.MAXIFS(Base!$A$3:$A$5001,Base!$B$3:$B$5001,C$108,Base!$A$3:$A$5001,"&gt;="&amp;$C$7,Base!$A$3:$A$5001,"&lt;="&amp;$B135,Base!$K$3:$K$5001,"&lt;&gt;"))))</f>
        <v/>
      </c>
      <c r="D135" s="149" t="str">
        <f>IF($A135&gt;$B$9,"",IF(COUNTIFS(Base!$B$3:$B$5001,D$108,Base!$A$3:$A$5001,"&gt;="&amp;$C$7,Base!$A$3:$A$5001,"&lt;="&amp;$B135,Base!$K$3:$K$5001,"&lt;&gt;")=0,"",SUMIFS(Base!$K$3:$K$5001,Base!$B$3:$B$5001,D$108,Base!$A$3:$A$5001,_xlfn.MAXIFS(Base!$A$3:$A$5001,Base!$B$3:$B$5001,D$108,Base!$A$3:$A$5001,"&gt;="&amp;$C$7,Base!$A$3:$A$5001,"&lt;="&amp;$B135,Base!$K$3:$K$5001,"&lt;&gt;"))))</f>
        <v/>
      </c>
      <c r="E135" s="149" t="str">
        <f>IF($A135&gt;$B$9,"",IF(COUNTIFS(Base!$B$3:$B$5001,E$108,Base!$A$3:$A$5001,"&gt;="&amp;$C$7,Base!$A$3:$A$5001,"&lt;="&amp;$B135,Base!$K$3:$K$5001,"&lt;&gt;")=0,"",SUMIFS(Base!$K$3:$K$5001,Base!$B$3:$B$5001,E$108,Base!$A$3:$A$5001,_xlfn.MAXIFS(Base!$A$3:$A$5001,Base!$B$3:$B$5001,E$108,Base!$A$3:$A$5001,"&gt;="&amp;$C$7,Base!$A$3:$A$5001,"&lt;="&amp;$B135,Base!$K$3:$K$5001,"&lt;&gt;"))))</f>
        <v/>
      </c>
      <c r="F135" s="149" t="str">
        <f>IF($A135&gt;$B$9,"",IF(COUNTIFS(Base!$B$3:$B$5001,F$108,Base!$A$3:$A$5001,"&gt;="&amp;$C$7,Base!$A$3:$A$5001,"&lt;="&amp;$B135,Base!$K$3:$K$5001,"&lt;&gt;")=0,"",SUMIFS(Base!$K$3:$K$5001,Base!$B$3:$B$5001,F$108,Base!$A$3:$A$5001,_xlfn.MAXIFS(Base!$A$3:$A$5001,Base!$B$3:$B$5001,F$108,Base!$A$3:$A$5001,"&gt;="&amp;$C$7,Base!$A$3:$A$5001,"&lt;="&amp;$B135,Base!$K$3:$K$5001,"&lt;&gt;"))))</f>
        <v/>
      </c>
      <c r="G135" s="149" t="str">
        <f>IF($A135&gt;$B$9,"",IF(COUNTIFS(Base!$B$3:$B$5001,G$108,Base!$A$3:$A$5001,"&gt;="&amp;$C$7,Base!$A$3:$A$5001,"&lt;="&amp;$B135,Base!$K$3:$K$5001,"&lt;&gt;")=0,"",SUMIFS(Base!$K$3:$K$5001,Base!$B$3:$B$5001,G$108,Base!$A$3:$A$5001,_xlfn.MAXIFS(Base!$A$3:$A$5001,Base!$B$3:$B$5001,G$108,Base!$A$3:$A$5001,"&gt;="&amp;$C$7,Base!$A$3:$A$5001,"&lt;="&amp;$B135,Base!$K$3:$K$5001,"&lt;&gt;"))))</f>
        <v/>
      </c>
    </row>
    <row r="136">
      <c r="A136" s="147">
        <v>28</v>
      </c>
      <c r="B136" s="148">
        <f>$B$39</f>
        <v>46293</v>
      </c>
      <c r="C136" s="149" t="str">
        <f>IF($A136&gt;$B$9,"",IF(COUNTIFS(Base!$B$3:$B$5001,C$108,Base!$A$3:$A$5001,"&gt;="&amp;$C$7,Base!$A$3:$A$5001,"&lt;="&amp;$B136,Base!$K$3:$K$5001,"&lt;&gt;")=0,"",SUMIFS(Base!$K$3:$K$5001,Base!$B$3:$B$5001,C$108,Base!$A$3:$A$5001,_xlfn.MAXIFS(Base!$A$3:$A$5001,Base!$B$3:$B$5001,C$108,Base!$A$3:$A$5001,"&gt;="&amp;$C$7,Base!$A$3:$A$5001,"&lt;="&amp;$B136,Base!$K$3:$K$5001,"&lt;&gt;"))))</f>
        <v/>
      </c>
      <c r="D136" s="149" t="str">
        <f>IF($A136&gt;$B$9,"",IF(COUNTIFS(Base!$B$3:$B$5001,D$108,Base!$A$3:$A$5001,"&gt;="&amp;$C$7,Base!$A$3:$A$5001,"&lt;="&amp;$B136,Base!$K$3:$K$5001,"&lt;&gt;")=0,"",SUMIFS(Base!$K$3:$K$5001,Base!$B$3:$B$5001,D$108,Base!$A$3:$A$5001,_xlfn.MAXIFS(Base!$A$3:$A$5001,Base!$B$3:$B$5001,D$108,Base!$A$3:$A$5001,"&gt;="&amp;$C$7,Base!$A$3:$A$5001,"&lt;="&amp;$B136,Base!$K$3:$K$5001,"&lt;&gt;"))))</f>
        <v/>
      </c>
      <c r="E136" s="149" t="str">
        <f>IF($A136&gt;$B$9,"",IF(COUNTIFS(Base!$B$3:$B$5001,E$108,Base!$A$3:$A$5001,"&gt;="&amp;$C$7,Base!$A$3:$A$5001,"&lt;="&amp;$B136,Base!$K$3:$K$5001,"&lt;&gt;")=0,"",SUMIFS(Base!$K$3:$K$5001,Base!$B$3:$B$5001,E$108,Base!$A$3:$A$5001,_xlfn.MAXIFS(Base!$A$3:$A$5001,Base!$B$3:$B$5001,E$108,Base!$A$3:$A$5001,"&gt;="&amp;$C$7,Base!$A$3:$A$5001,"&lt;="&amp;$B136,Base!$K$3:$K$5001,"&lt;&gt;"))))</f>
        <v/>
      </c>
      <c r="F136" s="149" t="str">
        <f>IF($A136&gt;$B$9,"",IF(COUNTIFS(Base!$B$3:$B$5001,F$108,Base!$A$3:$A$5001,"&gt;="&amp;$C$7,Base!$A$3:$A$5001,"&lt;="&amp;$B136,Base!$K$3:$K$5001,"&lt;&gt;")=0,"",SUMIFS(Base!$K$3:$K$5001,Base!$B$3:$B$5001,F$108,Base!$A$3:$A$5001,_xlfn.MAXIFS(Base!$A$3:$A$5001,Base!$B$3:$B$5001,F$108,Base!$A$3:$A$5001,"&gt;="&amp;$C$7,Base!$A$3:$A$5001,"&lt;="&amp;$B136,Base!$K$3:$K$5001,"&lt;&gt;"))))</f>
        <v/>
      </c>
      <c r="G136" s="149" t="str">
        <f>IF($A136&gt;$B$9,"",IF(COUNTIFS(Base!$B$3:$B$5001,G$108,Base!$A$3:$A$5001,"&gt;="&amp;$C$7,Base!$A$3:$A$5001,"&lt;="&amp;$B136,Base!$K$3:$K$5001,"&lt;&gt;")=0,"",SUMIFS(Base!$K$3:$K$5001,Base!$B$3:$B$5001,G$108,Base!$A$3:$A$5001,_xlfn.MAXIFS(Base!$A$3:$A$5001,Base!$B$3:$B$5001,G$108,Base!$A$3:$A$5001,"&gt;="&amp;$C$7,Base!$A$3:$A$5001,"&lt;="&amp;$B136,Base!$K$3:$K$5001,"&lt;&gt;"))))</f>
        <v/>
      </c>
    </row>
    <row r="137">
      <c r="A137" s="147">
        <v>29</v>
      </c>
      <c r="B137" s="148">
        <f>$B$40</f>
        <v>46294</v>
      </c>
      <c r="C137" s="149" t="str">
        <f>IF($A137&gt;$B$9,"",IF(COUNTIFS(Base!$B$3:$B$5001,C$108,Base!$A$3:$A$5001,"&gt;="&amp;$C$7,Base!$A$3:$A$5001,"&lt;="&amp;$B137,Base!$K$3:$K$5001,"&lt;&gt;")=0,"",SUMIFS(Base!$K$3:$K$5001,Base!$B$3:$B$5001,C$108,Base!$A$3:$A$5001,_xlfn.MAXIFS(Base!$A$3:$A$5001,Base!$B$3:$B$5001,C$108,Base!$A$3:$A$5001,"&gt;="&amp;$C$7,Base!$A$3:$A$5001,"&lt;="&amp;$B137,Base!$K$3:$K$5001,"&lt;&gt;"))))</f>
        <v/>
      </c>
      <c r="D137" s="149" t="str">
        <f>IF($A137&gt;$B$9,"",IF(COUNTIFS(Base!$B$3:$B$5001,D$108,Base!$A$3:$A$5001,"&gt;="&amp;$C$7,Base!$A$3:$A$5001,"&lt;="&amp;$B137,Base!$K$3:$K$5001,"&lt;&gt;")=0,"",SUMIFS(Base!$K$3:$K$5001,Base!$B$3:$B$5001,D$108,Base!$A$3:$A$5001,_xlfn.MAXIFS(Base!$A$3:$A$5001,Base!$B$3:$B$5001,D$108,Base!$A$3:$A$5001,"&gt;="&amp;$C$7,Base!$A$3:$A$5001,"&lt;="&amp;$B137,Base!$K$3:$K$5001,"&lt;&gt;"))))</f>
        <v/>
      </c>
      <c r="E137" s="149" t="str">
        <f>IF($A137&gt;$B$9,"",IF(COUNTIFS(Base!$B$3:$B$5001,E$108,Base!$A$3:$A$5001,"&gt;="&amp;$C$7,Base!$A$3:$A$5001,"&lt;="&amp;$B137,Base!$K$3:$K$5001,"&lt;&gt;")=0,"",SUMIFS(Base!$K$3:$K$5001,Base!$B$3:$B$5001,E$108,Base!$A$3:$A$5001,_xlfn.MAXIFS(Base!$A$3:$A$5001,Base!$B$3:$B$5001,E$108,Base!$A$3:$A$5001,"&gt;="&amp;$C$7,Base!$A$3:$A$5001,"&lt;="&amp;$B137,Base!$K$3:$K$5001,"&lt;&gt;"))))</f>
        <v/>
      </c>
      <c r="F137" s="149" t="str">
        <f>IF($A137&gt;$B$9,"",IF(COUNTIFS(Base!$B$3:$B$5001,F$108,Base!$A$3:$A$5001,"&gt;="&amp;$C$7,Base!$A$3:$A$5001,"&lt;="&amp;$B137,Base!$K$3:$K$5001,"&lt;&gt;")=0,"",SUMIFS(Base!$K$3:$K$5001,Base!$B$3:$B$5001,F$108,Base!$A$3:$A$5001,_xlfn.MAXIFS(Base!$A$3:$A$5001,Base!$B$3:$B$5001,F$108,Base!$A$3:$A$5001,"&gt;="&amp;$C$7,Base!$A$3:$A$5001,"&lt;="&amp;$B137,Base!$K$3:$K$5001,"&lt;&gt;"))))</f>
        <v/>
      </c>
      <c r="G137" s="149" t="str">
        <f>IF($A137&gt;$B$9,"",IF(COUNTIFS(Base!$B$3:$B$5001,G$108,Base!$A$3:$A$5001,"&gt;="&amp;$C$7,Base!$A$3:$A$5001,"&lt;="&amp;$B137,Base!$K$3:$K$5001,"&lt;&gt;")=0,"",SUMIFS(Base!$K$3:$K$5001,Base!$B$3:$B$5001,G$108,Base!$A$3:$A$5001,_xlfn.MAXIFS(Base!$A$3:$A$5001,Base!$B$3:$B$5001,G$108,Base!$A$3:$A$5001,"&gt;="&amp;$C$7,Base!$A$3:$A$5001,"&lt;="&amp;$B137,Base!$K$3:$K$5001,"&lt;&gt;"))))</f>
        <v/>
      </c>
    </row>
    <row r="138">
      <c r="A138" s="147">
        <v>30</v>
      </c>
      <c r="B138" s="148">
        <f>$B$41</f>
        <v>46295</v>
      </c>
      <c r="C138" s="149" t="str">
        <f>IF($A138&gt;$B$9,"",IF(COUNTIFS(Base!$B$3:$B$5001,C$108,Base!$A$3:$A$5001,"&gt;="&amp;$C$7,Base!$A$3:$A$5001,"&lt;="&amp;$B138,Base!$K$3:$K$5001,"&lt;&gt;")=0,"",SUMIFS(Base!$K$3:$K$5001,Base!$B$3:$B$5001,C$108,Base!$A$3:$A$5001,_xlfn.MAXIFS(Base!$A$3:$A$5001,Base!$B$3:$B$5001,C$108,Base!$A$3:$A$5001,"&gt;="&amp;$C$7,Base!$A$3:$A$5001,"&lt;="&amp;$B138,Base!$K$3:$K$5001,"&lt;&gt;"))))</f>
        <v/>
      </c>
      <c r="D138" s="149" t="str">
        <f>IF($A138&gt;$B$9,"",IF(COUNTIFS(Base!$B$3:$B$5001,D$108,Base!$A$3:$A$5001,"&gt;="&amp;$C$7,Base!$A$3:$A$5001,"&lt;="&amp;$B138,Base!$K$3:$K$5001,"&lt;&gt;")=0,"",SUMIFS(Base!$K$3:$K$5001,Base!$B$3:$B$5001,D$108,Base!$A$3:$A$5001,_xlfn.MAXIFS(Base!$A$3:$A$5001,Base!$B$3:$B$5001,D$108,Base!$A$3:$A$5001,"&gt;="&amp;$C$7,Base!$A$3:$A$5001,"&lt;="&amp;$B138,Base!$K$3:$K$5001,"&lt;&gt;"))))</f>
        <v/>
      </c>
      <c r="E138" s="149" t="str">
        <f>IF($A138&gt;$B$9,"",IF(COUNTIFS(Base!$B$3:$B$5001,E$108,Base!$A$3:$A$5001,"&gt;="&amp;$C$7,Base!$A$3:$A$5001,"&lt;="&amp;$B138,Base!$K$3:$K$5001,"&lt;&gt;")=0,"",SUMIFS(Base!$K$3:$K$5001,Base!$B$3:$B$5001,E$108,Base!$A$3:$A$5001,_xlfn.MAXIFS(Base!$A$3:$A$5001,Base!$B$3:$B$5001,E$108,Base!$A$3:$A$5001,"&gt;="&amp;$C$7,Base!$A$3:$A$5001,"&lt;="&amp;$B138,Base!$K$3:$K$5001,"&lt;&gt;"))))</f>
        <v/>
      </c>
      <c r="F138" s="149" t="str">
        <f>IF($A138&gt;$B$9,"",IF(COUNTIFS(Base!$B$3:$B$5001,F$108,Base!$A$3:$A$5001,"&gt;="&amp;$C$7,Base!$A$3:$A$5001,"&lt;="&amp;$B138,Base!$K$3:$K$5001,"&lt;&gt;")=0,"",SUMIFS(Base!$K$3:$K$5001,Base!$B$3:$B$5001,F$108,Base!$A$3:$A$5001,_xlfn.MAXIFS(Base!$A$3:$A$5001,Base!$B$3:$B$5001,F$108,Base!$A$3:$A$5001,"&gt;="&amp;$C$7,Base!$A$3:$A$5001,"&lt;="&amp;$B138,Base!$K$3:$K$5001,"&lt;&gt;"))))</f>
        <v/>
      </c>
      <c r="G138" s="149" t="str">
        <f>IF($A138&gt;$B$9,"",IF(COUNTIFS(Base!$B$3:$B$5001,G$108,Base!$A$3:$A$5001,"&gt;="&amp;$C$7,Base!$A$3:$A$5001,"&lt;="&amp;$B138,Base!$K$3:$K$5001,"&lt;&gt;")=0,"",SUMIFS(Base!$K$3:$K$5001,Base!$B$3:$B$5001,G$108,Base!$A$3:$A$5001,_xlfn.MAXIFS(Base!$A$3:$A$5001,Base!$B$3:$B$5001,G$108,Base!$A$3:$A$5001,"&gt;="&amp;$C$7,Base!$A$3:$A$5001,"&lt;="&amp;$B138,Base!$K$3:$K$5001,"&lt;&gt;"))))</f>
        <v/>
      </c>
    </row>
    <row r="139">
      <c r="A139" s="147">
        <v>31</v>
      </c>
      <c r="B139" s="148" t="str">
        <f>$B$42</f>
        <v/>
      </c>
      <c r="C139" s="149" t="str">
        <f>IF($A139&gt;$B$9,"",IF(COUNTIFS(Base!$B$3:$B$5001,C$108,Base!$A$3:$A$5001,"&gt;="&amp;$C$7,Base!$A$3:$A$5001,"&lt;="&amp;$B139,Base!$K$3:$K$5001,"&lt;&gt;")=0,"",SUMIFS(Base!$K$3:$K$5001,Base!$B$3:$B$5001,C$108,Base!$A$3:$A$5001,_xlfn.MAXIFS(Base!$A$3:$A$5001,Base!$B$3:$B$5001,C$108,Base!$A$3:$A$5001,"&gt;="&amp;$C$7,Base!$A$3:$A$5001,"&lt;="&amp;$B139,Base!$K$3:$K$5001,"&lt;&gt;"))))</f>
        <v/>
      </c>
      <c r="D139" s="149" t="str">
        <f>IF($A139&gt;$B$9,"",IF(COUNTIFS(Base!$B$3:$B$5001,D$108,Base!$A$3:$A$5001,"&gt;="&amp;$C$7,Base!$A$3:$A$5001,"&lt;="&amp;$B139,Base!$K$3:$K$5001,"&lt;&gt;")=0,"",SUMIFS(Base!$K$3:$K$5001,Base!$B$3:$B$5001,D$108,Base!$A$3:$A$5001,_xlfn.MAXIFS(Base!$A$3:$A$5001,Base!$B$3:$B$5001,D$108,Base!$A$3:$A$5001,"&gt;="&amp;$C$7,Base!$A$3:$A$5001,"&lt;="&amp;$B139,Base!$K$3:$K$5001,"&lt;&gt;"))))</f>
        <v/>
      </c>
      <c r="E139" s="149" t="str">
        <f>IF($A139&gt;$B$9,"",IF(COUNTIFS(Base!$B$3:$B$5001,E$108,Base!$A$3:$A$5001,"&gt;="&amp;$C$7,Base!$A$3:$A$5001,"&lt;="&amp;$B139,Base!$K$3:$K$5001,"&lt;&gt;")=0,"",SUMIFS(Base!$K$3:$K$5001,Base!$B$3:$B$5001,E$108,Base!$A$3:$A$5001,_xlfn.MAXIFS(Base!$A$3:$A$5001,Base!$B$3:$B$5001,E$108,Base!$A$3:$A$5001,"&gt;="&amp;$C$7,Base!$A$3:$A$5001,"&lt;="&amp;$B139,Base!$K$3:$K$5001,"&lt;&gt;"))))</f>
        <v/>
      </c>
      <c r="F139" s="149" t="str">
        <f>IF($A139&gt;$B$9,"",IF(COUNTIFS(Base!$B$3:$B$5001,F$108,Base!$A$3:$A$5001,"&gt;="&amp;$C$7,Base!$A$3:$A$5001,"&lt;="&amp;$B139,Base!$K$3:$K$5001,"&lt;&gt;")=0,"",SUMIFS(Base!$K$3:$K$5001,Base!$B$3:$B$5001,F$108,Base!$A$3:$A$5001,_xlfn.MAXIFS(Base!$A$3:$A$5001,Base!$B$3:$B$5001,F$108,Base!$A$3:$A$5001,"&gt;="&amp;$C$7,Base!$A$3:$A$5001,"&lt;="&amp;$B139,Base!$K$3:$K$5001,"&lt;&gt;"))))</f>
        <v/>
      </c>
      <c r="G139" s="149" t="str">
        <f>IF($A139&gt;$B$9,"",IF(COUNTIFS(Base!$B$3:$B$5001,G$108,Base!$A$3:$A$5001,"&gt;="&amp;$C$7,Base!$A$3:$A$5001,"&lt;="&amp;$B139,Base!$K$3:$K$5001,"&lt;&gt;")=0,"",SUMIFS(Base!$K$3:$K$5001,Base!$B$3:$B$5001,G$108,Base!$A$3:$A$5001,_xlfn.MAXIFS(Base!$A$3:$A$5001,Base!$B$3:$B$5001,G$108,Base!$A$3:$A$5001,"&gt;="&amp;$C$7,Base!$A$3:$A$5001,"&lt;="&amp;$B139,Base!$K$3:$K$5001,"&lt;&gt;"))))</f>
        <v/>
      </c>
    </row>
    <row r="140">
      <c r="A140" s="150" t="inlineStr">
        <is>
          <t xml:space="preserve">Mês anterior (último)</t>
        </is>
      </c>
      <c r="C140" s="151" t="str">
        <f>IF(COUNTIFS(Base!$B$3:$B$5001,C$108,Base!$A$3:$A$5001,"&gt;="&amp;$C$8,Base!$A$3:$A$5001,"&lt;="&amp;$D$8,Base!$K$3:$K$5001,"&lt;&gt;")=0,"",SUMIFS(Base!$K$3:$K$5001,Base!$B$3:$B$5001,C$108,Base!$A$3:$A$5001,_xlfn.MAXIFS(Base!$A$3:$A$5001,Base!$B$3:$B$5001,C$108,Base!$A$3:$A$5001,"&gt;="&amp;$C$8,Base!$A$3:$A$5001,"&lt;="&amp;$D$8,Base!$K$3:$K$5001,"&lt;&gt;")))</f>
        <v/>
      </c>
      <c r="D140" s="151" t="str">
        <f>IF(COUNTIFS(Base!$B$3:$B$5001,D$108,Base!$A$3:$A$5001,"&gt;="&amp;$C$8,Base!$A$3:$A$5001,"&lt;="&amp;$D$8,Base!$K$3:$K$5001,"&lt;&gt;")=0,"",SUMIFS(Base!$K$3:$K$5001,Base!$B$3:$B$5001,D$108,Base!$A$3:$A$5001,_xlfn.MAXIFS(Base!$A$3:$A$5001,Base!$B$3:$B$5001,D$108,Base!$A$3:$A$5001,"&gt;="&amp;$C$8,Base!$A$3:$A$5001,"&lt;="&amp;$D$8,Base!$K$3:$K$5001,"&lt;&gt;")))</f>
        <v/>
      </c>
      <c r="E140" s="151" t="str">
        <f>IF(COUNTIFS(Base!$B$3:$B$5001,E$108,Base!$A$3:$A$5001,"&gt;="&amp;$C$8,Base!$A$3:$A$5001,"&lt;="&amp;$D$8,Base!$K$3:$K$5001,"&lt;&gt;")=0,"",SUMIFS(Base!$K$3:$K$5001,Base!$B$3:$B$5001,E$108,Base!$A$3:$A$5001,_xlfn.MAXIFS(Base!$A$3:$A$5001,Base!$B$3:$B$5001,E$108,Base!$A$3:$A$5001,"&gt;="&amp;$C$8,Base!$A$3:$A$5001,"&lt;="&amp;$D$8,Base!$K$3:$K$5001,"&lt;&gt;")))</f>
        <v/>
      </c>
      <c r="F140" s="151" t="str">
        <f>IF(COUNTIFS(Base!$B$3:$B$5001,F$108,Base!$A$3:$A$5001,"&gt;="&amp;$C$8,Base!$A$3:$A$5001,"&lt;="&amp;$D$8,Base!$K$3:$K$5001,"&lt;&gt;")=0,"",SUMIFS(Base!$K$3:$K$5001,Base!$B$3:$B$5001,F$108,Base!$A$3:$A$5001,_xlfn.MAXIFS(Base!$A$3:$A$5001,Base!$B$3:$B$5001,F$108,Base!$A$3:$A$5001,"&gt;="&amp;$C$8,Base!$A$3:$A$5001,"&lt;="&amp;$D$8,Base!$K$3:$K$5001,"&lt;&gt;")))</f>
        <v/>
      </c>
      <c r="G140" s="151" t="str">
        <f>IF(COUNTIFS(Base!$B$3:$B$5001,G$108,Base!$A$3:$A$5001,"&gt;="&amp;$C$8,Base!$A$3:$A$5001,"&lt;="&amp;$D$8,Base!$K$3:$K$5001,"&lt;&gt;")=0,"",SUMIFS(Base!$K$3:$K$5001,Base!$B$3:$B$5001,G$108,Base!$A$3:$A$5001,_xlfn.MAXIFS(Base!$A$3:$A$5001,Base!$B$3:$B$5001,G$108,Base!$A$3:$A$5001,"&gt;="&amp;$C$8,Base!$A$3:$A$5001,"&lt;="&amp;$D$8,Base!$K$3:$K$5001,"&lt;&gt;")))</f>
        <v/>
      </c>
    </row>
    <row r="143">
      <c r="A143" s="145" t="inlineStr">
        <is>
          <t xml:space="preserve">Posições Ocupadas</t>
        </is>
      </c>
      <c r="B143" s="145" t="inlineStr">
        <is>
          <t xml:space="preserve">Data</t>
        </is>
      </c>
      <c r="C143" s="145" t="inlineStr">
        <is>
          <t xml:space="preserve">Barry Callebaut</t>
        </is>
      </c>
      <c r="D143" s="145" t="inlineStr">
        <is>
          <t xml:space="preserve">Gm</t>
        </is>
      </c>
      <c r="E143" s="145" t="inlineStr">
        <is>
          <t xml:space="preserve">Mondelez</t>
        </is>
      </c>
      <c r="F143" s="145" t="inlineStr">
        <is>
          <t xml:space="preserve">Nestlé</t>
        </is>
      </c>
      <c r="G143" s="145" t="inlineStr">
        <is>
          <t xml:space="preserve">PMB</t>
        </is>
      </c>
    </row>
    <row r="144">
      <c r="A144" s="147">
        <v>1</v>
      </c>
      <c r="B144" s="148">
        <f>$B$12</f>
        <v>46266</v>
      </c>
      <c r="C144" s="149">
        <f>IF($A144&gt;$B$9,"",IF(COUNTIFS(Base!$B$3:$B$5001,C$143,Base!$A$3:$A$5001,"&gt;="&amp;$C$7,Base!$A$3:$A$5001,"&lt;="&amp;$B144,Base!$M$3:$M$5001,"&lt;&gt;")=0,"",SUMIFS(Base!$M$3:$M$5001,Base!$B$3:$B$5001,C$143,Base!$A$3:$A$5001,_xlfn.MAXIFS(Base!$A$3:$A$5001,Base!$B$3:$B$5001,C$143,Base!$A$3:$A$5001,"&gt;="&amp;$C$7,Base!$A$3:$A$5001,"&lt;="&amp;$B144,Base!$M$3:$M$5001,"&lt;&gt;"))))</f>
        <v>1449</v>
      </c>
      <c r="D144" s="149">
        <f>IF($A144&gt;$B$9,"",IF(COUNTIFS(Base!$B$3:$B$5001,D$143,Base!$A$3:$A$5001,"&gt;="&amp;$C$7,Base!$A$3:$A$5001,"&lt;="&amp;$B144,Base!$M$3:$M$5001,"&lt;&gt;")=0,"",SUMIFS(Base!$M$3:$M$5001,Base!$B$3:$B$5001,D$143,Base!$A$3:$A$5001,_xlfn.MAXIFS(Base!$A$3:$A$5001,Base!$B$3:$B$5001,D$143,Base!$A$3:$A$5001,"&gt;="&amp;$C$7,Base!$A$3:$A$5001,"&lt;="&amp;$B144,Base!$M$3:$M$5001,"&lt;&gt;"))))</f>
        <v>517</v>
      </c>
      <c r="E144" s="149">
        <f>IF($A144&gt;$B$9,"",IF(COUNTIFS(Base!$B$3:$B$5001,E$143,Base!$A$3:$A$5001,"&gt;="&amp;$C$7,Base!$A$3:$A$5001,"&lt;="&amp;$B144,Base!$M$3:$M$5001,"&lt;&gt;")=0,"",SUMIFS(Base!$M$3:$M$5001,Base!$B$3:$B$5001,E$143,Base!$A$3:$A$5001,_xlfn.MAXIFS(Base!$A$3:$A$5001,Base!$B$3:$B$5001,E$143,Base!$A$3:$A$5001,"&gt;="&amp;$C$7,Base!$A$3:$A$5001,"&lt;="&amp;$B144,Base!$M$3:$M$5001,"&lt;&gt;"))))</f>
        <v>182</v>
      </c>
      <c r="F144" s="149">
        <f>IF($A144&gt;$B$9,"",IF(COUNTIFS(Base!$B$3:$B$5001,F$143,Base!$A$3:$A$5001,"&gt;="&amp;$C$7,Base!$A$3:$A$5001,"&lt;="&amp;$B144,Base!$M$3:$M$5001,"&lt;&gt;")=0,"",SUMIFS(Base!$M$3:$M$5001,Base!$B$3:$B$5001,F$143,Base!$A$3:$A$5001,_xlfn.MAXIFS(Base!$A$3:$A$5001,Base!$B$3:$B$5001,F$143,Base!$A$3:$A$5001,"&gt;="&amp;$C$7,Base!$A$3:$A$5001,"&lt;="&amp;$B144,Base!$M$3:$M$5001,"&lt;&gt;"))))</f>
        <v>1284</v>
      </c>
      <c r="G144" s="149">
        <f>IF($A144&gt;$B$9,"",IF(COUNTIFS(Base!$B$3:$B$5001,G$143,Base!$A$3:$A$5001,"&gt;="&amp;$C$7,Base!$A$3:$A$5001,"&lt;="&amp;$B144,Base!$M$3:$M$5001,"&lt;&gt;")=0,"",SUMIFS(Base!$M$3:$M$5001,Base!$B$3:$B$5001,G$143,Base!$A$3:$A$5001,_xlfn.MAXIFS(Base!$A$3:$A$5001,Base!$B$3:$B$5001,G$143,Base!$A$3:$A$5001,"&gt;="&amp;$C$7,Base!$A$3:$A$5001,"&lt;="&amp;$B144,Base!$M$3:$M$5001,"&lt;&gt;"))))</f>
        <v>286</v>
      </c>
    </row>
    <row r="145">
      <c r="A145" s="147">
        <v>2</v>
      </c>
      <c r="B145" s="148">
        <f>$B$13</f>
        <v>46267</v>
      </c>
      <c r="C145" s="149">
        <f>IF($A145&gt;$B$9,"",IF(COUNTIFS(Base!$B$3:$B$5001,C$143,Base!$A$3:$A$5001,"&gt;="&amp;$C$7,Base!$A$3:$A$5001,"&lt;="&amp;$B145,Base!$M$3:$M$5001,"&lt;&gt;")=0,"",SUMIFS(Base!$M$3:$M$5001,Base!$B$3:$B$5001,C$143,Base!$A$3:$A$5001,_xlfn.MAXIFS(Base!$A$3:$A$5001,Base!$B$3:$B$5001,C$143,Base!$A$3:$A$5001,"&gt;="&amp;$C$7,Base!$A$3:$A$5001,"&lt;="&amp;$B145,Base!$M$3:$M$5001,"&lt;&gt;"))))</f>
        <v>1000</v>
      </c>
      <c r="D145" s="149">
        <f>IF($A145&gt;$B$9,"",IF(COUNTIFS(Base!$B$3:$B$5001,D$143,Base!$A$3:$A$5001,"&gt;="&amp;$C$7,Base!$A$3:$A$5001,"&lt;="&amp;$B145,Base!$M$3:$M$5001,"&lt;&gt;")=0,"",SUMIFS(Base!$M$3:$M$5001,Base!$B$3:$B$5001,D$143,Base!$A$3:$A$5001,_xlfn.MAXIFS(Base!$A$3:$A$5001,Base!$B$3:$B$5001,D$143,Base!$A$3:$A$5001,"&gt;="&amp;$C$7,Base!$A$3:$A$5001,"&lt;="&amp;$B145,Base!$M$3:$M$5001,"&lt;&gt;"))))</f>
        <v>633</v>
      </c>
      <c r="E145" s="149">
        <f>IF($A145&gt;$B$9,"",IF(COUNTIFS(Base!$B$3:$B$5001,E$143,Base!$A$3:$A$5001,"&gt;="&amp;$C$7,Base!$A$3:$A$5001,"&lt;="&amp;$B145,Base!$M$3:$M$5001,"&lt;&gt;")=0,"",SUMIFS(Base!$M$3:$M$5001,Base!$B$3:$B$5001,E$143,Base!$A$3:$A$5001,_xlfn.MAXIFS(Base!$A$3:$A$5001,Base!$B$3:$B$5001,E$143,Base!$A$3:$A$5001,"&gt;="&amp;$C$7,Base!$A$3:$A$5001,"&lt;="&amp;$B145,Base!$M$3:$M$5001,"&lt;&gt;"))))</f>
        <v>277</v>
      </c>
      <c r="F145" s="149">
        <f>IF($A145&gt;$B$9,"",IF(COUNTIFS(Base!$B$3:$B$5001,F$143,Base!$A$3:$A$5001,"&gt;="&amp;$C$7,Base!$A$3:$A$5001,"&lt;="&amp;$B145,Base!$M$3:$M$5001,"&lt;&gt;")=0,"",SUMIFS(Base!$M$3:$M$5001,Base!$B$3:$B$5001,F$143,Base!$A$3:$A$5001,_xlfn.MAXIFS(Base!$A$3:$A$5001,Base!$B$3:$B$5001,F$143,Base!$A$3:$A$5001,"&gt;="&amp;$C$7,Base!$A$3:$A$5001,"&lt;="&amp;$B145,Base!$M$3:$M$5001,"&lt;&gt;"))))</f>
        <v>1076</v>
      </c>
      <c r="G145" s="149">
        <f>IF($A145&gt;$B$9,"",IF(COUNTIFS(Base!$B$3:$B$5001,G$143,Base!$A$3:$A$5001,"&gt;="&amp;$C$7,Base!$A$3:$A$5001,"&lt;="&amp;$B145,Base!$M$3:$M$5001,"&lt;&gt;")=0,"",SUMIFS(Base!$M$3:$M$5001,Base!$B$3:$B$5001,G$143,Base!$A$3:$A$5001,_xlfn.MAXIFS(Base!$A$3:$A$5001,Base!$B$3:$B$5001,G$143,Base!$A$3:$A$5001,"&gt;="&amp;$C$7,Base!$A$3:$A$5001,"&lt;="&amp;$B145,Base!$M$3:$M$5001,"&lt;&gt;"))))</f>
        <v>247</v>
      </c>
    </row>
    <row r="146">
      <c r="A146" s="147">
        <v>3</v>
      </c>
      <c r="B146" s="148">
        <f>$B$14</f>
        <v>46268</v>
      </c>
      <c r="C146" s="149">
        <f>IF($A146&gt;$B$9,"",IF(COUNTIFS(Base!$B$3:$B$5001,C$143,Base!$A$3:$A$5001,"&gt;="&amp;$C$7,Base!$A$3:$A$5001,"&lt;="&amp;$B146,Base!$M$3:$M$5001,"&lt;&gt;")=0,"",SUMIFS(Base!$M$3:$M$5001,Base!$B$3:$B$5001,C$143,Base!$A$3:$A$5001,_xlfn.MAXIFS(Base!$A$3:$A$5001,Base!$B$3:$B$5001,C$143,Base!$A$3:$A$5001,"&gt;="&amp;$C$7,Base!$A$3:$A$5001,"&lt;="&amp;$B146,Base!$M$3:$M$5001,"&lt;&gt;"))))</f>
        <v>1861</v>
      </c>
      <c r="D146" s="149">
        <f>IF($A146&gt;$B$9,"",IF(COUNTIFS(Base!$B$3:$B$5001,D$143,Base!$A$3:$A$5001,"&gt;="&amp;$C$7,Base!$A$3:$A$5001,"&lt;="&amp;$B146,Base!$M$3:$M$5001,"&lt;&gt;")=0,"",SUMIFS(Base!$M$3:$M$5001,Base!$B$3:$B$5001,D$143,Base!$A$3:$A$5001,_xlfn.MAXIFS(Base!$A$3:$A$5001,Base!$B$3:$B$5001,D$143,Base!$A$3:$A$5001,"&gt;="&amp;$C$7,Base!$A$3:$A$5001,"&lt;="&amp;$B146,Base!$M$3:$M$5001,"&lt;&gt;"))))</f>
        <v>598</v>
      </c>
      <c r="E146" s="149">
        <f>IF($A146&gt;$B$9,"",IF(COUNTIFS(Base!$B$3:$B$5001,E$143,Base!$A$3:$A$5001,"&gt;="&amp;$C$7,Base!$A$3:$A$5001,"&lt;="&amp;$B146,Base!$M$3:$M$5001,"&lt;&gt;")=0,"",SUMIFS(Base!$M$3:$M$5001,Base!$B$3:$B$5001,E$143,Base!$A$3:$A$5001,_xlfn.MAXIFS(Base!$A$3:$A$5001,Base!$B$3:$B$5001,E$143,Base!$A$3:$A$5001,"&gt;="&amp;$C$7,Base!$A$3:$A$5001,"&lt;="&amp;$B146,Base!$M$3:$M$5001,"&lt;&gt;"))))</f>
        <v>219</v>
      </c>
      <c r="F146" s="149">
        <f>IF($A146&gt;$B$9,"",IF(COUNTIFS(Base!$B$3:$B$5001,F$143,Base!$A$3:$A$5001,"&gt;="&amp;$C$7,Base!$A$3:$A$5001,"&lt;="&amp;$B146,Base!$M$3:$M$5001,"&lt;&gt;")=0,"",SUMIFS(Base!$M$3:$M$5001,Base!$B$3:$B$5001,F$143,Base!$A$3:$A$5001,_xlfn.MAXIFS(Base!$A$3:$A$5001,Base!$B$3:$B$5001,F$143,Base!$A$3:$A$5001,"&gt;="&amp;$C$7,Base!$A$3:$A$5001,"&lt;="&amp;$B146,Base!$M$3:$M$5001,"&lt;&gt;"))))</f>
        <v>1104</v>
      </c>
      <c r="G146" s="149">
        <f>IF($A146&gt;$B$9,"",IF(COUNTIFS(Base!$B$3:$B$5001,G$143,Base!$A$3:$A$5001,"&gt;="&amp;$C$7,Base!$A$3:$A$5001,"&lt;="&amp;$B146,Base!$M$3:$M$5001,"&lt;&gt;")=0,"",SUMIFS(Base!$M$3:$M$5001,Base!$B$3:$B$5001,G$143,Base!$A$3:$A$5001,_xlfn.MAXIFS(Base!$A$3:$A$5001,Base!$B$3:$B$5001,G$143,Base!$A$3:$A$5001,"&gt;="&amp;$C$7,Base!$A$3:$A$5001,"&lt;="&amp;$B146,Base!$M$3:$M$5001,"&lt;&gt;"))))</f>
        <v>186</v>
      </c>
    </row>
    <row r="147">
      <c r="A147" s="147">
        <v>4</v>
      </c>
      <c r="B147" s="148">
        <f>$B$15</f>
        <v>46269</v>
      </c>
      <c r="C147" s="149">
        <f>IF($A147&gt;$B$9,"",IF(COUNTIFS(Base!$B$3:$B$5001,C$143,Base!$A$3:$A$5001,"&gt;="&amp;$C$7,Base!$A$3:$A$5001,"&lt;="&amp;$B147,Base!$M$3:$M$5001,"&lt;&gt;")=0,"",SUMIFS(Base!$M$3:$M$5001,Base!$B$3:$B$5001,C$143,Base!$A$3:$A$5001,_xlfn.MAXIFS(Base!$A$3:$A$5001,Base!$B$3:$B$5001,C$143,Base!$A$3:$A$5001,"&gt;="&amp;$C$7,Base!$A$3:$A$5001,"&lt;="&amp;$B147,Base!$M$3:$M$5001,"&lt;&gt;"))))</f>
        <v>1256</v>
      </c>
      <c r="D147" s="149">
        <f>IF($A147&gt;$B$9,"",IF(COUNTIFS(Base!$B$3:$B$5001,D$143,Base!$A$3:$A$5001,"&gt;="&amp;$C$7,Base!$A$3:$A$5001,"&lt;="&amp;$B147,Base!$M$3:$M$5001,"&lt;&gt;")=0,"",SUMIFS(Base!$M$3:$M$5001,Base!$B$3:$B$5001,D$143,Base!$A$3:$A$5001,_xlfn.MAXIFS(Base!$A$3:$A$5001,Base!$B$3:$B$5001,D$143,Base!$A$3:$A$5001,"&gt;="&amp;$C$7,Base!$A$3:$A$5001,"&lt;="&amp;$B147,Base!$M$3:$M$5001,"&lt;&gt;"))))</f>
        <v>617</v>
      </c>
      <c r="E147" s="149">
        <f>IF($A147&gt;$B$9,"",IF(COUNTIFS(Base!$B$3:$B$5001,E$143,Base!$A$3:$A$5001,"&gt;="&amp;$C$7,Base!$A$3:$A$5001,"&lt;="&amp;$B147,Base!$M$3:$M$5001,"&lt;&gt;")=0,"",SUMIFS(Base!$M$3:$M$5001,Base!$B$3:$B$5001,E$143,Base!$A$3:$A$5001,_xlfn.MAXIFS(Base!$A$3:$A$5001,Base!$B$3:$B$5001,E$143,Base!$A$3:$A$5001,"&gt;="&amp;$C$7,Base!$A$3:$A$5001,"&lt;="&amp;$B147,Base!$M$3:$M$5001,"&lt;&gt;"))))</f>
        <v>154</v>
      </c>
      <c r="F147" s="149">
        <f>IF($A147&gt;$B$9,"",IF(COUNTIFS(Base!$B$3:$B$5001,F$143,Base!$A$3:$A$5001,"&gt;="&amp;$C$7,Base!$A$3:$A$5001,"&lt;="&amp;$B147,Base!$M$3:$M$5001,"&lt;&gt;")=0,"",SUMIFS(Base!$M$3:$M$5001,Base!$B$3:$B$5001,F$143,Base!$A$3:$A$5001,_xlfn.MAXIFS(Base!$A$3:$A$5001,Base!$B$3:$B$5001,F$143,Base!$A$3:$A$5001,"&gt;="&amp;$C$7,Base!$A$3:$A$5001,"&lt;="&amp;$B147,Base!$M$3:$M$5001,"&lt;&gt;"))))</f>
        <v>804</v>
      </c>
      <c r="G147" s="149">
        <f>IF($A147&gt;$B$9,"",IF(COUNTIFS(Base!$B$3:$B$5001,G$143,Base!$A$3:$A$5001,"&gt;="&amp;$C$7,Base!$A$3:$A$5001,"&lt;="&amp;$B147,Base!$M$3:$M$5001,"&lt;&gt;")=0,"",SUMIFS(Base!$M$3:$M$5001,Base!$B$3:$B$5001,G$143,Base!$A$3:$A$5001,_xlfn.MAXIFS(Base!$A$3:$A$5001,Base!$B$3:$B$5001,G$143,Base!$A$3:$A$5001,"&gt;="&amp;$C$7,Base!$A$3:$A$5001,"&lt;="&amp;$B147,Base!$M$3:$M$5001,"&lt;&gt;"))))</f>
        <v>251</v>
      </c>
    </row>
    <row r="148">
      <c r="A148" s="147">
        <v>5</v>
      </c>
      <c r="B148" s="148">
        <f>$B$16</f>
        <v>46270</v>
      </c>
      <c r="C148" s="149">
        <f>IF($A148&gt;$B$9,"",IF(COUNTIFS(Base!$B$3:$B$5001,C$143,Base!$A$3:$A$5001,"&gt;="&amp;$C$7,Base!$A$3:$A$5001,"&lt;="&amp;$B148,Base!$M$3:$M$5001,"&lt;&gt;")=0,"",SUMIFS(Base!$M$3:$M$5001,Base!$B$3:$B$5001,C$143,Base!$A$3:$A$5001,_xlfn.MAXIFS(Base!$A$3:$A$5001,Base!$B$3:$B$5001,C$143,Base!$A$3:$A$5001,"&gt;="&amp;$C$7,Base!$A$3:$A$5001,"&lt;="&amp;$B148,Base!$M$3:$M$5001,"&lt;&gt;"))))</f>
        <v>1309</v>
      </c>
      <c r="D148" s="149">
        <f>IF($A148&gt;$B$9,"",IF(COUNTIFS(Base!$B$3:$B$5001,D$143,Base!$A$3:$A$5001,"&gt;="&amp;$C$7,Base!$A$3:$A$5001,"&lt;="&amp;$B148,Base!$M$3:$M$5001,"&lt;&gt;")=0,"",SUMIFS(Base!$M$3:$M$5001,Base!$B$3:$B$5001,D$143,Base!$A$3:$A$5001,_xlfn.MAXIFS(Base!$A$3:$A$5001,Base!$B$3:$B$5001,D$143,Base!$A$3:$A$5001,"&gt;="&amp;$C$7,Base!$A$3:$A$5001,"&lt;="&amp;$B148,Base!$M$3:$M$5001,"&lt;&gt;"))))</f>
        <v>617</v>
      </c>
      <c r="E148" s="149">
        <f>IF($A148&gt;$B$9,"",IF(COUNTIFS(Base!$B$3:$B$5001,E$143,Base!$A$3:$A$5001,"&gt;="&amp;$C$7,Base!$A$3:$A$5001,"&lt;="&amp;$B148,Base!$M$3:$M$5001,"&lt;&gt;")=0,"",SUMIFS(Base!$M$3:$M$5001,Base!$B$3:$B$5001,E$143,Base!$A$3:$A$5001,_xlfn.MAXIFS(Base!$A$3:$A$5001,Base!$B$3:$B$5001,E$143,Base!$A$3:$A$5001,"&gt;="&amp;$C$7,Base!$A$3:$A$5001,"&lt;="&amp;$B148,Base!$M$3:$M$5001,"&lt;&gt;"))))</f>
        <v>202</v>
      </c>
      <c r="F148" s="149">
        <f>IF($A148&gt;$B$9,"",IF(COUNTIFS(Base!$B$3:$B$5001,F$143,Base!$A$3:$A$5001,"&gt;="&amp;$C$7,Base!$A$3:$A$5001,"&lt;="&amp;$B148,Base!$M$3:$M$5001,"&lt;&gt;")=0,"",SUMIFS(Base!$M$3:$M$5001,Base!$B$3:$B$5001,F$143,Base!$A$3:$A$5001,_xlfn.MAXIFS(Base!$A$3:$A$5001,Base!$B$3:$B$5001,F$143,Base!$A$3:$A$5001,"&gt;="&amp;$C$7,Base!$A$3:$A$5001,"&lt;="&amp;$B148,Base!$M$3:$M$5001,"&lt;&gt;"))))</f>
        <v>887</v>
      </c>
      <c r="G148" s="149">
        <f>IF($A148&gt;$B$9,"",IF(COUNTIFS(Base!$B$3:$B$5001,G$143,Base!$A$3:$A$5001,"&gt;="&amp;$C$7,Base!$A$3:$A$5001,"&lt;="&amp;$B148,Base!$M$3:$M$5001,"&lt;&gt;")=0,"",SUMIFS(Base!$M$3:$M$5001,Base!$B$3:$B$5001,G$143,Base!$A$3:$A$5001,_xlfn.MAXIFS(Base!$A$3:$A$5001,Base!$B$3:$B$5001,G$143,Base!$A$3:$A$5001,"&gt;="&amp;$C$7,Base!$A$3:$A$5001,"&lt;="&amp;$B148,Base!$M$3:$M$5001,"&lt;&gt;"))))</f>
        <v>251</v>
      </c>
    </row>
    <row r="149">
      <c r="A149" s="147">
        <v>6</v>
      </c>
      <c r="B149" s="148">
        <f>$B$17</f>
        <v>46271</v>
      </c>
      <c r="C149" s="149">
        <f>IF($A149&gt;$B$9,"",IF(COUNTIFS(Base!$B$3:$B$5001,C$143,Base!$A$3:$A$5001,"&gt;="&amp;$C$7,Base!$A$3:$A$5001,"&lt;="&amp;$B149,Base!$M$3:$M$5001,"&lt;&gt;")=0,"",SUMIFS(Base!$M$3:$M$5001,Base!$B$3:$B$5001,C$143,Base!$A$3:$A$5001,_xlfn.MAXIFS(Base!$A$3:$A$5001,Base!$B$3:$B$5001,C$143,Base!$A$3:$A$5001,"&gt;="&amp;$C$7,Base!$A$3:$A$5001,"&lt;="&amp;$B149,Base!$M$3:$M$5001,"&lt;&gt;"))))</f>
        <v>1309</v>
      </c>
      <c r="D149" s="149">
        <f>IF($A149&gt;$B$9,"",IF(COUNTIFS(Base!$B$3:$B$5001,D$143,Base!$A$3:$A$5001,"&gt;="&amp;$C$7,Base!$A$3:$A$5001,"&lt;="&amp;$B149,Base!$M$3:$M$5001,"&lt;&gt;")=0,"",SUMIFS(Base!$M$3:$M$5001,Base!$B$3:$B$5001,D$143,Base!$A$3:$A$5001,_xlfn.MAXIFS(Base!$A$3:$A$5001,Base!$B$3:$B$5001,D$143,Base!$A$3:$A$5001,"&gt;="&amp;$C$7,Base!$A$3:$A$5001,"&lt;="&amp;$B149,Base!$M$3:$M$5001,"&lt;&gt;"))))</f>
        <v>617</v>
      </c>
      <c r="E149" s="149">
        <f>IF($A149&gt;$B$9,"",IF(COUNTIFS(Base!$B$3:$B$5001,E$143,Base!$A$3:$A$5001,"&gt;="&amp;$C$7,Base!$A$3:$A$5001,"&lt;="&amp;$B149,Base!$M$3:$M$5001,"&lt;&gt;")=0,"",SUMIFS(Base!$M$3:$M$5001,Base!$B$3:$B$5001,E$143,Base!$A$3:$A$5001,_xlfn.MAXIFS(Base!$A$3:$A$5001,Base!$B$3:$B$5001,E$143,Base!$A$3:$A$5001,"&gt;="&amp;$C$7,Base!$A$3:$A$5001,"&lt;="&amp;$B149,Base!$M$3:$M$5001,"&lt;&gt;"))))</f>
        <v>363</v>
      </c>
      <c r="F149" s="149">
        <f>IF($A149&gt;$B$9,"",IF(COUNTIFS(Base!$B$3:$B$5001,F$143,Base!$A$3:$A$5001,"&gt;="&amp;$C$7,Base!$A$3:$A$5001,"&lt;="&amp;$B149,Base!$M$3:$M$5001,"&lt;&gt;")=0,"",SUMIFS(Base!$M$3:$M$5001,Base!$B$3:$B$5001,F$143,Base!$A$3:$A$5001,_xlfn.MAXIFS(Base!$A$3:$A$5001,Base!$B$3:$B$5001,F$143,Base!$A$3:$A$5001,"&gt;="&amp;$C$7,Base!$A$3:$A$5001,"&lt;="&amp;$B149,Base!$M$3:$M$5001,"&lt;&gt;"))))</f>
        <v>887</v>
      </c>
      <c r="G149" s="149">
        <f>IF($A149&gt;$B$9,"",IF(COUNTIFS(Base!$B$3:$B$5001,G$143,Base!$A$3:$A$5001,"&gt;="&amp;$C$7,Base!$A$3:$A$5001,"&lt;="&amp;$B149,Base!$M$3:$M$5001,"&lt;&gt;")=0,"",SUMIFS(Base!$M$3:$M$5001,Base!$B$3:$B$5001,G$143,Base!$A$3:$A$5001,_xlfn.MAXIFS(Base!$A$3:$A$5001,Base!$B$3:$B$5001,G$143,Base!$A$3:$A$5001,"&gt;="&amp;$C$7,Base!$A$3:$A$5001,"&lt;="&amp;$B149,Base!$M$3:$M$5001,"&lt;&gt;"))))</f>
        <v>280</v>
      </c>
    </row>
    <row r="150">
      <c r="A150" s="147">
        <v>7</v>
      </c>
      <c r="B150" s="148">
        <f>$B$18</f>
        <v>46272</v>
      </c>
      <c r="C150" s="149">
        <f>IF($A150&gt;$B$9,"",IF(COUNTIFS(Base!$B$3:$B$5001,C$143,Base!$A$3:$A$5001,"&gt;="&amp;$C$7,Base!$A$3:$A$5001,"&lt;="&amp;$B150,Base!$M$3:$M$5001,"&lt;&gt;")=0,"",SUMIFS(Base!$M$3:$M$5001,Base!$B$3:$B$5001,C$143,Base!$A$3:$A$5001,_xlfn.MAXIFS(Base!$A$3:$A$5001,Base!$B$3:$B$5001,C$143,Base!$A$3:$A$5001,"&gt;="&amp;$C$7,Base!$A$3:$A$5001,"&lt;="&amp;$B150,Base!$M$3:$M$5001,"&lt;&gt;"))))</f>
        <v>1068</v>
      </c>
      <c r="D150" s="149">
        <f>IF($A150&gt;$B$9,"",IF(COUNTIFS(Base!$B$3:$B$5001,D$143,Base!$A$3:$A$5001,"&gt;="&amp;$C$7,Base!$A$3:$A$5001,"&lt;="&amp;$B150,Base!$M$3:$M$5001,"&lt;&gt;")=0,"",SUMIFS(Base!$M$3:$M$5001,Base!$B$3:$B$5001,D$143,Base!$A$3:$A$5001,_xlfn.MAXIFS(Base!$A$3:$A$5001,Base!$B$3:$B$5001,D$143,Base!$A$3:$A$5001,"&gt;="&amp;$C$7,Base!$A$3:$A$5001,"&lt;="&amp;$B150,Base!$M$3:$M$5001,"&lt;&gt;"))))</f>
        <v>666</v>
      </c>
      <c r="E150" s="149">
        <f>IF($A150&gt;$B$9,"",IF(COUNTIFS(Base!$B$3:$B$5001,E$143,Base!$A$3:$A$5001,"&gt;="&amp;$C$7,Base!$A$3:$A$5001,"&lt;="&amp;$B150,Base!$M$3:$M$5001,"&lt;&gt;")=0,"",SUMIFS(Base!$M$3:$M$5001,Base!$B$3:$B$5001,E$143,Base!$A$3:$A$5001,_xlfn.MAXIFS(Base!$A$3:$A$5001,Base!$B$3:$B$5001,E$143,Base!$A$3:$A$5001,"&gt;="&amp;$C$7,Base!$A$3:$A$5001,"&lt;="&amp;$B150,Base!$M$3:$M$5001,"&lt;&gt;"))))</f>
        <v>217</v>
      </c>
      <c r="F150" s="149">
        <f>IF($A150&gt;$B$9,"",IF(COUNTIFS(Base!$B$3:$B$5001,F$143,Base!$A$3:$A$5001,"&gt;="&amp;$C$7,Base!$A$3:$A$5001,"&lt;="&amp;$B150,Base!$M$3:$M$5001,"&lt;&gt;")=0,"",SUMIFS(Base!$M$3:$M$5001,Base!$B$3:$B$5001,F$143,Base!$A$3:$A$5001,_xlfn.MAXIFS(Base!$A$3:$A$5001,Base!$B$3:$B$5001,F$143,Base!$A$3:$A$5001,"&gt;="&amp;$C$7,Base!$A$3:$A$5001,"&lt;="&amp;$B150,Base!$M$3:$M$5001,"&lt;&gt;"))))</f>
        <v>931</v>
      </c>
      <c r="G150" s="149">
        <f>IF($A150&gt;$B$9,"",IF(COUNTIFS(Base!$B$3:$B$5001,G$143,Base!$A$3:$A$5001,"&gt;="&amp;$C$7,Base!$A$3:$A$5001,"&lt;="&amp;$B150,Base!$M$3:$M$5001,"&lt;&gt;")=0,"",SUMIFS(Base!$M$3:$M$5001,Base!$B$3:$B$5001,G$143,Base!$A$3:$A$5001,_xlfn.MAXIFS(Base!$A$3:$A$5001,Base!$B$3:$B$5001,G$143,Base!$A$3:$A$5001,"&gt;="&amp;$C$7,Base!$A$3:$A$5001,"&lt;="&amp;$B150,Base!$M$3:$M$5001,"&lt;&gt;"))))</f>
        <v>345</v>
      </c>
    </row>
    <row r="151">
      <c r="A151" s="147">
        <v>8</v>
      </c>
      <c r="B151" s="148">
        <f>$B$19</f>
        <v>46273</v>
      </c>
      <c r="C151" s="149">
        <f>IF($A151&gt;$B$9,"",IF(COUNTIFS(Base!$B$3:$B$5001,C$143,Base!$A$3:$A$5001,"&gt;="&amp;$C$7,Base!$A$3:$A$5001,"&lt;="&amp;$B151,Base!$M$3:$M$5001,"&lt;&gt;")=0,"",SUMIFS(Base!$M$3:$M$5001,Base!$B$3:$B$5001,C$143,Base!$A$3:$A$5001,_xlfn.MAXIFS(Base!$A$3:$A$5001,Base!$B$3:$B$5001,C$143,Base!$A$3:$A$5001,"&gt;="&amp;$C$7,Base!$A$3:$A$5001,"&lt;="&amp;$B151,Base!$M$3:$M$5001,"&lt;&gt;"))))</f>
        <v>1571</v>
      </c>
      <c r="D151" s="149">
        <f>IF($A151&gt;$B$9,"",IF(COUNTIFS(Base!$B$3:$B$5001,D$143,Base!$A$3:$A$5001,"&gt;="&amp;$C$7,Base!$A$3:$A$5001,"&lt;="&amp;$B151,Base!$M$3:$M$5001,"&lt;&gt;")=0,"",SUMIFS(Base!$M$3:$M$5001,Base!$B$3:$B$5001,D$143,Base!$A$3:$A$5001,_xlfn.MAXIFS(Base!$A$3:$A$5001,Base!$B$3:$B$5001,D$143,Base!$A$3:$A$5001,"&gt;="&amp;$C$7,Base!$A$3:$A$5001,"&lt;="&amp;$B151,Base!$M$3:$M$5001,"&lt;&gt;"))))</f>
        <v>503</v>
      </c>
      <c r="E151" s="149">
        <f>IF($A151&gt;$B$9,"",IF(COUNTIFS(Base!$B$3:$B$5001,E$143,Base!$A$3:$A$5001,"&gt;="&amp;$C$7,Base!$A$3:$A$5001,"&lt;="&amp;$B151,Base!$M$3:$M$5001,"&lt;&gt;")=0,"",SUMIFS(Base!$M$3:$M$5001,Base!$B$3:$B$5001,E$143,Base!$A$3:$A$5001,_xlfn.MAXIFS(Base!$A$3:$A$5001,Base!$B$3:$B$5001,E$143,Base!$A$3:$A$5001,"&gt;="&amp;$C$7,Base!$A$3:$A$5001,"&lt;="&amp;$B151,Base!$M$3:$M$5001,"&lt;&gt;"))))</f>
        <v>252</v>
      </c>
      <c r="F151" s="149">
        <f>IF($A151&gt;$B$9,"",IF(COUNTIFS(Base!$B$3:$B$5001,F$143,Base!$A$3:$A$5001,"&gt;="&amp;$C$7,Base!$A$3:$A$5001,"&lt;="&amp;$B151,Base!$M$3:$M$5001,"&lt;&gt;")=0,"",SUMIFS(Base!$M$3:$M$5001,Base!$B$3:$B$5001,F$143,Base!$A$3:$A$5001,_xlfn.MAXIFS(Base!$A$3:$A$5001,Base!$B$3:$B$5001,F$143,Base!$A$3:$A$5001,"&gt;="&amp;$C$7,Base!$A$3:$A$5001,"&lt;="&amp;$B151,Base!$M$3:$M$5001,"&lt;&gt;"))))</f>
        <v>856</v>
      </c>
      <c r="G151" s="149">
        <f>IF($A151&gt;$B$9,"",IF(COUNTIFS(Base!$B$3:$B$5001,G$143,Base!$A$3:$A$5001,"&gt;="&amp;$C$7,Base!$A$3:$A$5001,"&lt;="&amp;$B151,Base!$M$3:$M$5001,"&lt;&gt;")=0,"",SUMIFS(Base!$M$3:$M$5001,Base!$B$3:$B$5001,G$143,Base!$A$3:$A$5001,_xlfn.MAXIFS(Base!$A$3:$A$5001,Base!$B$3:$B$5001,G$143,Base!$A$3:$A$5001,"&gt;="&amp;$C$7,Base!$A$3:$A$5001,"&lt;="&amp;$B151,Base!$M$3:$M$5001,"&lt;&gt;"))))</f>
        <v>171</v>
      </c>
    </row>
    <row r="152">
      <c r="A152" s="147">
        <v>9</v>
      </c>
      <c r="B152" s="148">
        <f>$B$20</f>
        <v>46274</v>
      </c>
      <c r="C152" s="149">
        <f>IF($A152&gt;$B$9,"",IF(COUNTIFS(Base!$B$3:$B$5001,C$143,Base!$A$3:$A$5001,"&gt;="&amp;$C$7,Base!$A$3:$A$5001,"&lt;="&amp;$B152,Base!$M$3:$M$5001,"&lt;&gt;")=0,"",SUMIFS(Base!$M$3:$M$5001,Base!$B$3:$B$5001,C$143,Base!$A$3:$A$5001,_xlfn.MAXIFS(Base!$A$3:$A$5001,Base!$B$3:$B$5001,C$143,Base!$A$3:$A$5001,"&gt;="&amp;$C$7,Base!$A$3:$A$5001,"&lt;="&amp;$B152,Base!$M$3:$M$5001,"&lt;&gt;"))))</f>
        <v>1336</v>
      </c>
      <c r="D152" s="149">
        <f>IF($A152&gt;$B$9,"",IF(COUNTIFS(Base!$B$3:$B$5001,D$143,Base!$A$3:$A$5001,"&gt;="&amp;$C$7,Base!$A$3:$A$5001,"&lt;="&amp;$B152,Base!$M$3:$M$5001,"&lt;&gt;")=0,"",SUMIFS(Base!$M$3:$M$5001,Base!$B$3:$B$5001,D$143,Base!$A$3:$A$5001,_xlfn.MAXIFS(Base!$A$3:$A$5001,Base!$B$3:$B$5001,D$143,Base!$A$3:$A$5001,"&gt;="&amp;$C$7,Base!$A$3:$A$5001,"&lt;="&amp;$B152,Base!$M$3:$M$5001,"&lt;&gt;"))))</f>
        <v>669</v>
      </c>
      <c r="E152" s="149">
        <f>IF($A152&gt;$B$9,"",IF(COUNTIFS(Base!$B$3:$B$5001,E$143,Base!$A$3:$A$5001,"&gt;="&amp;$C$7,Base!$A$3:$A$5001,"&lt;="&amp;$B152,Base!$M$3:$M$5001,"&lt;&gt;")=0,"",SUMIFS(Base!$M$3:$M$5001,Base!$B$3:$B$5001,E$143,Base!$A$3:$A$5001,_xlfn.MAXIFS(Base!$A$3:$A$5001,Base!$B$3:$B$5001,E$143,Base!$A$3:$A$5001,"&gt;="&amp;$C$7,Base!$A$3:$A$5001,"&lt;="&amp;$B152,Base!$M$3:$M$5001,"&lt;&gt;"))))</f>
        <v>148</v>
      </c>
      <c r="F152" s="149">
        <f>IF($A152&gt;$B$9,"",IF(COUNTIFS(Base!$B$3:$B$5001,F$143,Base!$A$3:$A$5001,"&gt;="&amp;$C$7,Base!$A$3:$A$5001,"&lt;="&amp;$B152,Base!$M$3:$M$5001,"&lt;&gt;")=0,"",SUMIFS(Base!$M$3:$M$5001,Base!$B$3:$B$5001,F$143,Base!$A$3:$A$5001,_xlfn.MAXIFS(Base!$A$3:$A$5001,Base!$B$3:$B$5001,F$143,Base!$A$3:$A$5001,"&gt;="&amp;$C$7,Base!$A$3:$A$5001,"&lt;="&amp;$B152,Base!$M$3:$M$5001,"&lt;&gt;"))))</f>
        <v>746</v>
      </c>
      <c r="G152" s="149">
        <f>IF($A152&gt;$B$9,"",IF(COUNTIFS(Base!$B$3:$B$5001,G$143,Base!$A$3:$A$5001,"&gt;="&amp;$C$7,Base!$A$3:$A$5001,"&lt;="&amp;$B152,Base!$M$3:$M$5001,"&lt;&gt;")=0,"",SUMIFS(Base!$M$3:$M$5001,Base!$B$3:$B$5001,G$143,Base!$A$3:$A$5001,_xlfn.MAXIFS(Base!$A$3:$A$5001,Base!$B$3:$B$5001,G$143,Base!$A$3:$A$5001,"&gt;="&amp;$C$7,Base!$A$3:$A$5001,"&lt;="&amp;$B152,Base!$M$3:$M$5001,"&lt;&gt;"))))</f>
        <v>126</v>
      </c>
    </row>
    <row r="153">
      <c r="A153" s="147">
        <v>10</v>
      </c>
      <c r="B153" s="148">
        <f>$B$21</f>
        <v>46275</v>
      </c>
      <c r="C153" s="149">
        <f>IF($A153&gt;$B$9,"",IF(COUNTIFS(Base!$B$3:$B$5001,C$143,Base!$A$3:$A$5001,"&gt;="&amp;$C$7,Base!$A$3:$A$5001,"&lt;="&amp;$B153,Base!$M$3:$M$5001,"&lt;&gt;")=0,"",SUMIFS(Base!$M$3:$M$5001,Base!$B$3:$B$5001,C$143,Base!$A$3:$A$5001,_xlfn.MAXIFS(Base!$A$3:$A$5001,Base!$B$3:$B$5001,C$143,Base!$A$3:$A$5001,"&gt;="&amp;$C$7,Base!$A$3:$A$5001,"&lt;="&amp;$B153,Base!$M$3:$M$5001,"&lt;&gt;"))))</f>
        <v>1308</v>
      </c>
      <c r="D153" s="149">
        <f>IF($A153&gt;$B$9,"",IF(COUNTIFS(Base!$B$3:$B$5001,D$143,Base!$A$3:$A$5001,"&gt;="&amp;$C$7,Base!$A$3:$A$5001,"&lt;="&amp;$B153,Base!$M$3:$M$5001,"&lt;&gt;")=0,"",SUMIFS(Base!$M$3:$M$5001,Base!$B$3:$B$5001,D$143,Base!$A$3:$A$5001,_xlfn.MAXIFS(Base!$A$3:$A$5001,Base!$B$3:$B$5001,D$143,Base!$A$3:$A$5001,"&gt;="&amp;$C$7,Base!$A$3:$A$5001,"&lt;="&amp;$B153,Base!$M$3:$M$5001,"&lt;&gt;"))))</f>
        <v>527</v>
      </c>
      <c r="E153" s="149">
        <f>IF($A153&gt;$B$9,"",IF(COUNTIFS(Base!$B$3:$B$5001,E$143,Base!$A$3:$A$5001,"&gt;="&amp;$C$7,Base!$A$3:$A$5001,"&lt;="&amp;$B153,Base!$M$3:$M$5001,"&lt;&gt;")=0,"",SUMIFS(Base!$M$3:$M$5001,Base!$B$3:$B$5001,E$143,Base!$A$3:$A$5001,_xlfn.MAXIFS(Base!$A$3:$A$5001,Base!$B$3:$B$5001,E$143,Base!$A$3:$A$5001,"&gt;="&amp;$C$7,Base!$A$3:$A$5001,"&lt;="&amp;$B153,Base!$M$3:$M$5001,"&lt;&gt;"))))</f>
        <v>189</v>
      </c>
      <c r="F153" s="149">
        <f>IF($A153&gt;$B$9,"",IF(COUNTIFS(Base!$B$3:$B$5001,F$143,Base!$A$3:$A$5001,"&gt;="&amp;$C$7,Base!$A$3:$A$5001,"&lt;="&amp;$B153,Base!$M$3:$M$5001,"&lt;&gt;")=0,"",SUMIFS(Base!$M$3:$M$5001,Base!$B$3:$B$5001,F$143,Base!$A$3:$A$5001,_xlfn.MAXIFS(Base!$A$3:$A$5001,Base!$B$3:$B$5001,F$143,Base!$A$3:$A$5001,"&gt;="&amp;$C$7,Base!$A$3:$A$5001,"&lt;="&amp;$B153,Base!$M$3:$M$5001,"&lt;&gt;"))))</f>
        <v>1186</v>
      </c>
      <c r="G153" s="149">
        <f>IF($A153&gt;$B$9,"",IF(COUNTIFS(Base!$B$3:$B$5001,G$143,Base!$A$3:$A$5001,"&gt;="&amp;$C$7,Base!$A$3:$A$5001,"&lt;="&amp;$B153,Base!$M$3:$M$5001,"&lt;&gt;")=0,"",SUMIFS(Base!$M$3:$M$5001,Base!$B$3:$B$5001,G$143,Base!$A$3:$A$5001,_xlfn.MAXIFS(Base!$A$3:$A$5001,Base!$B$3:$B$5001,G$143,Base!$A$3:$A$5001,"&gt;="&amp;$C$7,Base!$A$3:$A$5001,"&lt;="&amp;$B153,Base!$M$3:$M$5001,"&lt;&gt;"))))</f>
        <v>258</v>
      </c>
    </row>
    <row r="154">
      <c r="A154" s="147">
        <v>11</v>
      </c>
      <c r="B154" s="148">
        <f>$B$22</f>
        <v>46276</v>
      </c>
      <c r="C154" s="149">
        <f>IF($A154&gt;$B$9,"",IF(COUNTIFS(Base!$B$3:$B$5001,C$143,Base!$A$3:$A$5001,"&gt;="&amp;$C$7,Base!$A$3:$A$5001,"&lt;="&amp;$B154,Base!$M$3:$M$5001,"&lt;&gt;")=0,"",SUMIFS(Base!$M$3:$M$5001,Base!$B$3:$B$5001,C$143,Base!$A$3:$A$5001,_xlfn.MAXIFS(Base!$A$3:$A$5001,Base!$B$3:$B$5001,C$143,Base!$A$3:$A$5001,"&gt;="&amp;$C$7,Base!$A$3:$A$5001,"&lt;="&amp;$B154,Base!$M$3:$M$5001,"&lt;&gt;"))))</f>
        <v>1314</v>
      </c>
      <c r="D154" s="149">
        <f>IF($A154&gt;$B$9,"",IF(COUNTIFS(Base!$B$3:$B$5001,D$143,Base!$A$3:$A$5001,"&gt;="&amp;$C$7,Base!$A$3:$A$5001,"&lt;="&amp;$B154,Base!$M$3:$M$5001,"&lt;&gt;")=0,"",SUMIFS(Base!$M$3:$M$5001,Base!$B$3:$B$5001,D$143,Base!$A$3:$A$5001,_xlfn.MAXIFS(Base!$A$3:$A$5001,Base!$B$3:$B$5001,D$143,Base!$A$3:$A$5001,"&gt;="&amp;$C$7,Base!$A$3:$A$5001,"&lt;="&amp;$B154,Base!$M$3:$M$5001,"&lt;&gt;"))))</f>
        <v>526</v>
      </c>
      <c r="E154" s="149">
        <f>IF($A154&gt;$B$9,"",IF(COUNTIFS(Base!$B$3:$B$5001,E$143,Base!$A$3:$A$5001,"&gt;="&amp;$C$7,Base!$A$3:$A$5001,"&lt;="&amp;$B154,Base!$M$3:$M$5001,"&lt;&gt;")=0,"",SUMIFS(Base!$M$3:$M$5001,Base!$B$3:$B$5001,E$143,Base!$A$3:$A$5001,_xlfn.MAXIFS(Base!$A$3:$A$5001,Base!$B$3:$B$5001,E$143,Base!$A$3:$A$5001,"&gt;="&amp;$C$7,Base!$A$3:$A$5001,"&lt;="&amp;$B154,Base!$M$3:$M$5001,"&lt;&gt;"))))</f>
        <v>162</v>
      </c>
      <c r="F154" s="149">
        <f>IF($A154&gt;$B$9,"",IF(COUNTIFS(Base!$B$3:$B$5001,F$143,Base!$A$3:$A$5001,"&gt;="&amp;$C$7,Base!$A$3:$A$5001,"&lt;="&amp;$B154,Base!$M$3:$M$5001,"&lt;&gt;")=0,"",SUMIFS(Base!$M$3:$M$5001,Base!$B$3:$B$5001,F$143,Base!$A$3:$A$5001,_xlfn.MAXIFS(Base!$A$3:$A$5001,Base!$B$3:$B$5001,F$143,Base!$A$3:$A$5001,"&gt;="&amp;$C$7,Base!$A$3:$A$5001,"&lt;="&amp;$B154,Base!$M$3:$M$5001,"&lt;&gt;"))))</f>
        <v>1122</v>
      </c>
      <c r="G154" s="149">
        <f>IF($A154&gt;$B$9,"",IF(COUNTIFS(Base!$B$3:$B$5001,G$143,Base!$A$3:$A$5001,"&gt;="&amp;$C$7,Base!$A$3:$A$5001,"&lt;="&amp;$B154,Base!$M$3:$M$5001,"&lt;&gt;")=0,"",SUMIFS(Base!$M$3:$M$5001,Base!$B$3:$B$5001,G$143,Base!$A$3:$A$5001,_xlfn.MAXIFS(Base!$A$3:$A$5001,Base!$B$3:$B$5001,G$143,Base!$A$3:$A$5001,"&gt;="&amp;$C$7,Base!$A$3:$A$5001,"&lt;="&amp;$B154,Base!$M$3:$M$5001,"&lt;&gt;"))))</f>
        <v>125</v>
      </c>
    </row>
    <row r="155">
      <c r="A155" s="147">
        <v>12</v>
      </c>
      <c r="B155" s="148">
        <f>$B$23</f>
        <v>46277</v>
      </c>
      <c r="C155" s="149">
        <f>IF($A155&gt;$B$9,"",IF(COUNTIFS(Base!$B$3:$B$5001,C$143,Base!$A$3:$A$5001,"&gt;="&amp;$C$7,Base!$A$3:$A$5001,"&lt;="&amp;$B155,Base!$M$3:$M$5001,"&lt;&gt;")=0,"",SUMIFS(Base!$M$3:$M$5001,Base!$B$3:$B$5001,C$143,Base!$A$3:$A$5001,_xlfn.MAXIFS(Base!$A$3:$A$5001,Base!$B$3:$B$5001,C$143,Base!$A$3:$A$5001,"&gt;="&amp;$C$7,Base!$A$3:$A$5001,"&lt;="&amp;$B155,Base!$M$3:$M$5001,"&lt;&gt;"))))</f>
        <v>1754</v>
      </c>
      <c r="D155" s="149">
        <f>IF($A155&gt;$B$9,"",IF(COUNTIFS(Base!$B$3:$B$5001,D$143,Base!$A$3:$A$5001,"&gt;="&amp;$C$7,Base!$A$3:$A$5001,"&lt;="&amp;$B155,Base!$M$3:$M$5001,"&lt;&gt;")=0,"",SUMIFS(Base!$M$3:$M$5001,Base!$B$3:$B$5001,D$143,Base!$A$3:$A$5001,_xlfn.MAXIFS(Base!$A$3:$A$5001,Base!$B$3:$B$5001,D$143,Base!$A$3:$A$5001,"&gt;="&amp;$C$7,Base!$A$3:$A$5001,"&lt;="&amp;$B155,Base!$M$3:$M$5001,"&lt;&gt;"))))</f>
        <v>526</v>
      </c>
      <c r="E155" s="149">
        <f>IF($A155&gt;$B$9,"",IF(COUNTIFS(Base!$B$3:$B$5001,E$143,Base!$A$3:$A$5001,"&gt;="&amp;$C$7,Base!$A$3:$A$5001,"&lt;="&amp;$B155,Base!$M$3:$M$5001,"&lt;&gt;")=0,"",SUMIFS(Base!$M$3:$M$5001,Base!$B$3:$B$5001,E$143,Base!$A$3:$A$5001,_xlfn.MAXIFS(Base!$A$3:$A$5001,Base!$B$3:$B$5001,E$143,Base!$A$3:$A$5001,"&gt;="&amp;$C$7,Base!$A$3:$A$5001,"&lt;="&amp;$B155,Base!$M$3:$M$5001,"&lt;&gt;"))))</f>
        <v>162</v>
      </c>
      <c r="F155" s="149">
        <f>IF($A155&gt;$B$9,"",IF(COUNTIFS(Base!$B$3:$B$5001,F$143,Base!$A$3:$A$5001,"&gt;="&amp;$C$7,Base!$A$3:$A$5001,"&lt;="&amp;$B155,Base!$M$3:$M$5001,"&lt;&gt;")=0,"",SUMIFS(Base!$M$3:$M$5001,Base!$B$3:$B$5001,F$143,Base!$A$3:$A$5001,_xlfn.MAXIFS(Base!$A$3:$A$5001,Base!$B$3:$B$5001,F$143,Base!$A$3:$A$5001,"&gt;="&amp;$C$7,Base!$A$3:$A$5001,"&lt;="&amp;$B155,Base!$M$3:$M$5001,"&lt;&gt;"))))</f>
        <v>1122</v>
      </c>
      <c r="G155" s="149">
        <f>IF($A155&gt;$B$9,"",IF(COUNTIFS(Base!$B$3:$B$5001,G$143,Base!$A$3:$A$5001,"&gt;="&amp;$C$7,Base!$A$3:$A$5001,"&lt;="&amp;$B155,Base!$M$3:$M$5001,"&lt;&gt;")=0,"",SUMIFS(Base!$M$3:$M$5001,Base!$B$3:$B$5001,G$143,Base!$A$3:$A$5001,_xlfn.MAXIFS(Base!$A$3:$A$5001,Base!$B$3:$B$5001,G$143,Base!$A$3:$A$5001,"&gt;="&amp;$C$7,Base!$A$3:$A$5001,"&lt;="&amp;$B155,Base!$M$3:$M$5001,"&lt;&gt;"))))</f>
        <v>125</v>
      </c>
    </row>
    <row r="156">
      <c r="A156" s="147">
        <v>13</v>
      </c>
      <c r="B156" s="148">
        <f>$B$24</f>
        <v>46278</v>
      </c>
      <c r="C156" s="149">
        <f>IF($A156&gt;$B$9,"",IF(COUNTIFS(Base!$B$3:$B$5001,C$143,Base!$A$3:$A$5001,"&gt;="&amp;$C$7,Base!$A$3:$A$5001,"&lt;="&amp;$B156,Base!$M$3:$M$5001,"&lt;&gt;")=0,"",SUMIFS(Base!$M$3:$M$5001,Base!$B$3:$B$5001,C$143,Base!$A$3:$A$5001,_xlfn.MAXIFS(Base!$A$3:$A$5001,Base!$B$3:$B$5001,C$143,Base!$A$3:$A$5001,"&gt;="&amp;$C$7,Base!$A$3:$A$5001,"&lt;="&amp;$B156,Base!$M$3:$M$5001,"&lt;&gt;"))))</f>
        <v>1754</v>
      </c>
      <c r="D156" s="149">
        <f>IF($A156&gt;$B$9,"",IF(COUNTIFS(Base!$B$3:$B$5001,D$143,Base!$A$3:$A$5001,"&gt;="&amp;$C$7,Base!$A$3:$A$5001,"&lt;="&amp;$B156,Base!$M$3:$M$5001,"&lt;&gt;")=0,"",SUMIFS(Base!$M$3:$M$5001,Base!$B$3:$B$5001,D$143,Base!$A$3:$A$5001,_xlfn.MAXIFS(Base!$A$3:$A$5001,Base!$B$3:$B$5001,D$143,Base!$A$3:$A$5001,"&gt;="&amp;$C$7,Base!$A$3:$A$5001,"&lt;="&amp;$B156,Base!$M$3:$M$5001,"&lt;&gt;"))))</f>
        <v>526</v>
      </c>
      <c r="E156" s="149">
        <f>IF($A156&gt;$B$9,"",IF(COUNTIFS(Base!$B$3:$B$5001,E$143,Base!$A$3:$A$5001,"&gt;="&amp;$C$7,Base!$A$3:$A$5001,"&lt;="&amp;$B156,Base!$M$3:$M$5001,"&lt;&gt;")=0,"",SUMIFS(Base!$M$3:$M$5001,Base!$B$3:$B$5001,E$143,Base!$A$3:$A$5001,_xlfn.MAXIFS(Base!$A$3:$A$5001,Base!$B$3:$B$5001,E$143,Base!$A$3:$A$5001,"&gt;="&amp;$C$7,Base!$A$3:$A$5001,"&lt;="&amp;$B156,Base!$M$3:$M$5001,"&lt;&gt;"))))</f>
        <v>177</v>
      </c>
      <c r="F156" s="149">
        <f>IF($A156&gt;$B$9,"",IF(COUNTIFS(Base!$B$3:$B$5001,F$143,Base!$A$3:$A$5001,"&gt;="&amp;$C$7,Base!$A$3:$A$5001,"&lt;="&amp;$B156,Base!$M$3:$M$5001,"&lt;&gt;")=0,"",SUMIFS(Base!$M$3:$M$5001,Base!$B$3:$B$5001,F$143,Base!$A$3:$A$5001,_xlfn.MAXIFS(Base!$A$3:$A$5001,Base!$B$3:$B$5001,F$143,Base!$A$3:$A$5001,"&gt;="&amp;$C$7,Base!$A$3:$A$5001,"&lt;="&amp;$B156,Base!$M$3:$M$5001,"&lt;&gt;"))))</f>
        <v>1094</v>
      </c>
      <c r="G156" s="149">
        <f>IF($A156&gt;$B$9,"",IF(COUNTIFS(Base!$B$3:$B$5001,G$143,Base!$A$3:$A$5001,"&gt;="&amp;$C$7,Base!$A$3:$A$5001,"&lt;="&amp;$B156,Base!$M$3:$M$5001,"&lt;&gt;")=0,"",SUMIFS(Base!$M$3:$M$5001,Base!$B$3:$B$5001,G$143,Base!$A$3:$A$5001,_xlfn.MAXIFS(Base!$A$3:$A$5001,Base!$B$3:$B$5001,G$143,Base!$A$3:$A$5001,"&gt;="&amp;$C$7,Base!$A$3:$A$5001,"&lt;="&amp;$B156,Base!$M$3:$M$5001,"&lt;&gt;"))))</f>
        <v>234</v>
      </c>
    </row>
    <row r="157">
      <c r="A157" s="147">
        <v>14</v>
      </c>
      <c r="B157" s="148">
        <f>$B$25</f>
        <v>46279</v>
      </c>
      <c r="C157" s="149">
        <f>IF($A157&gt;$B$9,"",IF(COUNTIFS(Base!$B$3:$B$5001,C$143,Base!$A$3:$A$5001,"&gt;="&amp;$C$7,Base!$A$3:$A$5001,"&lt;="&amp;$B157,Base!$M$3:$M$5001,"&lt;&gt;")=0,"",SUMIFS(Base!$M$3:$M$5001,Base!$B$3:$B$5001,C$143,Base!$A$3:$A$5001,_xlfn.MAXIFS(Base!$A$3:$A$5001,Base!$B$3:$B$5001,C$143,Base!$A$3:$A$5001,"&gt;="&amp;$C$7,Base!$A$3:$A$5001,"&lt;="&amp;$B157,Base!$M$3:$M$5001,"&lt;&gt;"))))</f>
        <v>1050</v>
      </c>
      <c r="D157" s="149">
        <f>IF($A157&gt;$B$9,"",IF(COUNTIFS(Base!$B$3:$B$5001,D$143,Base!$A$3:$A$5001,"&gt;="&amp;$C$7,Base!$A$3:$A$5001,"&lt;="&amp;$B157,Base!$M$3:$M$5001,"&lt;&gt;")=0,"",SUMIFS(Base!$M$3:$M$5001,Base!$B$3:$B$5001,D$143,Base!$A$3:$A$5001,_xlfn.MAXIFS(Base!$A$3:$A$5001,Base!$B$3:$B$5001,D$143,Base!$A$3:$A$5001,"&gt;="&amp;$C$7,Base!$A$3:$A$5001,"&lt;="&amp;$B157,Base!$M$3:$M$5001,"&lt;&gt;"))))</f>
        <v>683</v>
      </c>
      <c r="E157" s="149">
        <f>IF($A157&gt;$B$9,"",IF(COUNTIFS(Base!$B$3:$B$5001,E$143,Base!$A$3:$A$5001,"&gt;="&amp;$C$7,Base!$A$3:$A$5001,"&lt;="&amp;$B157,Base!$M$3:$M$5001,"&lt;&gt;")=0,"",SUMIFS(Base!$M$3:$M$5001,Base!$B$3:$B$5001,E$143,Base!$A$3:$A$5001,_xlfn.MAXIFS(Base!$A$3:$A$5001,Base!$B$3:$B$5001,E$143,Base!$A$3:$A$5001,"&gt;="&amp;$C$7,Base!$A$3:$A$5001,"&lt;="&amp;$B157,Base!$M$3:$M$5001,"&lt;&gt;"))))</f>
        <v>400</v>
      </c>
      <c r="F157" s="149">
        <f>IF($A157&gt;$B$9,"",IF(COUNTIFS(Base!$B$3:$B$5001,F$143,Base!$A$3:$A$5001,"&gt;="&amp;$C$7,Base!$A$3:$A$5001,"&lt;="&amp;$B157,Base!$M$3:$M$5001,"&lt;&gt;")=0,"",SUMIFS(Base!$M$3:$M$5001,Base!$B$3:$B$5001,F$143,Base!$A$3:$A$5001,_xlfn.MAXIFS(Base!$A$3:$A$5001,Base!$B$3:$B$5001,F$143,Base!$A$3:$A$5001,"&gt;="&amp;$C$7,Base!$A$3:$A$5001,"&lt;="&amp;$B157,Base!$M$3:$M$5001,"&lt;&gt;"))))</f>
        <v>1266</v>
      </c>
      <c r="G157" s="149">
        <f>IF($A157&gt;$B$9,"",IF(COUNTIFS(Base!$B$3:$B$5001,G$143,Base!$A$3:$A$5001,"&gt;="&amp;$C$7,Base!$A$3:$A$5001,"&lt;="&amp;$B157,Base!$M$3:$M$5001,"&lt;&gt;")=0,"",SUMIFS(Base!$M$3:$M$5001,Base!$B$3:$B$5001,G$143,Base!$A$3:$A$5001,_xlfn.MAXIFS(Base!$A$3:$A$5001,Base!$B$3:$B$5001,G$143,Base!$A$3:$A$5001,"&gt;="&amp;$C$7,Base!$A$3:$A$5001,"&lt;="&amp;$B157,Base!$M$3:$M$5001,"&lt;&gt;"))))</f>
        <v>232</v>
      </c>
    </row>
    <row r="158">
      <c r="A158" s="147">
        <v>15</v>
      </c>
      <c r="B158" s="148">
        <f>$B$26</f>
        <v>46280</v>
      </c>
      <c r="C158" s="149">
        <f>IF($A158&gt;$B$9,"",IF(COUNTIFS(Base!$B$3:$B$5001,C$143,Base!$A$3:$A$5001,"&gt;="&amp;$C$7,Base!$A$3:$A$5001,"&lt;="&amp;$B158,Base!$M$3:$M$5001,"&lt;&gt;")=0,"",SUMIFS(Base!$M$3:$M$5001,Base!$B$3:$B$5001,C$143,Base!$A$3:$A$5001,_xlfn.MAXIFS(Base!$A$3:$A$5001,Base!$B$3:$B$5001,C$143,Base!$A$3:$A$5001,"&gt;="&amp;$C$7,Base!$A$3:$A$5001,"&lt;="&amp;$B158,Base!$M$3:$M$5001,"&lt;&gt;"))))</f>
        <v>1547</v>
      </c>
      <c r="D158" s="149">
        <f>IF($A158&gt;$B$9,"",IF(COUNTIFS(Base!$B$3:$B$5001,D$143,Base!$A$3:$A$5001,"&gt;="&amp;$C$7,Base!$A$3:$A$5001,"&lt;="&amp;$B158,Base!$M$3:$M$5001,"&lt;&gt;")=0,"",SUMIFS(Base!$M$3:$M$5001,Base!$B$3:$B$5001,D$143,Base!$A$3:$A$5001,_xlfn.MAXIFS(Base!$A$3:$A$5001,Base!$B$3:$B$5001,D$143,Base!$A$3:$A$5001,"&gt;="&amp;$C$7,Base!$A$3:$A$5001,"&lt;="&amp;$B158,Base!$M$3:$M$5001,"&lt;&gt;"))))</f>
        <v>759</v>
      </c>
      <c r="E158" s="149">
        <f>IF($A158&gt;$B$9,"",IF(COUNTIFS(Base!$B$3:$B$5001,E$143,Base!$A$3:$A$5001,"&gt;="&amp;$C$7,Base!$A$3:$A$5001,"&lt;="&amp;$B158,Base!$M$3:$M$5001,"&lt;&gt;")=0,"",SUMIFS(Base!$M$3:$M$5001,Base!$B$3:$B$5001,E$143,Base!$A$3:$A$5001,_xlfn.MAXIFS(Base!$A$3:$A$5001,Base!$B$3:$B$5001,E$143,Base!$A$3:$A$5001,"&gt;="&amp;$C$7,Base!$A$3:$A$5001,"&lt;="&amp;$B158,Base!$M$3:$M$5001,"&lt;&gt;"))))</f>
        <v>167</v>
      </c>
      <c r="F158" s="149">
        <f>IF($A158&gt;$B$9,"",IF(COUNTIFS(Base!$B$3:$B$5001,F$143,Base!$A$3:$A$5001,"&gt;="&amp;$C$7,Base!$A$3:$A$5001,"&lt;="&amp;$B158,Base!$M$3:$M$5001,"&lt;&gt;")=0,"",SUMIFS(Base!$M$3:$M$5001,Base!$B$3:$B$5001,F$143,Base!$A$3:$A$5001,_xlfn.MAXIFS(Base!$A$3:$A$5001,Base!$B$3:$B$5001,F$143,Base!$A$3:$A$5001,"&gt;="&amp;$C$7,Base!$A$3:$A$5001,"&lt;="&amp;$B158,Base!$M$3:$M$5001,"&lt;&gt;"))))</f>
        <v>796</v>
      </c>
      <c r="G158" s="149">
        <f>IF($A158&gt;$B$9,"",IF(COUNTIFS(Base!$B$3:$B$5001,G$143,Base!$A$3:$A$5001,"&gt;="&amp;$C$7,Base!$A$3:$A$5001,"&lt;="&amp;$B158,Base!$M$3:$M$5001,"&lt;&gt;")=0,"",SUMIFS(Base!$M$3:$M$5001,Base!$B$3:$B$5001,G$143,Base!$A$3:$A$5001,_xlfn.MAXIFS(Base!$A$3:$A$5001,Base!$B$3:$B$5001,G$143,Base!$A$3:$A$5001,"&gt;="&amp;$C$7,Base!$A$3:$A$5001,"&lt;="&amp;$B158,Base!$M$3:$M$5001,"&lt;&gt;"))))</f>
        <v>349</v>
      </c>
    </row>
    <row r="159">
      <c r="A159" s="147">
        <v>16</v>
      </c>
      <c r="B159" s="148">
        <f>$B$27</f>
        <v>46281</v>
      </c>
      <c r="C159" s="149">
        <f>IF($A159&gt;$B$9,"",IF(COUNTIFS(Base!$B$3:$B$5001,C$143,Base!$A$3:$A$5001,"&gt;="&amp;$C$7,Base!$A$3:$A$5001,"&lt;="&amp;$B159,Base!$M$3:$M$5001,"&lt;&gt;")=0,"",SUMIFS(Base!$M$3:$M$5001,Base!$B$3:$B$5001,C$143,Base!$A$3:$A$5001,_xlfn.MAXIFS(Base!$A$3:$A$5001,Base!$B$3:$B$5001,C$143,Base!$A$3:$A$5001,"&gt;="&amp;$C$7,Base!$A$3:$A$5001,"&lt;="&amp;$B159,Base!$M$3:$M$5001,"&lt;&gt;"))))</f>
        <v>1162</v>
      </c>
      <c r="D159" s="149">
        <f>IF($A159&gt;$B$9,"",IF(COUNTIFS(Base!$B$3:$B$5001,D$143,Base!$A$3:$A$5001,"&gt;="&amp;$C$7,Base!$A$3:$A$5001,"&lt;="&amp;$B159,Base!$M$3:$M$5001,"&lt;&gt;")=0,"",SUMIFS(Base!$M$3:$M$5001,Base!$B$3:$B$5001,D$143,Base!$A$3:$A$5001,_xlfn.MAXIFS(Base!$A$3:$A$5001,Base!$B$3:$B$5001,D$143,Base!$A$3:$A$5001,"&gt;="&amp;$C$7,Base!$A$3:$A$5001,"&lt;="&amp;$B159,Base!$M$3:$M$5001,"&lt;&gt;"))))</f>
        <v>697</v>
      </c>
      <c r="E159" s="149">
        <f>IF($A159&gt;$B$9,"",IF(COUNTIFS(Base!$B$3:$B$5001,E$143,Base!$A$3:$A$5001,"&gt;="&amp;$C$7,Base!$A$3:$A$5001,"&lt;="&amp;$B159,Base!$M$3:$M$5001,"&lt;&gt;")=0,"",SUMIFS(Base!$M$3:$M$5001,Base!$B$3:$B$5001,E$143,Base!$A$3:$A$5001,_xlfn.MAXIFS(Base!$A$3:$A$5001,Base!$B$3:$B$5001,E$143,Base!$A$3:$A$5001,"&gt;="&amp;$C$7,Base!$A$3:$A$5001,"&lt;="&amp;$B159,Base!$M$3:$M$5001,"&lt;&gt;"))))</f>
        <v>290</v>
      </c>
      <c r="F159" s="149">
        <f>IF($A159&gt;$B$9,"",IF(COUNTIFS(Base!$B$3:$B$5001,F$143,Base!$A$3:$A$5001,"&gt;="&amp;$C$7,Base!$A$3:$A$5001,"&lt;="&amp;$B159,Base!$M$3:$M$5001,"&lt;&gt;")=0,"",SUMIFS(Base!$M$3:$M$5001,Base!$B$3:$B$5001,F$143,Base!$A$3:$A$5001,_xlfn.MAXIFS(Base!$A$3:$A$5001,Base!$B$3:$B$5001,F$143,Base!$A$3:$A$5001,"&gt;="&amp;$C$7,Base!$A$3:$A$5001,"&lt;="&amp;$B159,Base!$M$3:$M$5001,"&lt;&gt;"))))</f>
        <v>1195</v>
      </c>
      <c r="G159" s="149">
        <f>IF($A159&gt;$B$9,"",IF(COUNTIFS(Base!$B$3:$B$5001,G$143,Base!$A$3:$A$5001,"&gt;="&amp;$C$7,Base!$A$3:$A$5001,"&lt;="&amp;$B159,Base!$M$3:$M$5001,"&lt;&gt;")=0,"",SUMIFS(Base!$M$3:$M$5001,Base!$B$3:$B$5001,G$143,Base!$A$3:$A$5001,_xlfn.MAXIFS(Base!$A$3:$A$5001,Base!$B$3:$B$5001,G$143,Base!$A$3:$A$5001,"&gt;="&amp;$C$7,Base!$A$3:$A$5001,"&lt;="&amp;$B159,Base!$M$3:$M$5001,"&lt;&gt;"))))</f>
        <v>199</v>
      </c>
    </row>
    <row r="160">
      <c r="A160" s="147">
        <v>17</v>
      </c>
      <c r="B160" s="148">
        <f>$B$28</f>
        <v>46282</v>
      </c>
      <c r="C160" s="149">
        <f>IF($A160&gt;$B$9,"",IF(COUNTIFS(Base!$B$3:$B$5001,C$143,Base!$A$3:$A$5001,"&gt;="&amp;$C$7,Base!$A$3:$A$5001,"&lt;="&amp;$B160,Base!$M$3:$M$5001,"&lt;&gt;")=0,"",SUMIFS(Base!$M$3:$M$5001,Base!$B$3:$B$5001,C$143,Base!$A$3:$A$5001,_xlfn.MAXIFS(Base!$A$3:$A$5001,Base!$B$3:$B$5001,C$143,Base!$A$3:$A$5001,"&gt;="&amp;$C$7,Base!$A$3:$A$5001,"&lt;="&amp;$B160,Base!$M$3:$M$5001,"&lt;&gt;"))))</f>
        <v>1046</v>
      </c>
      <c r="D160" s="149">
        <f>IF($A160&gt;$B$9,"",IF(COUNTIFS(Base!$B$3:$B$5001,D$143,Base!$A$3:$A$5001,"&gt;="&amp;$C$7,Base!$A$3:$A$5001,"&lt;="&amp;$B160,Base!$M$3:$M$5001,"&lt;&gt;")=0,"",SUMIFS(Base!$M$3:$M$5001,Base!$B$3:$B$5001,D$143,Base!$A$3:$A$5001,_xlfn.MAXIFS(Base!$A$3:$A$5001,Base!$B$3:$B$5001,D$143,Base!$A$3:$A$5001,"&gt;="&amp;$C$7,Base!$A$3:$A$5001,"&lt;="&amp;$B160,Base!$M$3:$M$5001,"&lt;&gt;"))))</f>
        <v>650</v>
      </c>
      <c r="E160" s="149">
        <f>IF($A160&gt;$B$9,"",IF(COUNTIFS(Base!$B$3:$B$5001,E$143,Base!$A$3:$A$5001,"&gt;="&amp;$C$7,Base!$A$3:$A$5001,"&lt;="&amp;$B160,Base!$M$3:$M$5001,"&lt;&gt;")=0,"",SUMIFS(Base!$M$3:$M$5001,Base!$B$3:$B$5001,E$143,Base!$A$3:$A$5001,_xlfn.MAXIFS(Base!$A$3:$A$5001,Base!$B$3:$B$5001,E$143,Base!$A$3:$A$5001,"&gt;="&amp;$C$7,Base!$A$3:$A$5001,"&lt;="&amp;$B160,Base!$M$3:$M$5001,"&lt;&gt;"))))</f>
        <v>333</v>
      </c>
      <c r="F160" s="149">
        <f>IF($A160&gt;$B$9,"",IF(COUNTIFS(Base!$B$3:$B$5001,F$143,Base!$A$3:$A$5001,"&gt;="&amp;$C$7,Base!$A$3:$A$5001,"&lt;="&amp;$B160,Base!$M$3:$M$5001,"&lt;&gt;")=0,"",SUMIFS(Base!$M$3:$M$5001,Base!$B$3:$B$5001,F$143,Base!$A$3:$A$5001,_xlfn.MAXIFS(Base!$A$3:$A$5001,Base!$B$3:$B$5001,F$143,Base!$A$3:$A$5001,"&gt;="&amp;$C$7,Base!$A$3:$A$5001,"&lt;="&amp;$B160,Base!$M$3:$M$5001,"&lt;&gt;"))))</f>
        <v>852</v>
      </c>
      <c r="G160" s="149">
        <f>IF($A160&gt;$B$9,"",IF(COUNTIFS(Base!$B$3:$B$5001,G$143,Base!$A$3:$A$5001,"&gt;="&amp;$C$7,Base!$A$3:$A$5001,"&lt;="&amp;$B160,Base!$M$3:$M$5001,"&lt;&gt;")=0,"",SUMIFS(Base!$M$3:$M$5001,Base!$B$3:$B$5001,G$143,Base!$A$3:$A$5001,_xlfn.MAXIFS(Base!$A$3:$A$5001,Base!$B$3:$B$5001,G$143,Base!$A$3:$A$5001,"&gt;="&amp;$C$7,Base!$A$3:$A$5001,"&lt;="&amp;$B160,Base!$M$3:$M$5001,"&lt;&gt;"))))</f>
        <v>231</v>
      </c>
    </row>
    <row r="161">
      <c r="A161" s="147">
        <v>18</v>
      </c>
      <c r="B161" s="148">
        <f>$B$29</f>
        <v>46283</v>
      </c>
      <c r="C161" s="149">
        <f>IF($A161&gt;$B$9,"",IF(COUNTIFS(Base!$B$3:$B$5001,C$143,Base!$A$3:$A$5001,"&gt;="&amp;$C$7,Base!$A$3:$A$5001,"&lt;="&amp;$B161,Base!$M$3:$M$5001,"&lt;&gt;")=0,"",SUMIFS(Base!$M$3:$M$5001,Base!$B$3:$B$5001,C$143,Base!$A$3:$A$5001,_xlfn.MAXIFS(Base!$A$3:$A$5001,Base!$B$3:$B$5001,C$143,Base!$A$3:$A$5001,"&gt;="&amp;$C$7,Base!$A$3:$A$5001,"&lt;="&amp;$B161,Base!$M$3:$M$5001,"&lt;&gt;"))))</f>
        <v>1708</v>
      </c>
      <c r="D161" s="149">
        <f>IF($A161&gt;$B$9,"",IF(COUNTIFS(Base!$B$3:$B$5001,D$143,Base!$A$3:$A$5001,"&gt;="&amp;$C$7,Base!$A$3:$A$5001,"&lt;="&amp;$B161,Base!$M$3:$M$5001,"&lt;&gt;")=0,"",SUMIFS(Base!$M$3:$M$5001,Base!$B$3:$B$5001,D$143,Base!$A$3:$A$5001,_xlfn.MAXIFS(Base!$A$3:$A$5001,Base!$B$3:$B$5001,D$143,Base!$A$3:$A$5001,"&gt;="&amp;$C$7,Base!$A$3:$A$5001,"&lt;="&amp;$B161,Base!$M$3:$M$5001,"&lt;&gt;"))))</f>
        <v>518</v>
      </c>
      <c r="E161" s="149">
        <f>IF($A161&gt;$B$9,"",IF(COUNTIFS(Base!$B$3:$B$5001,E$143,Base!$A$3:$A$5001,"&gt;="&amp;$C$7,Base!$A$3:$A$5001,"&lt;="&amp;$B161,Base!$M$3:$M$5001,"&lt;&gt;")=0,"",SUMIFS(Base!$M$3:$M$5001,Base!$B$3:$B$5001,E$143,Base!$A$3:$A$5001,_xlfn.MAXIFS(Base!$A$3:$A$5001,Base!$B$3:$B$5001,E$143,Base!$A$3:$A$5001,"&gt;="&amp;$C$7,Base!$A$3:$A$5001,"&lt;="&amp;$B161,Base!$M$3:$M$5001,"&lt;&gt;"))))</f>
        <v>198</v>
      </c>
      <c r="F161" s="149">
        <f>IF($A161&gt;$B$9,"",IF(COUNTIFS(Base!$B$3:$B$5001,F$143,Base!$A$3:$A$5001,"&gt;="&amp;$C$7,Base!$A$3:$A$5001,"&lt;="&amp;$B161,Base!$M$3:$M$5001,"&lt;&gt;")=0,"",SUMIFS(Base!$M$3:$M$5001,Base!$B$3:$B$5001,F$143,Base!$A$3:$A$5001,_xlfn.MAXIFS(Base!$A$3:$A$5001,Base!$B$3:$B$5001,F$143,Base!$A$3:$A$5001,"&gt;="&amp;$C$7,Base!$A$3:$A$5001,"&lt;="&amp;$B161,Base!$M$3:$M$5001,"&lt;&gt;"))))</f>
        <v>841</v>
      </c>
      <c r="G161" s="149">
        <f>IF($A161&gt;$B$9,"",IF(COUNTIFS(Base!$B$3:$B$5001,G$143,Base!$A$3:$A$5001,"&gt;="&amp;$C$7,Base!$A$3:$A$5001,"&lt;="&amp;$B161,Base!$M$3:$M$5001,"&lt;&gt;")=0,"",SUMIFS(Base!$M$3:$M$5001,Base!$B$3:$B$5001,G$143,Base!$A$3:$A$5001,_xlfn.MAXIFS(Base!$A$3:$A$5001,Base!$B$3:$B$5001,G$143,Base!$A$3:$A$5001,"&gt;="&amp;$C$7,Base!$A$3:$A$5001,"&lt;="&amp;$B161,Base!$M$3:$M$5001,"&lt;&gt;"))))</f>
        <v>352</v>
      </c>
    </row>
    <row r="162">
      <c r="A162" s="147">
        <v>19</v>
      </c>
      <c r="B162" s="148">
        <f>$B$30</f>
        <v>46284</v>
      </c>
      <c r="C162" s="149">
        <f>IF($A162&gt;$B$9,"",IF(COUNTIFS(Base!$B$3:$B$5001,C$143,Base!$A$3:$A$5001,"&gt;="&amp;$C$7,Base!$A$3:$A$5001,"&lt;="&amp;$B162,Base!$M$3:$M$5001,"&lt;&gt;")=0,"",SUMIFS(Base!$M$3:$M$5001,Base!$B$3:$B$5001,C$143,Base!$A$3:$A$5001,_xlfn.MAXIFS(Base!$A$3:$A$5001,Base!$B$3:$B$5001,C$143,Base!$A$3:$A$5001,"&gt;="&amp;$C$7,Base!$A$3:$A$5001,"&lt;="&amp;$B162,Base!$M$3:$M$5001,"&lt;&gt;"))))</f>
        <v>1708</v>
      </c>
      <c r="D162" s="149">
        <f>IF($A162&gt;$B$9,"",IF(COUNTIFS(Base!$B$3:$B$5001,D$143,Base!$A$3:$A$5001,"&gt;="&amp;$C$7,Base!$A$3:$A$5001,"&lt;="&amp;$B162,Base!$M$3:$M$5001,"&lt;&gt;")=0,"",SUMIFS(Base!$M$3:$M$5001,Base!$B$3:$B$5001,D$143,Base!$A$3:$A$5001,_xlfn.MAXIFS(Base!$A$3:$A$5001,Base!$B$3:$B$5001,D$143,Base!$A$3:$A$5001,"&gt;="&amp;$C$7,Base!$A$3:$A$5001,"&lt;="&amp;$B162,Base!$M$3:$M$5001,"&lt;&gt;"))))</f>
        <v>518</v>
      </c>
      <c r="E162" s="149">
        <f>IF($A162&gt;$B$9,"",IF(COUNTIFS(Base!$B$3:$B$5001,E$143,Base!$A$3:$A$5001,"&gt;="&amp;$C$7,Base!$A$3:$A$5001,"&lt;="&amp;$B162,Base!$M$3:$M$5001,"&lt;&gt;")=0,"",SUMIFS(Base!$M$3:$M$5001,Base!$B$3:$B$5001,E$143,Base!$A$3:$A$5001,_xlfn.MAXIFS(Base!$A$3:$A$5001,Base!$B$3:$B$5001,E$143,Base!$A$3:$A$5001,"&gt;="&amp;$C$7,Base!$A$3:$A$5001,"&lt;="&amp;$B162,Base!$M$3:$M$5001,"&lt;&gt;"))))</f>
        <v>198</v>
      </c>
      <c r="F162" s="149">
        <f>IF($A162&gt;$B$9,"",IF(COUNTIFS(Base!$B$3:$B$5001,F$143,Base!$A$3:$A$5001,"&gt;="&amp;$C$7,Base!$A$3:$A$5001,"&lt;="&amp;$B162,Base!$M$3:$M$5001,"&lt;&gt;")=0,"",SUMIFS(Base!$M$3:$M$5001,Base!$B$3:$B$5001,F$143,Base!$A$3:$A$5001,_xlfn.MAXIFS(Base!$A$3:$A$5001,Base!$B$3:$B$5001,F$143,Base!$A$3:$A$5001,"&gt;="&amp;$C$7,Base!$A$3:$A$5001,"&lt;="&amp;$B162,Base!$M$3:$M$5001,"&lt;&gt;"))))</f>
        <v>841</v>
      </c>
      <c r="G162" s="149">
        <f>IF($A162&gt;$B$9,"",IF(COUNTIFS(Base!$B$3:$B$5001,G$143,Base!$A$3:$A$5001,"&gt;="&amp;$C$7,Base!$A$3:$A$5001,"&lt;="&amp;$B162,Base!$M$3:$M$5001,"&lt;&gt;")=0,"",SUMIFS(Base!$M$3:$M$5001,Base!$B$3:$B$5001,G$143,Base!$A$3:$A$5001,_xlfn.MAXIFS(Base!$A$3:$A$5001,Base!$B$3:$B$5001,G$143,Base!$A$3:$A$5001,"&gt;="&amp;$C$7,Base!$A$3:$A$5001,"&lt;="&amp;$B162,Base!$M$3:$M$5001,"&lt;&gt;"))))</f>
        <v>352</v>
      </c>
    </row>
    <row r="163">
      <c r="A163" s="147">
        <v>20</v>
      </c>
      <c r="B163" s="148">
        <f>$B$31</f>
        <v>46285</v>
      </c>
      <c r="C163" s="149">
        <f>IF($A163&gt;$B$9,"",IF(COUNTIFS(Base!$B$3:$B$5001,C$143,Base!$A$3:$A$5001,"&gt;="&amp;$C$7,Base!$A$3:$A$5001,"&lt;="&amp;$B163,Base!$M$3:$M$5001,"&lt;&gt;")=0,"",SUMIFS(Base!$M$3:$M$5001,Base!$B$3:$B$5001,C$143,Base!$A$3:$A$5001,_xlfn.MAXIFS(Base!$A$3:$A$5001,Base!$B$3:$B$5001,C$143,Base!$A$3:$A$5001,"&gt;="&amp;$C$7,Base!$A$3:$A$5001,"&lt;="&amp;$B163,Base!$M$3:$M$5001,"&lt;&gt;"))))</f>
        <v>1708</v>
      </c>
      <c r="D163" s="149">
        <f>IF($A163&gt;$B$9,"",IF(COUNTIFS(Base!$B$3:$B$5001,D$143,Base!$A$3:$A$5001,"&gt;="&amp;$C$7,Base!$A$3:$A$5001,"&lt;="&amp;$B163,Base!$M$3:$M$5001,"&lt;&gt;")=0,"",SUMIFS(Base!$M$3:$M$5001,Base!$B$3:$B$5001,D$143,Base!$A$3:$A$5001,_xlfn.MAXIFS(Base!$A$3:$A$5001,Base!$B$3:$B$5001,D$143,Base!$A$3:$A$5001,"&gt;="&amp;$C$7,Base!$A$3:$A$5001,"&lt;="&amp;$B163,Base!$M$3:$M$5001,"&lt;&gt;"))))</f>
        <v>518</v>
      </c>
      <c r="E163" s="149">
        <f>IF($A163&gt;$B$9,"",IF(COUNTIFS(Base!$B$3:$B$5001,E$143,Base!$A$3:$A$5001,"&gt;="&amp;$C$7,Base!$A$3:$A$5001,"&lt;="&amp;$B163,Base!$M$3:$M$5001,"&lt;&gt;")=0,"",SUMIFS(Base!$M$3:$M$5001,Base!$B$3:$B$5001,E$143,Base!$A$3:$A$5001,_xlfn.MAXIFS(Base!$A$3:$A$5001,Base!$B$3:$B$5001,E$143,Base!$A$3:$A$5001,"&gt;="&amp;$C$7,Base!$A$3:$A$5001,"&lt;="&amp;$B163,Base!$M$3:$M$5001,"&lt;&gt;"))))</f>
        <v>198</v>
      </c>
      <c r="F163" s="149">
        <f>IF($A163&gt;$B$9,"",IF(COUNTIFS(Base!$B$3:$B$5001,F$143,Base!$A$3:$A$5001,"&gt;="&amp;$C$7,Base!$A$3:$A$5001,"&lt;="&amp;$B163,Base!$M$3:$M$5001,"&lt;&gt;")=0,"",SUMIFS(Base!$M$3:$M$5001,Base!$B$3:$B$5001,F$143,Base!$A$3:$A$5001,_xlfn.MAXIFS(Base!$A$3:$A$5001,Base!$B$3:$B$5001,F$143,Base!$A$3:$A$5001,"&gt;="&amp;$C$7,Base!$A$3:$A$5001,"&lt;="&amp;$B163,Base!$M$3:$M$5001,"&lt;&gt;"))))</f>
        <v>841</v>
      </c>
      <c r="G163" s="149">
        <f>IF($A163&gt;$B$9,"",IF(COUNTIFS(Base!$B$3:$B$5001,G$143,Base!$A$3:$A$5001,"&gt;="&amp;$C$7,Base!$A$3:$A$5001,"&lt;="&amp;$B163,Base!$M$3:$M$5001,"&lt;&gt;")=0,"",SUMIFS(Base!$M$3:$M$5001,Base!$B$3:$B$5001,G$143,Base!$A$3:$A$5001,_xlfn.MAXIFS(Base!$A$3:$A$5001,Base!$B$3:$B$5001,G$143,Base!$A$3:$A$5001,"&gt;="&amp;$C$7,Base!$A$3:$A$5001,"&lt;="&amp;$B163,Base!$M$3:$M$5001,"&lt;&gt;"))))</f>
        <v>375</v>
      </c>
    </row>
    <row r="164">
      <c r="A164" s="147">
        <v>21</v>
      </c>
      <c r="B164" s="148">
        <f>$B$32</f>
        <v>46286</v>
      </c>
      <c r="C164" s="149">
        <f>IF($A164&gt;$B$9,"",IF(COUNTIFS(Base!$B$3:$B$5001,C$143,Base!$A$3:$A$5001,"&gt;="&amp;$C$7,Base!$A$3:$A$5001,"&lt;="&amp;$B164,Base!$M$3:$M$5001,"&lt;&gt;")=0,"",SUMIFS(Base!$M$3:$M$5001,Base!$B$3:$B$5001,C$143,Base!$A$3:$A$5001,_xlfn.MAXIFS(Base!$A$3:$A$5001,Base!$B$3:$B$5001,C$143,Base!$A$3:$A$5001,"&gt;="&amp;$C$7,Base!$A$3:$A$5001,"&lt;="&amp;$B164,Base!$M$3:$M$5001,"&lt;&gt;"))))</f>
        <v>1878</v>
      </c>
      <c r="D164" s="149">
        <f>IF($A164&gt;$B$9,"",IF(COUNTIFS(Base!$B$3:$B$5001,D$143,Base!$A$3:$A$5001,"&gt;="&amp;$C$7,Base!$A$3:$A$5001,"&lt;="&amp;$B164,Base!$M$3:$M$5001,"&lt;&gt;")=0,"",SUMIFS(Base!$M$3:$M$5001,Base!$B$3:$B$5001,D$143,Base!$A$3:$A$5001,_xlfn.MAXIFS(Base!$A$3:$A$5001,Base!$B$3:$B$5001,D$143,Base!$A$3:$A$5001,"&gt;="&amp;$C$7,Base!$A$3:$A$5001,"&lt;="&amp;$B164,Base!$M$3:$M$5001,"&lt;&gt;"))))</f>
        <v>723</v>
      </c>
      <c r="E164" s="149">
        <f>IF($A164&gt;$B$9,"",IF(COUNTIFS(Base!$B$3:$B$5001,E$143,Base!$A$3:$A$5001,"&gt;="&amp;$C$7,Base!$A$3:$A$5001,"&lt;="&amp;$B164,Base!$M$3:$M$5001,"&lt;&gt;")=0,"",SUMIFS(Base!$M$3:$M$5001,Base!$B$3:$B$5001,E$143,Base!$A$3:$A$5001,_xlfn.MAXIFS(Base!$A$3:$A$5001,Base!$B$3:$B$5001,E$143,Base!$A$3:$A$5001,"&gt;="&amp;$C$7,Base!$A$3:$A$5001,"&lt;="&amp;$B164,Base!$M$3:$M$5001,"&lt;&gt;"))))</f>
        <v>243</v>
      </c>
      <c r="F164" s="149">
        <f>IF($A164&gt;$B$9,"",IF(COUNTIFS(Base!$B$3:$B$5001,F$143,Base!$A$3:$A$5001,"&gt;="&amp;$C$7,Base!$A$3:$A$5001,"&lt;="&amp;$B164,Base!$M$3:$M$5001,"&lt;&gt;")=0,"",SUMIFS(Base!$M$3:$M$5001,Base!$B$3:$B$5001,F$143,Base!$A$3:$A$5001,_xlfn.MAXIFS(Base!$A$3:$A$5001,Base!$B$3:$B$5001,F$143,Base!$A$3:$A$5001,"&gt;="&amp;$C$7,Base!$A$3:$A$5001,"&lt;="&amp;$B164,Base!$M$3:$M$5001,"&lt;&gt;"))))</f>
        <v>944</v>
      </c>
      <c r="G164" s="149">
        <f>IF($A164&gt;$B$9,"",IF(COUNTIFS(Base!$B$3:$B$5001,G$143,Base!$A$3:$A$5001,"&gt;="&amp;$C$7,Base!$A$3:$A$5001,"&lt;="&amp;$B164,Base!$M$3:$M$5001,"&lt;&gt;")=0,"",SUMIFS(Base!$M$3:$M$5001,Base!$B$3:$B$5001,G$143,Base!$A$3:$A$5001,_xlfn.MAXIFS(Base!$A$3:$A$5001,Base!$B$3:$B$5001,G$143,Base!$A$3:$A$5001,"&gt;="&amp;$C$7,Base!$A$3:$A$5001,"&lt;="&amp;$B164,Base!$M$3:$M$5001,"&lt;&gt;"))))</f>
        <v>184</v>
      </c>
    </row>
    <row r="165">
      <c r="A165" s="147">
        <v>22</v>
      </c>
      <c r="B165" s="148">
        <f>$B$33</f>
        <v>46287</v>
      </c>
      <c r="C165" s="149">
        <f>IF($A165&gt;$B$9,"",IF(COUNTIFS(Base!$B$3:$B$5001,C$143,Base!$A$3:$A$5001,"&gt;="&amp;$C$7,Base!$A$3:$A$5001,"&lt;="&amp;$B165,Base!$M$3:$M$5001,"&lt;&gt;")=0,"",SUMIFS(Base!$M$3:$M$5001,Base!$B$3:$B$5001,C$143,Base!$A$3:$A$5001,_xlfn.MAXIFS(Base!$A$3:$A$5001,Base!$B$3:$B$5001,C$143,Base!$A$3:$A$5001,"&gt;="&amp;$C$7,Base!$A$3:$A$5001,"&lt;="&amp;$B165,Base!$M$3:$M$5001,"&lt;&gt;"))))</f>
        <v>1880</v>
      </c>
      <c r="D165" s="149">
        <f>IF($A165&gt;$B$9,"",IF(COUNTIFS(Base!$B$3:$B$5001,D$143,Base!$A$3:$A$5001,"&gt;="&amp;$C$7,Base!$A$3:$A$5001,"&lt;="&amp;$B165,Base!$M$3:$M$5001,"&lt;&gt;")=0,"",SUMIFS(Base!$M$3:$M$5001,Base!$B$3:$B$5001,D$143,Base!$A$3:$A$5001,_xlfn.MAXIFS(Base!$A$3:$A$5001,Base!$B$3:$B$5001,D$143,Base!$A$3:$A$5001,"&gt;="&amp;$C$7,Base!$A$3:$A$5001,"&lt;="&amp;$B165,Base!$M$3:$M$5001,"&lt;&gt;"))))</f>
        <v>575</v>
      </c>
      <c r="E165" s="149">
        <f>IF($A165&gt;$B$9,"",IF(COUNTIFS(Base!$B$3:$B$5001,E$143,Base!$A$3:$A$5001,"&gt;="&amp;$C$7,Base!$A$3:$A$5001,"&lt;="&amp;$B165,Base!$M$3:$M$5001,"&lt;&gt;")=0,"",SUMIFS(Base!$M$3:$M$5001,Base!$B$3:$B$5001,E$143,Base!$A$3:$A$5001,_xlfn.MAXIFS(Base!$A$3:$A$5001,Base!$B$3:$B$5001,E$143,Base!$A$3:$A$5001,"&gt;="&amp;$C$7,Base!$A$3:$A$5001,"&lt;="&amp;$B165,Base!$M$3:$M$5001,"&lt;&gt;"))))</f>
        <v>120</v>
      </c>
      <c r="F165" s="149">
        <f>IF($A165&gt;$B$9,"",IF(COUNTIFS(Base!$B$3:$B$5001,F$143,Base!$A$3:$A$5001,"&gt;="&amp;$C$7,Base!$A$3:$A$5001,"&lt;="&amp;$B165,Base!$M$3:$M$5001,"&lt;&gt;")=0,"",SUMIFS(Base!$M$3:$M$5001,Base!$B$3:$B$5001,F$143,Base!$A$3:$A$5001,_xlfn.MAXIFS(Base!$A$3:$A$5001,Base!$B$3:$B$5001,F$143,Base!$A$3:$A$5001,"&gt;="&amp;$C$7,Base!$A$3:$A$5001,"&lt;="&amp;$B165,Base!$M$3:$M$5001,"&lt;&gt;"))))</f>
        <v>1032</v>
      </c>
      <c r="G165" s="149">
        <f>IF($A165&gt;$B$9,"",IF(COUNTIFS(Base!$B$3:$B$5001,G$143,Base!$A$3:$A$5001,"&gt;="&amp;$C$7,Base!$A$3:$A$5001,"&lt;="&amp;$B165,Base!$M$3:$M$5001,"&lt;&gt;")=0,"",SUMIFS(Base!$M$3:$M$5001,Base!$B$3:$B$5001,G$143,Base!$A$3:$A$5001,_xlfn.MAXIFS(Base!$A$3:$A$5001,Base!$B$3:$B$5001,G$143,Base!$A$3:$A$5001,"&gt;="&amp;$C$7,Base!$A$3:$A$5001,"&lt;="&amp;$B165,Base!$M$3:$M$5001,"&lt;&gt;"))))</f>
        <v>221</v>
      </c>
    </row>
    <row r="166">
      <c r="A166" s="147">
        <v>23</v>
      </c>
      <c r="B166" s="148">
        <f>$B$34</f>
        <v>46288</v>
      </c>
      <c r="C166" s="149">
        <f>IF($A166&gt;$B$9,"",IF(COUNTIFS(Base!$B$3:$B$5001,C$143,Base!$A$3:$A$5001,"&gt;="&amp;$C$7,Base!$A$3:$A$5001,"&lt;="&amp;$B166,Base!$M$3:$M$5001,"&lt;&gt;")=0,"",SUMIFS(Base!$M$3:$M$5001,Base!$B$3:$B$5001,C$143,Base!$A$3:$A$5001,_xlfn.MAXIFS(Base!$A$3:$A$5001,Base!$B$3:$B$5001,C$143,Base!$A$3:$A$5001,"&gt;="&amp;$C$7,Base!$A$3:$A$5001,"&lt;="&amp;$B166,Base!$M$3:$M$5001,"&lt;&gt;"))))</f>
        <v>989</v>
      </c>
      <c r="D166" s="149">
        <f>IF($A166&gt;$B$9,"",IF(COUNTIFS(Base!$B$3:$B$5001,D$143,Base!$A$3:$A$5001,"&gt;="&amp;$C$7,Base!$A$3:$A$5001,"&lt;="&amp;$B166,Base!$M$3:$M$5001,"&lt;&gt;")=0,"",SUMIFS(Base!$M$3:$M$5001,Base!$B$3:$B$5001,D$143,Base!$A$3:$A$5001,_xlfn.MAXIFS(Base!$A$3:$A$5001,Base!$B$3:$B$5001,D$143,Base!$A$3:$A$5001,"&gt;="&amp;$C$7,Base!$A$3:$A$5001,"&lt;="&amp;$B166,Base!$M$3:$M$5001,"&lt;&gt;"))))</f>
        <v>725</v>
      </c>
      <c r="E166" s="149">
        <f>IF($A166&gt;$B$9,"",IF(COUNTIFS(Base!$B$3:$B$5001,E$143,Base!$A$3:$A$5001,"&gt;="&amp;$C$7,Base!$A$3:$A$5001,"&lt;="&amp;$B166,Base!$M$3:$M$5001,"&lt;&gt;")=0,"",SUMIFS(Base!$M$3:$M$5001,Base!$B$3:$B$5001,E$143,Base!$A$3:$A$5001,_xlfn.MAXIFS(Base!$A$3:$A$5001,Base!$B$3:$B$5001,E$143,Base!$A$3:$A$5001,"&gt;="&amp;$C$7,Base!$A$3:$A$5001,"&lt;="&amp;$B166,Base!$M$3:$M$5001,"&lt;&gt;"))))</f>
        <v>296</v>
      </c>
      <c r="F166" s="149">
        <f>IF($A166&gt;$B$9,"",IF(COUNTIFS(Base!$B$3:$B$5001,F$143,Base!$A$3:$A$5001,"&gt;="&amp;$C$7,Base!$A$3:$A$5001,"&lt;="&amp;$B166,Base!$M$3:$M$5001,"&lt;&gt;")=0,"",SUMIFS(Base!$M$3:$M$5001,Base!$B$3:$B$5001,F$143,Base!$A$3:$A$5001,_xlfn.MAXIFS(Base!$A$3:$A$5001,Base!$B$3:$B$5001,F$143,Base!$A$3:$A$5001,"&gt;="&amp;$C$7,Base!$A$3:$A$5001,"&lt;="&amp;$B166,Base!$M$3:$M$5001,"&lt;&gt;"))))</f>
        <v>1075</v>
      </c>
      <c r="G166" s="149">
        <f>IF($A166&gt;$B$9,"",IF(COUNTIFS(Base!$B$3:$B$5001,G$143,Base!$A$3:$A$5001,"&gt;="&amp;$C$7,Base!$A$3:$A$5001,"&lt;="&amp;$B166,Base!$M$3:$M$5001,"&lt;&gt;")=0,"",SUMIFS(Base!$M$3:$M$5001,Base!$B$3:$B$5001,G$143,Base!$A$3:$A$5001,_xlfn.MAXIFS(Base!$A$3:$A$5001,Base!$B$3:$B$5001,G$143,Base!$A$3:$A$5001,"&gt;="&amp;$C$7,Base!$A$3:$A$5001,"&lt;="&amp;$B166,Base!$M$3:$M$5001,"&lt;&gt;"))))</f>
        <v>210</v>
      </c>
    </row>
    <row r="167">
      <c r="A167" s="147">
        <v>24</v>
      </c>
      <c r="B167" s="148">
        <f>$B$35</f>
        <v>46289</v>
      </c>
      <c r="C167" s="149">
        <f>IF($A167&gt;$B$9,"",IF(COUNTIFS(Base!$B$3:$B$5001,C$143,Base!$A$3:$A$5001,"&gt;="&amp;$C$7,Base!$A$3:$A$5001,"&lt;="&amp;$B167,Base!$M$3:$M$5001,"&lt;&gt;")=0,"",SUMIFS(Base!$M$3:$M$5001,Base!$B$3:$B$5001,C$143,Base!$A$3:$A$5001,_xlfn.MAXIFS(Base!$A$3:$A$5001,Base!$B$3:$B$5001,C$143,Base!$A$3:$A$5001,"&gt;="&amp;$C$7,Base!$A$3:$A$5001,"&lt;="&amp;$B167,Base!$M$3:$M$5001,"&lt;&gt;"))))</f>
        <v>1245</v>
      </c>
      <c r="D167" s="149">
        <f>IF($A167&gt;$B$9,"",IF(COUNTIFS(Base!$B$3:$B$5001,D$143,Base!$A$3:$A$5001,"&gt;="&amp;$C$7,Base!$A$3:$A$5001,"&lt;="&amp;$B167,Base!$M$3:$M$5001,"&lt;&gt;")=0,"",SUMIFS(Base!$M$3:$M$5001,Base!$B$3:$B$5001,D$143,Base!$A$3:$A$5001,_xlfn.MAXIFS(Base!$A$3:$A$5001,Base!$B$3:$B$5001,D$143,Base!$A$3:$A$5001,"&gt;="&amp;$C$7,Base!$A$3:$A$5001,"&lt;="&amp;$B167,Base!$M$3:$M$5001,"&lt;&gt;"))))</f>
        <v>727</v>
      </c>
      <c r="E167" s="149">
        <f>IF($A167&gt;$B$9,"",IF(COUNTIFS(Base!$B$3:$B$5001,E$143,Base!$A$3:$A$5001,"&gt;="&amp;$C$7,Base!$A$3:$A$5001,"&lt;="&amp;$B167,Base!$M$3:$M$5001,"&lt;&gt;")=0,"",SUMIFS(Base!$M$3:$M$5001,Base!$B$3:$B$5001,E$143,Base!$A$3:$A$5001,_xlfn.MAXIFS(Base!$A$3:$A$5001,Base!$B$3:$B$5001,E$143,Base!$A$3:$A$5001,"&gt;="&amp;$C$7,Base!$A$3:$A$5001,"&lt;="&amp;$B167,Base!$M$3:$M$5001,"&lt;&gt;"))))</f>
        <v>303</v>
      </c>
      <c r="F167" s="149">
        <f>IF($A167&gt;$B$9,"",IF(COUNTIFS(Base!$B$3:$B$5001,F$143,Base!$A$3:$A$5001,"&gt;="&amp;$C$7,Base!$A$3:$A$5001,"&lt;="&amp;$B167,Base!$M$3:$M$5001,"&lt;&gt;")=0,"",SUMIFS(Base!$M$3:$M$5001,Base!$B$3:$B$5001,F$143,Base!$A$3:$A$5001,_xlfn.MAXIFS(Base!$A$3:$A$5001,Base!$B$3:$B$5001,F$143,Base!$A$3:$A$5001,"&gt;="&amp;$C$7,Base!$A$3:$A$5001,"&lt;="&amp;$B167,Base!$M$3:$M$5001,"&lt;&gt;"))))</f>
        <v>1186</v>
      </c>
      <c r="G167" s="149">
        <f>IF($A167&gt;$B$9,"",IF(COUNTIFS(Base!$B$3:$B$5001,G$143,Base!$A$3:$A$5001,"&gt;="&amp;$C$7,Base!$A$3:$A$5001,"&lt;="&amp;$B167,Base!$M$3:$M$5001,"&lt;&gt;")=0,"",SUMIFS(Base!$M$3:$M$5001,Base!$B$3:$B$5001,G$143,Base!$A$3:$A$5001,_xlfn.MAXIFS(Base!$A$3:$A$5001,Base!$B$3:$B$5001,G$143,Base!$A$3:$A$5001,"&gt;="&amp;$C$7,Base!$A$3:$A$5001,"&lt;="&amp;$B167,Base!$M$3:$M$5001,"&lt;&gt;"))))</f>
        <v>280</v>
      </c>
    </row>
    <row r="168">
      <c r="A168" s="147">
        <v>25</v>
      </c>
      <c r="B168" s="148">
        <f>$B$36</f>
        <v>46290</v>
      </c>
      <c r="C168" s="149">
        <f>IF($A168&gt;$B$9,"",IF(COUNTIFS(Base!$B$3:$B$5001,C$143,Base!$A$3:$A$5001,"&gt;="&amp;$C$7,Base!$A$3:$A$5001,"&lt;="&amp;$B168,Base!$M$3:$M$5001,"&lt;&gt;")=0,"",SUMIFS(Base!$M$3:$M$5001,Base!$B$3:$B$5001,C$143,Base!$A$3:$A$5001,_xlfn.MAXIFS(Base!$A$3:$A$5001,Base!$B$3:$B$5001,C$143,Base!$A$3:$A$5001,"&gt;="&amp;$C$7,Base!$A$3:$A$5001,"&lt;="&amp;$B168,Base!$M$3:$M$5001,"&lt;&gt;"))))</f>
        <v>1741</v>
      </c>
      <c r="D168" s="149">
        <f>IF($A168&gt;$B$9,"",IF(COUNTIFS(Base!$B$3:$B$5001,D$143,Base!$A$3:$A$5001,"&gt;="&amp;$C$7,Base!$A$3:$A$5001,"&lt;="&amp;$B168,Base!$M$3:$M$5001,"&lt;&gt;")=0,"",SUMIFS(Base!$M$3:$M$5001,Base!$B$3:$B$5001,D$143,Base!$A$3:$A$5001,_xlfn.MAXIFS(Base!$A$3:$A$5001,Base!$B$3:$B$5001,D$143,Base!$A$3:$A$5001,"&gt;="&amp;$C$7,Base!$A$3:$A$5001,"&lt;="&amp;$B168,Base!$M$3:$M$5001,"&lt;&gt;"))))</f>
        <v>675</v>
      </c>
      <c r="E168" s="149">
        <f>IF($A168&gt;$B$9,"",IF(COUNTIFS(Base!$B$3:$B$5001,E$143,Base!$A$3:$A$5001,"&gt;="&amp;$C$7,Base!$A$3:$A$5001,"&lt;="&amp;$B168,Base!$M$3:$M$5001,"&lt;&gt;")=0,"",SUMIFS(Base!$M$3:$M$5001,Base!$B$3:$B$5001,E$143,Base!$A$3:$A$5001,_xlfn.MAXIFS(Base!$A$3:$A$5001,Base!$B$3:$B$5001,E$143,Base!$A$3:$A$5001,"&gt;="&amp;$C$7,Base!$A$3:$A$5001,"&lt;="&amp;$B168,Base!$M$3:$M$5001,"&lt;&gt;"))))</f>
        <v>364</v>
      </c>
      <c r="F168" s="149">
        <f>IF($A168&gt;$B$9,"",IF(COUNTIFS(Base!$B$3:$B$5001,F$143,Base!$A$3:$A$5001,"&gt;="&amp;$C$7,Base!$A$3:$A$5001,"&lt;="&amp;$B168,Base!$M$3:$M$5001,"&lt;&gt;")=0,"",SUMIFS(Base!$M$3:$M$5001,Base!$B$3:$B$5001,F$143,Base!$A$3:$A$5001,_xlfn.MAXIFS(Base!$A$3:$A$5001,Base!$B$3:$B$5001,F$143,Base!$A$3:$A$5001,"&gt;="&amp;$C$7,Base!$A$3:$A$5001,"&lt;="&amp;$B168,Base!$M$3:$M$5001,"&lt;&gt;"))))</f>
        <v>726</v>
      </c>
      <c r="G168" s="149">
        <f>IF($A168&gt;$B$9,"",IF(COUNTIFS(Base!$B$3:$B$5001,G$143,Base!$A$3:$A$5001,"&gt;="&amp;$C$7,Base!$A$3:$A$5001,"&lt;="&amp;$B168,Base!$M$3:$M$5001,"&lt;&gt;")=0,"",SUMIFS(Base!$M$3:$M$5001,Base!$B$3:$B$5001,G$143,Base!$A$3:$A$5001,_xlfn.MAXIFS(Base!$A$3:$A$5001,Base!$B$3:$B$5001,G$143,Base!$A$3:$A$5001,"&gt;="&amp;$C$7,Base!$A$3:$A$5001,"&lt;="&amp;$B168,Base!$M$3:$M$5001,"&lt;&gt;"))))</f>
        <v>309</v>
      </c>
    </row>
    <row r="169">
      <c r="A169" s="147">
        <v>26</v>
      </c>
      <c r="B169" s="148">
        <f>$B$37</f>
        <v>46291</v>
      </c>
      <c r="C169" s="149">
        <f>IF($A169&gt;$B$9,"",IF(COUNTIFS(Base!$B$3:$B$5001,C$143,Base!$A$3:$A$5001,"&gt;="&amp;$C$7,Base!$A$3:$A$5001,"&lt;="&amp;$B169,Base!$M$3:$M$5001,"&lt;&gt;")=0,"",SUMIFS(Base!$M$3:$M$5001,Base!$B$3:$B$5001,C$143,Base!$A$3:$A$5001,_xlfn.MAXIFS(Base!$A$3:$A$5001,Base!$B$3:$B$5001,C$143,Base!$A$3:$A$5001,"&gt;="&amp;$C$7,Base!$A$3:$A$5001,"&lt;="&amp;$B169,Base!$M$3:$M$5001,"&lt;&gt;"))))</f>
        <v>1815</v>
      </c>
      <c r="D169" s="149">
        <f>IF($A169&gt;$B$9,"",IF(COUNTIFS(Base!$B$3:$B$5001,D$143,Base!$A$3:$A$5001,"&gt;="&amp;$C$7,Base!$A$3:$A$5001,"&lt;="&amp;$B169,Base!$M$3:$M$5001,"&lt;&gt;")=0,"",SUMIFS(Base!$M$3:$M$5001,Base!$B$3:$B$5001,D$143,Base!$A$3:$A$5001,_xlfn.MAXIFS(Base!$A$3:$A$5001,Base!$B$3:$B$5001,D$143,Base!$A$3:$A$5001,"&gt;="&amp;$C$7,Base!$A$3:$A$5001,"&lt;="&amp;$B169,Base!$M$3:$M$5001,"&lt;&gt;"))))</f>
        <v>675</v>
      </c>
      <c r="E169" s="149">
        <f>IF($A169&gt;$B$9,"",IF(COUNTIFS(Base!$B$3:$B$5001,E$143,Base!$A$3:$A$5001,"&gt;="&amp;$C$7,Base!$A$3:$A$5001,"&lt;="&amp;$B169,Base!$M$3:$M$5001,"&lt;&gt;")=0,"",SUMIFS(Base!$M$3:$M$5001,Base!$B$3:$B$5001,E$143,Base!$A$3:$A$5001,_xlfn.MAXIFS(Base!$A$3:$A$5001,Base!$B$3:$B$5001,E$143,Base!$A$3:$A$5001,"&gt;="&amp;$C$7,Base!$A$3:$A$5001,"&lt;="&amp;$B169,Base!$M$3:$M$5001,"&lt;&gt;"))))</f>
        <v>364</v>
      </c>
      <c r="F169" s="149">
        <f>IF($A169&gt;$B$9,"",IF(COUNTIFS(Base!$B$3:$B$5001,F$143,Base!$A$3:$A$5001,"&gt;="&amp;$C$7,Base!$A$3:$A$5001,"&lt;="&amp;$B169,Base!$M$3:$M$5001,"&lt;&gt;")=0,"",SUMIFS(Base!$M$3:$M$5001,Base!$B$3:$B$5001,F$143,Base!$A$3:$A$5001,_xlfn.MAXIFS(Base!$A$3:$A$5001,Base!$B$3:$B$5001,F$143,Base!$A$3:$A$5001,"&gt;="&amp;$C$7,Base!$A$3:$A$5001,"&lt;="&amp;$B169,Base!$M$3:$M$5001,"&lt;&gt;"))))</f>
        <v>726</v>
      </c>
      <c r="G169" s="149">
        <f>IF($A169&gt;$B$9,"",IF(COUNTIFS(Base!$B$3:$B$5001,G$143,Base!$A$3:$A$5001,"&gt;="&amp;$C$7,Base!$A$3:$A$5001,"&lt;="&amp;$B169,Base!$M$3:$M$5001,"&lt;&gt;")=0,"",SUMIFS(Base!$M$3:$M$5001,Base!$B$3:$B$5001,G$143,Base!$A$3:$A$5001,_xlfn.MAXIFS(Base!$A$3:$A$5001,Base!$B$3:$B$5001,G$143,Base!$A$3:$A$5001,"&gt;="&amp;$C$7,Base!$A$3:$A$5001,"&lt;="&amp;$B169,Base!$M$3:$M$5001,"&lt;&gt;"))))</f>
        <v>154</v>
      </c>
    </row>
    <row r="170">
      <c r="A170" s="147">
        <v>27</v>
      </c>
      <c r="B170" s="148">
        <f>$B$38</f>
        <v>46292</v>
      </c>
      <c r="C170" s="149">
        <f>IF($A170&gt;$B$9,"",IF(COUNTIFS(Base!$B$3:$B$5001,C$143,Base!$A$3:$A$5001,"&gt;="&amp;$C$7,Base!$A$3:$A$5001,"&lt;="&amp;$B170,Base!$M$3:$M$5001,"&lt;&gt;")=0,"",SUMIFS(Base!$M$3:$M$5001,Base!$B$3:$B$5001,C$143,Base!$A$3:$A$5001,_xlfn.MAXIFS(Base!$A$3:$A$5001,Base!$B$3:$B$5001,C$143,Base!$A$3:$A$5001,"&gt;="&amp;$C$7,Base!$A$3:$A$5001,"&lt;="&amp;$B170,Base!$M$3:$M$5001,"&lt;&gt;"))))</f>
        <v>1211</v>
      </c>
      <c r="D170" s="149">
        <f>IF($A170&gt;$B$9,"",IF(COUNTIFS(Base!$B$3:$B$5001,D$143,Base!$A$3:$A$5001,"&gt;="&amp;$C$7,Base!$A$3:$A$5001,"&lt;="&amp;$B170,Base!$M$3:$M$5001,"&lt;&gt;")=0,"",SUMIFS(Base!$M$3:$M$5001,Base!$B$3:$B$5001,D$143,Base!$A$3:$A$5001,_xlfn.MAXIFS(Base!$A$3:$A$5001,Base!$B$3:$B$5001,D$143,Base!$A$3:$A$5001,"&gt;="&amp;$C$7,Base!$A$3:$A$5001,"&lt;="&amp;$B170,Base!$M$3:$M$5001,"&lt;&gt;"))))</f>
        <v>675</v>
      </c>
      <c r="E170" s="149">
        <f>IF($A170&gt;$B$9,"",IF(COUNTIFS(Base!$B$3:$B$5001,E$143,Base!$A$3:$A$5001,"&gt;="&amp;$C$7,Base!$A$3:$A$5001,"&lt;="&amp;$B170,Base!$M$3:$M$5001,"&lt;&gt;")=0,"",SUMIFS(Base!$M$3:$M$5001,Base!$B$3:$B$5001,E$143,Base!$A$3:$A$5001,_xlfn.MAXIFS(Base!$A$3:$A$5001,Base!$B$3:$B$5001,E$143,Base!$A$3:$A$5001,"&gt;="&amp;$C$7,Base!$A$3:$A$5001,"&lt;="&amp;$B170,Base!$M$3:$M$5001,"&lt;&gt;"))))</f>
        <v>364</v>
      </c>
      <c r="F170" s="149">
        <f>IF($A170&gt;$B$9,"",IF(COUNTIFS(Base!$B$3:$B$5001,F$143,Base!$A$3:$A$5001,"&gt;="&amp;$C$7,Base!$A$3:$A$5001,"&lt;="&amp;$B170,Base!$M$3:$M$5001,"&lt;&gt;")=0,"",SUMIFS(Base!$M$3:$M$5001,Base!$B$3:$B$5001,F$143,Base!$A$3:$A$5001,_xlfn.MAXIFS(Base!$A$3:$A$5001,Base!$B$3:$B$5001,F$143,Base!$A$3:$A$5001,"&gt;="&amp;$C$7,Base!$A$3:$A$5001,"&lt;="&amp;$B170,Base!$M$3:$M$5001,"&lt;&gt;"))))</f>
        <v>726</v>
      </c>
      <c r="G170" s="149">
        <f>IF($A170&gt;$B$9,"",IF(COUNTIFS(Base!$B$3:$B$5001,G$143,Base!$A$3:$A$5001,"&gt;="&amp;$C$7,Base!$A$3:$A$5001,"&lt;="&amp;$B170,Base!$M$3:$M$5001,"&lt;&gt;")=0,"",SUMIFS(Base!$M$3:$M$5001,Base!$B$3:$B$5001,G$143,Base!$A$3:$A$5001,_xlfn.MAXIFS(Base!$A$3:$A$5001,Base!$B$3:$B$5001,G$143,Base!$A$3:$A$5001,"&gt;="&amp;$C$7,Base!$A$3:$A$5001,"&lt;="&amp;$B170,Base!$M$3:$M$5001,"&lt;&gt;"))))</f>
        <v>154</v>
      </c>
    </row>
    <row r="171">
      <c r="A171" s="147">
        <v>28</v>
      </c>
      <c r="B171" s="148">
        <f>$B$39</f>
        <v>46293</v>
      </c>
      <c r="C171" s="149">
        <f>IF($A171&gt;$B$9,"",IF(COUNTIFS(Base!$B$3:$B$5001,C$143,Base!$A$3:$A$5001,"&gt;="&amp;$C$7,Base!$A$3:$A$5001,"&lt;="&amp;$B171,Base!$M$3:$M$5001,"&lt;&gt;")=0,"",SUMIFS(Base!$M$3:$M$5001,Base!$B$3:$B$5001,C$143,Base!$A$3:$A$5001,_xlfn.MAXIFS(Base!$A$3:$A$5001,Base!$B$3:$B$5001,C$143,Base!$A$3:$A$5001,"&gt;="&amp;$C$7,Base!$A$3:$A$5001,"&lt;="&amp;$B171,Base!$M$3:$M$5001,"&lt;&gt;"))))</f>
        <v>1047</v>
      </c>
      <c r="D171" s="149">
        <f>IF($A171&gt;$B$9,"",IF(COUNTIFS(Base!$B$3:$B$5001,D$143,Base!$A$3:$A$5001,"&gt;="&amp;$C$7,Base!$A$3:$A$5001,"&lt;="&amp;$B171,Base!$M$3:$M$5001,"&lt;&gt;")=0,"",SUMIFS(Base!$M$3:$M$5001,Base!$B$3:$B$5001,D$143,Base!$A$3:$A$5001,_xlfn.MAXIFS(Base!$A$3:$A$5001,Base!$B$3:$B$5001,D$143,Base!$A$3:$A$5001,"&gt;="&amp;$C$7,Base!$A$3:$A$5001,"&lt;="&amp;$B171,Base!$M$3:$M$5001,"&lt;&gt;"))))</f>
        <v>588</v>
      </c>
      <c r="E171" s="149">
        <f>IF($A171&gt;$B$9,"",IF(COUNTIFS(Base!$B$3:$B$5001,E$143,Base!$A$3:$A$5001,"&gt;="&amp;$C$7,Base!$A$3:$A$5001,"&lt;="&amp;$B171,Base!$M$3:$M$5001,"&lt;&gt;")=0,"",SUMIFS(Base!$M$3:$M$5001,Base!$B$3:$B$5001,E$143,Base!$A$3:$A$5001,_xlfn.MAXIFS(Base!$A$3:$A$5001,Base!$B$3:$B$5001,E$143,Base!$A$3:$A$5001,"&gt;="&amp;$C$7,Base!$A$3:$A$5001,"&lt;="&amp;$B171,Base!$M$3:$M$5001,"&lt;&gt;"))))</f>
        <v>265</v>
      </c>
      <c r="F171" s="149">
        <f>IF($A171&gt;$B$9,"",IF(COUNTIFS(Base!$B$3:$B$5001,F$143,Base!$A$3:$A$5001,"&gt;="&amp;$C$7,Base!$A$3:$A$5001,"&lt;="&amp;$B171,Base!$M$3:$M$5001,"&lt;&gt;")=0,"",SUMIFS(Base!$M$3:$M$5001,Base!$B$3:$B$5001,F$143,Base!$A$3:$A$5001,_xlfn.MAXIFS(Base!$A$3:$A$5001,Base!$B$3:$B$5001,F$143,Base!$A$3:$A$5001,"&gt;="&amp;$C$7,Base!$A$3:$A$5001,"&lt;="&amp;$B171,Base!$M$3:$M$5001,"&lt;&gt;"))))</f>
        <v>777</v>
      </c>
      <c r="G171" s="149">
        <f>IF($A171&gt;$B$9,"",IF(COUNTIFS(Base!$B$3:$B$5001,G$143,Base!$A$3:$A$5001,"&gt;="&amp;$C$7,Base!$A$3:$A$5001,"&lt;="&amp;$B171,Base!$M$3:$M$5001,"&lt;&gt;")=0,"",SUMIFS(Base!$M$3:$M$5001,Base!$B$3:$B$5001,G$143,Base!$A$3:$A$5001,_xlfn.MAXIFS(Base!$A$3:$A$5001,Base!$B$3:$B$5001,G$143,Base!$A$3:$A$5001,"&gt;="&amp;$C$7,Base!$A$3:$A$5001,"&lt;="&amp;$B171,Base!$M$3:$M$5001,"&lt;&gt;"))))</f>
        <v>110</v>
      </c>
    </row>
    <row r="172">
      <c r="A172" s="147">
        <v>29</v>
      </c>
      <c r="B172" s="148">
        <f>$B$40</f>
        <v>46294</v>
      </c>
      <c r="C172" s="149">
        <f>IF($A172&gt;$B$9,"",IF(COUNTIFS(Base!$B$3:$B$5001,C$143,Base!$A$3:$A$5001,"&gt;="&amp;$C$7,Base!$A$3:$A$5001,"&lt;="&amp;$B172,Base!$M$3:$M$5001,"&lt;&gt;")=0,"",SUMIFS(Base!$M$3:$M$5001,Base!$B$3:$B$5001,C$143,Base!$A$3:$A$5001,_xlfn.MAXIFS(Base!$A$3:$A$5001,Base!$B$3:$B$5001,C$143,Base!$A$3:$A$5001,"&gt;="&amp;$C$7,Base!$A$3:$A$5001,"&lt;="&amp;$B172,Base!$M$3:$M$5001,"&lt;&gt;"))))</f>
        <v>1872</v>
      </c>
      <c r="D172" s="149">
        <f>IF($A172&gt;$B$9,"",IF(COUNTIFS(Base!$B$3:$B$5001,D$143,Base!$A$3:$A$5001,"&gt;="&amp;$C$7,Base!$A$3:$A$5001,"&lt;="&amp;$B172,Base!$M$3:$M$5001,"&lt;&gt;")=0,"",SUMIFS(Base!$M$3:$M$5001,Base!$B$3:$B$5001,D$143,Base!$A$3:$A$5001,_xlfn.MAXIFS(Base!$A$3:$A$5001,Base!$B$3:$B$5001,D$143,Base!$A$3:$A$5001,"&gt;="&amp;$C$7,Base!$A$3:$A$5001,"&lt;="&amp;$B172,Base!$M$3:$M$5001,"&lt;&gt;"))))</f>
        <v>565</v>
      </c>
      <c r="E172" s="149">
        <f>IF($A172&gt;$B$9,"",IF(COUNTIFS(Base!$B$3:$B$5001,E$143,Base!$A$3:$A$5001,"&gt;="&amp;$C$7,Base!$A$3:$A$5001,"&lt;="&amp;$B172,Base!$M$3:$M$5001,"&lt;&gt;")=0,"",SUMIFS(Base!$M$3:$M$5001,Base!$B$3:$B$5001,E$143,Base!$A$3:$A$5001,_xlfn.MAXIFS(Base!$A$3:$A$5001,Base!$B$3:$B$5001,E$143,Base!$A$3:$A$5001,"&gt;="&amp;$C$7,Base!$A$3:$A$5001,"&lt;="&amp;$B172,Base!$M$3:$M$5001,"&lt;&gt;"))))</f>
        <v>373</v>
      </c>
      <c r="F172" s="149">
        <f>IF($A172&gt;$B$9,"",IF(COUNTIFS(Base!$B$3:$B$5001,F$143,Base!$A$3:$A$5001,"&gt;="&amp;$C$7,Base!$A$3:$A$5001,"&lt;="&amp;$B172,Base!$M$3:$M$5001,"&lt;&gt;")=0,"",SUMIFS(Base!$M$3:$M$5001,Base!$B$3:$B$5001,F$143,Base!$A$3:$A$5001,_xlfn.MAXIFS(Base!$A$3:$A$5001,Base!$B$3:$B$5001,F$143,Base!$A$3:$A$5001,"&gt;="&amp;$C$7,Base!$A$3:$A$5001,"&lt;="&amp;$B172,Base!$M$3:$M$5001,"&lt;&gt;"))))</f>
        <v>1196</v>
      </c>
      <c r="G172" s="149">
        <f>IF($A172&gt;$B$9,"",IF(COUNTIFS(Base!$B$3:$B$5001,G$143,Base!$A$3:$A$5001,"&gt;="&amp;$C$7,Base!$A$3:$A$5001,"&lt;="&amp;$B172,Base!$M$3:$M$5001,"&lt;&gt;")=0,"",SUMIFS(Base!$M$3:$M$5001,Base!$B$3:$B$5001,G$143,Base!$A$3:$A$5001,_xlfn.MAXIFS(Base!$A$3:$A$5001,Base!$B$3:$B$5001,G$143,Base!$A$3:$A$5001,"&gt;="&amp;$C$7,Base!$A$3:$A$5001,"&lt;="&amp;$B172,Base!$M$3:$M$5001,"&lt;&gt;"))))</f>
        <v>221</v>
      </c>
    </row>
    <row r="173">
      <c r="A173" s="147">
        <v>30</v>
      </c>
      <c r="B173" s="148">
        <f>$B$41</f>
        <v>46295</v>
      </c>
      <c r="C173" s="149" t="str">
        <f>IF($A173&gt;$B$9,"",IF(COUNTIFS(Base!$B$3:$B$5001,C$143,Base!$A$3:$A$5001,"&gt;="&amp;$C$7,Base!$A$3:$A$5001,"&lt;="&amp;$B173,Base!$M$3:$M$5001,"&lt;&gt;")=0,"",SUMIFS(Base!$M$3:$M$5001,Base!$B$3:$B$5001,C$143,Base!$A$3:$A$5001,_xlfn.MAXIFS(Base!$A$3:$A$5001,Base!$B$3:$B$5001,C$143,Base!$A$3:$A$5001,"&gt;="&amp;$C$7,Base!$A$3:$A$5001,"&lt;="&amp;$B173,Base!$M$3:$M$5001,"&lt;&gt;"))))</f>
        <v/>
      </c>
      <c r="D173" s="149" t="str">
        <f>IF($A173&gt;$B$9,"",IF(COUNTIFS(Base!$B$3:$B$5001,D$143,Base!$A$3:$A$5001,"&gt;="&amp;$C$7,Base!$A$3:$A$5001,"&lt;="&amp;$B173,Base!$M$3:$M$5001,"&lt;&gt;")=0,"",SUMIFS(Base!$M$3:$M$5001,Base!$B$3:$B$5001,D$143,Base!$A$3:$A$5001,_xlfn.MAXIFS(Base!$A$3:$A$5001,Base!$B$3:$B$5001,D$143,Base!$A$3:$A$5001,"&gt;="&amp;$C$7,Base!$A$3:$A$5001,"&lt;="&amp;$B173,Base!$M$3:$M$5001,"&lt;&gt;"))))</f>
        <v/>
      </c>
      <c r="E173" s="149" t="str">
        <f>IF($A173&gt;$B$9,"",IF(COUNTIFS(Base!$B$3:$B$5001,E$143,Base!$A$3:$A$5001,"&gt;="&amp;$C$7,Base!$A$3:$A$5001,"&lt;="&amp;$B173,Base!$M$3:$M$5001,"&lt;&gt;")=0,"",SUMIFS(Base!$M$3:$M$5001,Base!$B$3:$B$5001,E$143,Base!$A$3:$A$5001,_xlfn.MAXIFS(Base!$A$3:$A$5001,Base!$B$3:$B$5001,E$143,Base!$A$3:$A$5001,"&gt;="&amp;$C$7,Base!$A$3:$A$5001,"&lt;="&amp;$B173,Base!$M$3:$M$5001,"&lt;&gt;"))))</f>
        <v/>
      </c>
      <c r="F173" s="149" t="str">
        <f>IF($A173&gt;$B$9,"",IF(COUNTIFS(Base!$B$3:$B$5001,F$143,Base!$A$3:$A$5001,"&gt;="&amp;$C$7,Base!$A$3:$A$5001,"&lt;="&amp;$B173,Base!$M$3:$M$5001,"&lt;&gt;")=0,"",SUMIFS(Base!$M$3:$M$5001,Base!$B$3:$B$5001,F$143,Base!$A$3:$A$5001,_xlfn.MAXIFS(Base!$A$3:$A$5001,Base!$B$3:$B$5001,F$143,Base!$A$3:$A$5001,"&gt;="&amp;$C$7,Base!$A$3:$A$5001,"&lt;="&amp;$B173,Base!$M$3:$M$5001,"&lt;&gt;"))))</f>
        <v/>
      </c>
      <c r="G173" s="149" t="str">
        <f>IF($A173&gt;$B$9,"",IF(COUNTIFS(Base!$B$3:$B$5001,G$143,Base!$A$3:$A$5001,"&gt;="&amp;$C$7,Base!$A$3:$A$5001,"&lt;="&amp;$B173,Base!$M$3:$M$5001,"&lt;&gt;")=0,"",SUMIFS(Base!$M$3:$M$5001,Base!$B$3:$B$5001,G$143,Base!$A$3:$A$5001,_xlfn.MAXIFS(Base!$A$3:$A$5001,Base!$B$3:$B$5001,G$143,Base!$A$3:$A$5001,"&gt;="&amp;$C$7,Base!$A$3:$A$5001,"&lt;="&amp;$B173,Base!$M$3:$M$5001,"&lt;&gt;"))))</f>
        <v/>
      </c>
    </row>
    <row r="174">
      <c r="A174" s="147">
        <v>31</v>
      </c>
      <c r="B174" s="148" t="str">
        <f>$B$42</f>
        <v/>
      </c>
      <c r="C174" s="149" t="str">
        <f>IF($A174&gt;$B$9,"",IF(COUNTIFS(Base!$B$3:$B$5001,C$143,Base!$A$3:$A$5001,"&gt;="&amp;$C$7,Base!$A$3:$A$5001,"&lt;="&amp;$B174,Base!$M$3:$M$5001,"&lt;&gt;")=0,"",SUMIFS(Base!$M$3:$M$5001,Base!$B$3:$B$5001,C$143,Base!$A$3:$A$5001,_xlfn.MAXIFS(Base!$A$3:$A$5001,Base!$B$3:$B$5001,C$143,Base!$A$3:$A$5001,"&gt;="&amp;$C$7,Base!$A$3:$A$5001,"&lt;="&amp;$B174,Base!$M$3:$M$5001,"&lt;&gt;"))))</f>
        <v/>
      </c>
      <c r="D174" s="149" t="str">
        <f>IF($A174&gt;$B$9,"",IF(COUNTIFS(Base!$B$3:$B$5001,D$143,Base!$A$3:$A$5001,"&gt;="&amp;$C$7,Base!$A$3:$A$5001,"&lt;="&amp;$B174,Base!$M$3:$M$5001,"&lt;&gt;")=0,"",SUMIFS(Base!$M$3:$M$5001,Base!$B$3:$B$5001,D$143,Base!$A$3:$A$5001,_xlfn.MAXIFS(Base!$A$3:$A$5001,Base!$B$3:$B$5001,D$143,Base!$A$3:$A$5001,"&gt;="&amp;$C$7,Base!$A$3:$A$5001,"&lt;="&amp;$B174,Base!$M$3:$M$5001,"&lt;&gt;"))))</f>
        <v/>
      </c>
      <c r="E174" s="149" t="str">
        <f>IF($A174&gt;$B$9,"",IF(COUNTIFS(Base!$B$3:$B$5001,E$143,Base!$A$3:$A$5001,"&gt;="&amp;$C$7,Base!$A$3:$A$5001,"&lt;="&amp;$B174,Base!$M$3:$M$5001,"&lt;&gt;")=0,"",SUMIFS(Base!$M$3:$M$5001,Base!$B$3:$B$5001,E$143,Base!$A$3:$A$5001,_xlfn.MAXIFS(Base!$A$3:$A$5001,Base!$B$3:$B$5001,E$143,Base!$A$3:$A$5001,"&gt;="&amp;$C$7,Base!$A$3:$A$5001,"&lt;="&amp;$B174,Base!$M$3:$M$5001,"&lt;&gt;"))))</f>
        <v/>
      </c>
      <c r="F174" s="149" t="str">
        <f>IF($A174&gt;$B$9,"",IF(COUNTIFS(Base!$B$3:$B$5001,F$143,Base!$A$3:$A$5001,"&gt;="&amp;$C$7,Base!$A$3:$A$5001,"&lt;="&amp;$B174,Base!$M$3:$M$5001,"&lt;&gt;")=0,"",SUMIFS(Base!$M$3:$M$5001,Base!$B$3:$B$5001,F$143,Base!$A$3:$A$5001,_xlfn.MAXIFS(Base!$A$3:$A$5001,Base!$B$3:$B$5001,F$143,Base!$A$3:$A$5001,"&gt;="&amp;$C$7,Base!$A$3:$A$5001,"&lt;="&amp;$B174,Base!$M$3:$M$5001,"&lt;&gt;"))))</f>
        <v/>
      </c>
      <c r="G174" s="149" t="str">
        <f>IF($A174&gt;$B$9,"",IF(COUNTIFS(Base!$B$3:$B$5001,G$143,Base!$A$3:$A$5001,"&gt;="&amp;$C$7,Base!$A$3:$A$5001,"&lt;="&amp;$B174,Base!$M$3:$M$5001,"&lt;&gt;")=0,"",SUMIFS(Base!$M$3:$M$5001,Base!$B$3:$B$5001,G$143,Base!$A$3:$A$5001,_xlfn.MAXIFS(Base!$A$3:$A$5001,Base!$B$3:$B$5001,G$143,Base!$A$3:$A$5001,"&gt;="&amp;$C$7,Base!$A$3:$A$5001,"&lt;="&amp;$B174,Base!$M$3:$M$5001,"&lt;&gt;"))))</f>
        <v/>
      </c>
    </row>
    <row r="175">
      <c r="A175" s="150" t="inlineStr">
        <is>
          <t xml:space="preserve">Mês anterior (último)</t>
        </is>
      </c>
      <c r="C175" s="151">
        <f>IF(COUNTIFS(Base!$B$3:$B$5001,C$143,Base!$A$3:$A$5001,"&gt;="&amp;$C$8,Base!$A$3:$A$5001,"&lt;="&amp;$D$8,Base!$M$3:$M$5001,"&lt;&gt;")=0,"",SUMIFS(Base!$M$3:$M$5001,Base!$B$3:$B$5001,C$143,Base!$A$3:$A$5001,_xlfn.MAXIFS(Base!$A$3:$A$5001,Base!$B$3:$B$5001,C$143,Base!$A$3:$A$5001,"&gt;="&amp;$C$8,Base!$A$3:$A$5001,"&lt;="&amp;$D$8,Base!$M$3:$M$5001,"&lt;&gt;")))</f>
        <v>1551</v>
      </c>
      <c r="D175" s="151">
        <f>IF(COUNTIFS(Base!$B$3:$B$5001,D$143,Base!$A$3:$A$5001,"&gt;="&amp;$C$8,Base!$A$3:$A$5001,"&lt;="&amp;$D$8,Base!$M$3:$M$5001,"&lt;&gt;")=0,"",SUMIFS(Base!$M$3:$M$5001,Base!$B$3:$B$5001,D$143,Base!$A$3:$A$5001,_xlfn.MAXIFS(Base!$A$3:$A$5001,Base!$B$3:$B$5001,D$143,Base!$A$3:$A$5001,"&gt;="&amp;$C$8,Base!$A$3:$A$5001,"&lt;="&amp;$D$8,Base!$M$3:$M$5001,"&lt;&gt;")))</f>
        <v>567</v>
      </c>
      <c r="E175" s="151">
        <f>IF(COUNTIFS(Base!$B$3:$B$5001,E$143,Base!$A$3:$A$5001,"&gt;="&amp;$C$8,Base!$A$3:$A$5001,"&lt;="&amp;$D$8,Base!$M$3:$M$5001,"&lt;&gt;")=0,"",SUMIFS(Base!$M$3:$M$5001,Base!$B$3:$B$5001,E$143,Base!$A$3:$A$5001,_xlfn.MAXIFS(Base!$A$3:$A$5001,Base!$B$3:$B$5001,E$143,Base!$A$3:$A$5001,"&gt;="&amp;$C$8,Base!$A$3:$A$5001,"&lt;="&amp;$D$8,Base!$M$3:$M$5001,"&lt;&gt;")))</f>
        <v>288</v>
      </c>
      <c r="F175" s="151">
        <f>IF(COUNTIFS(Base!$B$3:$B$5001,F$143,Base!$A$3:$A$5001,"&gt;="&amp;$C$8,Base!$A$3:$A$5001,"&lt;="&amp;$D$8,Base!$M$3:$M$5001,"&lt;&gt;")=0,"",SUMIFS(Base!$M$3:$M$5001,Base!$B$3:$B$5001,F$143,Base!$A$3:$A$5001,_xlfn.MAXIFS(Base!$A$3:$A$5001,Base!$B$3:$B$5001,F$143,Base!$A$3:$A$5001,"&gt;="&amp;$C$8,Base!$A$3:$A$5001,"&lt;="&amp;$D$8,Base!$M$3:$M$5001,"&lt;&gt;")))</f>
        <v>1123</v>
      </c>
      <c r="G175" s="151">
        <f>IF(COUNTIFS(Base!$B$3:$B$5001,G$143,Base!$A$3:$A$5001,"&gt;="&amp;$C$8,Base!$A$3:$A$5001,"&lt;="&amp;$D$8,Base!$M$3:$M$5001,"&lt;&gt;")=0,"",SUMIFS(Base!$M$3:$M$5001,Base!$B$3:$B$5001,G$143,Base!$A$3:$A$5001,_xlfn.MAXIFS(Base!$A$3:$A$5001,Base!$B$3:$B$5001,G$143,Base!$A$3:$A$5001,"&gt;="&amp;$C$8,Base!$A$3:$A$5001,"&lt;="&amp;$D$8,Base!$M$3:$M$5001,"&lt;&gt;")))</f>
        <v>399</v>
      </c>
    </row>
    <row r="178">
      <c r="A178" s="145" t="inlineStr">
        <is>
          <t xml:space="preserve">Posições Disponíveis</t>
        </is>
      </c>
      <c r="B178" s="145" t="inlineStr">
        <is>
          <t xml:space="preserve">Data</t>
        </is>
      </c>
      <c r="C178" s="145" t="inlineStr">
        <is>
          <t xml:space="preserve">Barry Callebaut</t>
        </is>
      </c>
      <c r="D178" s="145" t="inlineStr">
        <is>
          <t xml:space="preserve">Gm</t>
        </is>
      </c>
      <c r="E178" s="145" t="inlineStr">
        <is>
          <t xml:space="preserve">Mondelez</t>
        </is>
      </c>
      <c r="F178" s="145" t="inlineStr">
        <is>
          <t xml:space="preserve">Nestlé</t>
        </is>
      </c>
      <c r="G178" s="145" t="inlineStr">
        <is>
          <t xml:space="preserve">PMB</t>
        </is>
      </c>
    </row>
    <row r="179">
      <c r="A179" s="147">
        <v>1</v>
      </c>
      <c r="B179" s="148">
        <f>$B$12</f>
        <v>46266</v>
      </c>
      <c r="C179" s="149">
        <f>IF($A179&gt;$B$9,"",IF(COUNTIFS(Base!$B$3:$B$5001,C$178,Base!$A$3:$A$5001,"&gt;="&amp;$C$7,Base!$A$3:$A$5001,"&lt;="&amp;$B179,Base!$L$3:$L$5001,"&lt;&gt;")=0,"",SUMIFS(Base!$L$3:$L$5001,Base!$B$3:$B$5001,C$178,Base!$A$3:$A$5001,_xlfn.MAXIFS(Base!$A$3:$A$5001,Base!$B$3:$B$5001,C$178,Base!$A$3:$A$5001,"&gt;="&amp;$C$7,Base!$A$3:$A$5001,"&lt;="&amp;$B179,Base!$L$3:$L$5001,"&lt;&gt;"))))</f>
        <v>1950</v>
      </c>
      <c r="D179" s="149">
        <f>IF($A179&gt;$B$9,"",IF(COUNTIFS(Base!$B$3:$B$5001,D$178,Base!$A$3:$A$5001,"&gt;="&amp;$C$7,Base!$A$3:$A$5001,"&lt;="&amp;$B179,Base!$L$3:$L$5001,"&lt;&gt;")=0,"",SUMIFS(Base!$L$3:$L$5001,Base!$B$3:$B$5001,D$178,Base!$A$3:$A$5001,_xlfn.MAXIFS(Base!$A$3:$A$5001,Base!$B$3:$B$5001,D$178,Base!$A$3:$A$5001,"&gt;="&amp;$C$7,Base!$A$3:$A$5001,"&lt;="&amp;$B179,Base!$L$3:$L$5001,"&lt;&gt;"))))</f>
        <v>800</v>
      </c>
      <c r="E179" s="149" t="str">
        <f>IF($A179&gt;$B$9,"",IF(COUNTIFS(Base!$B$3:$B$5001,E$178,Base!$A$3:$A$5001,"&gt;="&amp;$C$7,Base!$A$3:$A$5001,"&lt;="&amp;$B179,Base!$L$3:$L$5001,"&lt;&gt;")=0,"",SUMIFS(Base!$L$3:$L$5001,Base!$B$3:$B$5001,E$178,Base!$A$3:$A$5001,_xlfn.MAXIFS(Base!$A$3:$A$5001,Base!$B$3:$B$5001,E$178,Base!$A$3:$A$5001,"&gt;="&amp;$C$7,Base!$A$3:$A$5001,"&lt;="&amp;$B179,Base!$L$3:$L$5001,"&lt;&gt;"))))</f>
        <v/>
      </c>
      <c r="F179" s="149">
        <f>IF($A179&gt;$B$9,"",IF(COUNTIFS(Base!$B$3:$B$5001,F$178,Base!$A$3:$A$5001,"&gt;="&amp;$C$7,Base!$A$3:$A$5001,"&lt;="&amp;$B179,Base!$L$3:$L$5001,"&lt;&gt;")=0,"",SUMIFS(Base!$L$3:$L$5001,Base!$B$3:$B$5001,F$178,Base!$A$3:$A$5001,_xlfn.MAXIFS(Base!$A$3:$A$5001,Base!$B$3:$B$5001,F$178,Base!$A$3:$A$5001,"&gt;="&amp;$C$7,Base!$A$3:$A$5001,"&lt;="&amp;$B179,Base!$L$3:$L$5001,"&lt;&gt;"))))</f>
        <v>1400</v>
      </c>
      <c r="G179" s="149" t="str">
        <f>IF($A179&gt;$B$9,"",IF(COUNTIFS(Base!$B$3:$B$5001,G$178,Base!$A$3:$A$5001,"&gt;="&amp;$C$7,Base!$A$3:$A$5001,"&lt;="&amp;$B179,Base!$L$3:$L$5001,"&lt;&gt;")=0,"",SUMIFS(Base!$L$3:$L$5001,Base!$B$3:$B$5001,G$178,Base!$A$3:$A$5001,_xlfn.MAXIFS(Base!$A$3:$A$5001,Base!$B$3:$B$5001,G$178,Base!$A$3:$A$5001,"&gt;="&amp;$C$7,Base!$A$3:$A$5001,"&lt;="&amp;$B179,Base!$L$3:$L$5001,"&lt;&gt;"))))</f>
        <v/>
      </c>
    </row>
    <row r="180">
      <c r="A180" s="147">
        <v>2</v>
      </c>
      <c r="B180" s="148">
        <f>$B$13</f>
        <v>46267</v>
      </c>
      <c r="C180" s="149">
        <f>IF($A180&gt;$B$9,"",IF(COUNTIFS(Base!$B$3:$B$5001,C$178,Base!$A$3:$A$5001,"&gt;="&amp;$C$7,Base!$A$3:$A$5001,"&lt;="&amp;$B180,Base!$L$3:$L$5001,"&lt;&gt;")=0,"",SUMIFS(Base!$L$3:$L$5001,Base!$B$3:$B$5001,C$178,Base!$A$3:$A$5001,_xlfn.MAXIFS(Base!$A$3:$A$5001,Base!$B$3:$B$5001,C$178,Base!$A$3:$A$5001,"&gt;="&amp;$C$7,Base!$A$3:$A$5001,"&lt;="&amp;$B180,Base!$L$3:$L$5001,"&lt;&gt;"))))</f>
        <v>1950</v>
      </c>
      <c r="D180" s="149">
        <f>IF($A180&gt;$B$9,"",IF(COUNTIFS(Base!$B$3:$B$5001,D$178,Base!$A$3:$A$5001,"&gt;="&amp;$C$7,Base!$A$3:$A$5001,"&lt;="&amp;$B180,Base!$L$3:$L$5001,"&lt;&gt;")=0,"",SUMIFS(Base!$L$3:$L$5001,Base!$B$3:$B$5001,D$178,Base!$A$3:$A$5001,_xlfn.MAXIFS(Base!$A$3:$A$5001,Base!$B$3:$B$5001,D$178,Base!$A$3:$A$5001,"&gt;="&amp;$C$7,Base!$A$3:$A$5001,"&lt;="&amp;$B180,Base!$L$3:$L$5001,"&lt;&gt;"))))</f>
        <v>800</v>
      </c>
      <c r="E180" s="149" t="str">
        <f>IF($A180&gt;$B$9,"",IF(COUNTIFS(Base!$B$3:$B$5001,E$178,Base!$A$3:$A$5001,"&gt;="&amp;$C$7,Base!$A$3:$A$5001,"&lt;="&amp;$B180,Base!$L$3:$L$5001,"&lt;&gt;")=0,"",SUMIFS(Base!$L$3:$L$5001,Base!$B$3:$B$5001,E$178,Base!$A$3:$A$5001,_xlfn.MAXIFS(Base!$A$3:$A$5001,Base!$B$3:$B$5001,E$178,Base!$A$3:$A$5001,"&gt;="&amp;$C$7,Base!$A$3:$A$5001,"&lt;="&amp;$B180,Base!$L$3:$L$5001,"&lt;&gt;"))))</f>
        <v/>
      </c>
      <c r="F180" s="149">
        <f>IF($A180&gt;$B$9,"",IF(COUNTIFS(Base!$B$3:$B$5001,F$178,Base!$A$3:$A$5001,"&gt;="&amp;$C$7,Base!$A$3:$A$5001,"&lt;="&amp;$B180,Base!$L$3:$L$5001,"&lt;&gt;")=0,"",SUMIFS(Base!$L$3:$L$5001,Base!$B$3:$B$5001,F$178,Base!$A$3:$A$5001,_xlfn.MAXIFS(Base!$A$3:$A$5001,Base!$B$3:$B$5001,F$178,Base!$A$3:$A$5001,"&gt;="&amp;$C$7,Base!$A$3:$A$5001,"&lt;="&amp;$B180,Base!$L$3:$L$5001,"&lt;&gt;"))))</f>
        <v>1400</v>
      </c>
      <c r="G180" s="149" t="str">
        <f>IF($A180&gt;$B$9,"",IF(COUNTIFS(Base!$B$3:$B$5001,G$178,Base!$A$3:$A$5001,"&gt;="&amp;$C$7,Base!$A$3:$A$5001,"&lt;="&amp;$B180,Base!$L$3:$L$5001,"&lt;&gt;")=0,"",SUMIFS(Base!$L$3:$L$5001,Base!$B$3:$B$5001,G$178,Base!$A$3:$A$5001,_xlfn.MAXIFS(Base!$A$3:$A$5001,Base!$B$3:$B$5001,G$178,Base!$A$3:$A$5001,"&gt;="&amp;$C$7,Base!$A$3:$A$5001,"&lt;="&amp;$B180,Base!$L$3:$L$5001,"&lt;&gt;"))))</f>
        <v/>
      </c>
    </row>
    <row r="181">
      <c r="A181" s="147">
        <v>3</v>
      </c>
      <c r="B181" s="148">
        <f>$B$14</f>
        <v>46268</v>
      </c>
      <c r="C181" s="149">
        <f>IF($A181&gt;$B$9,"",IF(COUNTIFS(Base!$B$3:$B$5001,C$178,Base!$A$3:$A$5001,"&gt;="&amp;$C$7,Base!$A$3:$A$5001,"&lt;="&amp;$B181,Base!$L$3:$L$5001,"&lt;&gt;")=0,"",SUMIFS(Base!$L$3:$L$5001,Base!$B$3:$B$5001,C$178,Base!$A$3:$A$5001,_xlfn.MAXIFS(Base!$A$3:$A$5001,Base!$B$3:$B$5001,C$178,Base!$A$3:$A$5001,"&gt;="&amp;$C$7,Base!$A$3:$A$5001,"&lt;="&amp;$B181,Base!$L$3:$L$5001,"&lt;&gt;"))))</f>
        <v>1950</v>
      </c>
      <c r="D181" s="149">
        <f>IF($A181&gt;$B$9,"",IF(COUNTIFS(Base!$B$3:$B$5001,D$178,Base!$A$3:$A$5001,"&gt;="&amp;$C$7,Base!$A$3:$A$5001,"&lt;="&amp;$B181,Base!$L$3:$L$5001,"&lt;&gt;")=0,"",SUMIFS(Base!$L$3:$L$5001,Base!$B$3:$B$5001,D$178,Base!$A$3:$A$5001,_xlfn.MAXIFS(Base!$A$3:$A$5001,Base!$B$3:$B$5001,D$178,Base!$A$3:$A$5001,"&gt;="&amp;$C$7,Base!$A$3:$A$5001,"&lt;="&amp;$B181,Base!$L$3:$L$5001,"&lt;&gt;"))))</f>
        <v>800</v>
      </c>
      <c r="E181" s="149" t="str">
        <f>IF($A181&gt;$B$9,"",IF(COUNTIFS(Base!$B$3:$B$5001,E$178,Base!$A$3:$A$5001,"&gt;="&amp;$C$7,Base!$A$3:$A$5001,"&lt;="&amp;$B181,Base!$L$3:$L$5001,"&lt;&gt;")=0,"",SUMIFS(Base!$L$3:$L$5001,Base!$B$3:$B$5001,E$178,Base!$A$3:$A$5001,_xlfn.MAXIFS(Base!$A$3:$A$5001,Base!$B$3:$B$5001,E$178,Base!$A$3:$A$5001,"&gt;="&amp;$C$7,Base!$A$3:$A$5001,"&lt;="&amp;$B181,Base!$L$3:$L$5001,"&lt;&gt;"))))</f>
        <v/>
      </c>
      <c r="F181" s="149">
        <f>IF($A181&gt;$B$9,"",IF(COUNTIFS(Base!$B$3:$B$5001,F$178,Base!$A$3:$A$5001,"&gt;="&amp;$C$7,Base!$A$3:$A$5001,"&lt;="&amp;$B181,Base!$L$3:$L$5001,"&lt;&gt;")=0,"",SUMIFS(Base!$L$3:$L$5001,Base!$B$3:$B$5001,F$178,Base!$A$3:$A$5001,_xlfn.MAXIFS(Base!$A$3:$A$5001,Base!$B$3:$B$5001,F$178,Base!$A$3:$A$5001,"&gt;="&amp;$C$7,Base!$A$3:$A$5001,"&lt;="&amp;$B181,Base!$L$3:$L$5001,"&lt;&gt;"))))</f>
        <v>1400</v>
      </c>
      <c r="G181" s="149" t="str">
        <f>IF($A181&gt;$B$9,"",IF(COUNTIFS(Base!$B$3:$B$5001,G$178,Base!$A$3:$A$5001,"&gt;="&amp;$C$7,Base!$A$3:$A$5001,"&lt;="&amp;$B181,Base!$L$3:$L$5001,"&lt;&gt;")=0,"",SUMIFS(Base!$L$3:$L$5001,Base!$B$3:$B$5001,G$178,Base!$A$3:$A$5001,_xlfn.MAXIFS(Base!$A$3:$A$5001,Base!$B$3:$B$5001,G$178,Base!$A$3:$A$5001,"&gt;="&amp;$C$7,Base!$A$3:$A$5001,"&lt;="&amp;$B181,Base!$L$3:$L$5001,"&lt;&gt;"))))</f>
        <v/>
      </c>
    </row>
    <row r="182">
      <c r="A182" s="147">
        <v>4</v>
      </c>
      <c r="B182" s="148">
        <f>$B$15</f>
        <v>46269</v>
      </c>
      <c r="C182" s="149">
        <f>IF($A182&gt;$B$9,"",IF(COUNTIFS(Base!$B$3:$B$5001,C$178,Base!$A$3:$A$5001,"&gt;="&amp;$C$7,Base!$A$3:$A$5001,"&lt;="&amp;$B182,Base!$L$3:$L$5001,"&lt;&gt;")=0,"",SUMIFS(Base!$L$3:$L$5001,Base!$B$3:$B$5001,C$178,Base!$A$3:$A$5001,_xlfn.MAXIFS(Base!$A$3:$A$5001,Base!$B$3:$B$5001,C$178,Base!$A$3:$A$5001,"&gt;="&amp;$C$7,Base!$A$3:$A$5001,"&lt;="&amp;$B182,Base!$L$3:$L$5001,"&lt;&gt;"))))</f>
        <v>1950</v>
      </c>
      <c r="D182" s="149">
        <f>IF($A182&gt;$B$9,"",IF(COUNTIFS(Base!$B$3:$B$5001,D$178,Base!$A$3:$A$5001,"&gt;="&amp;$C$7,Base!$A$3:$A$5001,"&lt;="&amp;$B182,Base!$L$3:$L$5001,"&lt;&gt;")=0,"",SUMIFS(Base!$L$3:$L$5001,Base!$B$3:$B$5001,D$178,Base!$A$3:$A$5001,_xlfn.MAXIFS(Base!$A$3:$A$5001,Base!$B$3:$B$5001,D$178,Base!$A$3:$A$5001,"&gt;="&amp;$C$7,Base!$A$3:$A$5001,"&lt;="&amp;$B182,Base!$L$3:$L$5001,"&lt;&gt;"))))</f>
        <v>800</v>
      </c>
      <c r="E182" s="149" t="str">
        <f>IF($A182&gt;$B$9,"",IF(COUNTIFS(Base!$B$3:$B$5001,E$178,Base!$A$3:$A$5001,"&gt;="&amp;$C$7,Base!$A$3:$A$5001,"&lt;="&amp;$B182,Base!$L$3:$L$5001,"&lt;&gt;")=0,"",SUMIFS(Base!$L$3:$L$5001,Base!$B$3:$B$5001,E$178,Base!$A$3:$A$5001,_xlfn.MAXIFS(Base!$A$3:$A$5001,Base!$B$3:$B$5001,E$178,Base!$A$3:$A$5001,"&gt;="&amp;$C$7,Base!$A$3:$A$5001,"&lt;="&amp;$B182,Base!$L$3:$L$5001,"&lt;&gt;"))))</f>
        <v/>
      </c>
      <c r="F182" s="149">
        <f>IF($A182&gt;$B$9,"",IF(COUNTIFS(Base!$B$3:$B$5001,F$178,Base!$A$3:$A$5001,"&gt;="&amp;$C$7,Base!$A$3:$A$5001,"&lt;="&amp;$B182,Base!$L$3:$L$5001,"&lt;&gt;")=0,"",SUMIFS(Base!$L$3:$L$5001,Base!$B$3:$B$5001,F$178,Base!$A$3:$A$5001,_xlfn.MAXIFS(Base!$A$3:$A$5001,Base!$B$3:$B$5001,F$178,Base!$A$3:$A$5001,"&gt;="&amp;$C$7,Base!$A$3:$A$5001,"&lt;="&amp;$B182,Base!$L$3:$L$5001,"&lt;&gt;"))))</f>
        <v>1400</v>
      </c>
      <c r="G182" s="149" t="str">
        <f>IF($A182&gt;$B$9,"",IF(COUNTIFS(Base!$B$3:$B$5001,G$178,Base!$A$3:$A$5001,"&gt;="&amp;$C$7,Base!$A$3:$A$5001,"&lt;="&amp;$B182,Base!$L$3:$L$5001,"&lt;&gt;")=0,"",SUMIFS(Base!$L$3:$L$5001,Base!$B$3:$B$5001,G$178,Base!$A$3:$A$5001,_xlfn.MAXIFS(Base!$A$3:$A$5001,Base!$B$3:$B$5001,G$178,Base!$A$3:$A$5001,"&gt;="&amp;$C$7,Base!$A$3:$A$5001,"&lt;="&amp;$B182,Base!$L$3:$L$5001,"&lt;&gt;"))))</f>
        <v/>
      </c>
    </row>
    <row r="183">
      <c r="A183" s="147">
        <v>5</v>
      </c>
      <c r="B183" s="148">
        <f>$B$16</f>
        <v>46270</v>
      </c>
      <c r="C183" s="149">
        <f>IF($A183&gt;$B$9,"",IF(COUNTIFS(Base!$B$3:$B$5001,C$178,Base!$A$3:$A$5001,"&gt;="&amp;$C$7,Base!$A$3:$A$5001,"&lt;="&amp;$B183,Base!$L$3:$L$5001,"&lt;&gt;")=0,"",SUMIFS(Base!$L$3:$L$5001,Base!$B$3:$B$5001,C$178,Base!$A$3:$A$5001,_xlfn.MAXIFS(Base!$A$3:$A$5001,Base!$B$3:$B$5001,C$178,Base!$A$3:$A$5001,"&gt;="&amp;$C$7,Base!$A$3:$A$5001,"&lt;="&amp;$B183,Base!$L$3:$L$5001,"&lt;&gt;"))))</f>
        <v>1950</v>
      </c>
      <c r="D183" s="149">
        <f>IF($A183&gt;$B$9,"",IF(COUNTIFS(Base!$B$3:$B$5001,D$178,Base!$A$3:$A$5001,"&gt;="&amp;$C$7,Base!$A$3:$A$5001,"&lt;="&amp;$B183,Base!$L$3:$L$5001,"&lt;&gt;")=0,"",SUMIFS(Base!$L$3:$L$5001,Base!$B$3:$B$5001,D$178,Base!$A$3:$A$5001,_xlfn.MAXIFS(Base!$A$3:$A$5001,Base!$B$3:$B$5001,D$178,Base!$A$3:$A$5001,"&gt;="&amp;$C$7,Base!$A$3:$A$5001,"&lt;="&amp;$B183,Base!$L$3:$L$5001,"&lt;&gt;"))))</f>
        <v>800</v>
      </c>
      <c r="E183" s="149" t="str">
        <f>IF($A183&gt;$B$9,"",IF(COUNTIFS(Base!$B$3:$B$5001,E$178,Base!$A$3:$A$5001,"&gt;="&amp;$C$7,Base!$A$3:$A$5001,"&lt;="&amp;$B183,Base!$L$3:$L$5001,"&lt;&gt;")=0,"",SUMIFS(Base!$L$3:$L$5001,Base!$B$3:$B$5001,E$178,Base!$A$3:$A$5001,_xlfn.MAXIFS(Base!$A$3:$A$5001,Base!$B$3:$B$5001,E$178,Base!$A$3:$A$5001,"&gt;="&amp;$C$7,Base!$A$3:$A$5001,"&lt;="&amp;$B183,Base!$L$3:$L$5001,"&lt;&gt;"))))</f>
        <v/>
      </c>
      <c r="F183" s="149">
        <f>IF($A183&gt;$B$9,"",IF(COUNTIFS(Base!$B$3:$B$5001,F$178,Base!$A$3:$A$5001,"&gt;="&amp;$C$7,Base!$A$3:$A$5001,"&lt;="&amp;$B183,Base!$L$3:$L$5001,"&lt;&gt;")=0,"",SUMIFS(Base!$L$3:$L$5001,Base!$B$3:$B$5001,F$178,Base!$A$3:$A$5001,_xlfn.MAXIFS(Base!$A$3:$A$5001,Base!$B$3:$B$5001,F$178,Base!$A$3:$A$5001,"&gt;="&amp;$C$7,Base!$A$3:$A$5001,"&lt;="&amp;$B183,Base!$L$3:$L$5001,"&lt;&gt;"))))</f>
        <v>1400</v>
      </c>
      <c r="G183" s="149" t="str">
        <f>IF($A183&gt;$B$9,"",IF(COUNTIFS(Base!$B$3:$B$5001,G$178,Base!$A$3:$A$5001,"&gt;="&amp;$C$7,Base!$A$3:$A$5001,"&lt;="&amp;$B183,Base!$L$3:$L$5001,"&lt;&gt;")=0,"",SUMIFS(Base!$L$3:$L$5001,Base!$B$3:$B$5001,G$178,Base!$A$3:$A$5001,_xlfn.MAXIFS(Base!$A$3:$A$5001,Base!$B$3:$B$5001,G$178,Base!$A$3:$A$5001,"&gt;="&amp;$C$7,Base!$A$3:$A$5001,"&lt;="&amp;$B183,Base!$L$3:$L$5001,"&lt;&gt;"))))</f>
        <v/>
      </c>
    </row>
    <row r="184">
      <c r="A184" s="147">
        <v>6</v>
      </c>
      <c r="B184" s="148">
        <f>$B$17</f>
        <v>46271</v>
      </c>
      <c r="C184" s="149">
        <f>IF($A184&gt;$B$9,"",IF(COUNTIFS(Base!$B$3:$B$5001,C$178,Base!$A$3:$A$5001,"&gt;="&amp;$C$7,Base!$A$3:$A$5001,"&lt;="&amp;$B184,Base!$L$3:$L$5001,"&lt;&gt;")=0,"",SUMIFS(Base!$L$3:$L$5001,Base!$B$3:$B$5001,C$178,Base!$A$3:$A$5001,_xlfn.MAXIFS(Base!$A$3:$A$5001,Base!$B$3:$B$5001,C$178,Base!$A$3:$A$5001,"&gt;="&amp;$C$7,Base!$A$3:$A$5001,"&lt;="&amp;$B184,Base!$L$3:$L$5001,"&lt;&gt;"))))</f>
        <v>1950</v>
      </c>
      <c r="D184" s="149">
        <f>IF($A184&gt;$B$9,"",IF(COUNTIFS(Base!$B$3:$B$5001,D$178,Base!$A$3:$A$5001,"&gt;="&amp;$C$7,Base!$A$3:$A$5001,"&lt;="&amp;$B184,Base!$L$3:$L$5001,"&lt;&gt;")=0,"",SUMIFS(Base!$L$3:$L$5001,Base!$B$3:$B$5001,D$178,Base!$A$3:$A$5001,_xlfn.MAXIFS(Base!$A$3:$A$5001,Base!$B$3:$B$5001,D$178,Base!$A$3:$A$5001,"&gt;="&amp;$C$7,Base!$A$3:$A$5001,"&lt;="&amp;$B184,Base!$L$3:$L$5001,"&lt;&gt;"))))</f>
        <v>800</v>
      </c>
      <c r="E184" s="149" t="str">
        <f>IF($A184&gt;$B$9,"",IF(COUNTIFS(Base!$B$3:$B$5001,E$178,Base!$A$3:$A$5001,"&gt;="&amp;$C$7,Base!$A$3:$A$5001,"&lt;="&amp;$B184,Base!$L$3:$L$5001,"&lt;&gt;")=0,"",SUMIFS(Base!$L$3:$L$5001,Base!$B$3:$B$5001,E$178,Base!$A$3:$A$5001,_xlfn.MAXIFS(Base!$A$3:$A$5001,Base!$B$3:$B$5001,E$178,Base!$A$3:$A$5001,"&gt;="&amp;$C$7,Base!$A$3:$A$5001,"&lt;="&amp;$B184,Base!$L$3:$L$5001,"&lt;&gt;"))))</f>
        <v/>
      </c>
      <c r="F184" s="149">
        <f>IF($A184&gt;$B$9,"",IF(COUNTIFS(Base!$B$3:$B$5001,F$178,Base!$A$3:$A$5001,"&gt;="&amp;$C$7,Base!$A$3:$A$5001,"&lt;="&amp;$B184,Base!$L$3:$L$5001,"&lt;&gt;")=0,"",SUMIFS(Base!$L$3:$L$5001,Base!$B$3:$B$5001,F$178,Base!$A$3:$A$5001,_xlfn.MAXIFS(Base!$A$3:$A$5001,Base!$B$3:$B$5001,F$178,Base!$A$3:$A$5001,"&gt;="&amp;$C$7,Base!$A$3:$A$5001,"&lt;="&amp;$B184,Base!$L$3:$L$5001,"&lt;&gt;"))))</f>
        <v>1400</v>
      </c>
      <c r="G184" s="149" t="str">
        <f>IF($A184&gt;$B$9,"",IF(COUNTIFS(Base!$B$3:$B$5001,G$178,Base!$A$3:$A$5001,"&gt;="&amp;$C$7,Base!$A$3:$A$5001,"&lt;="&amp;$B184,Base!$L$3:$L$5001,"&lt;&gt;")=0,"",SUMIFS(Base!$L$3:$L$5001,Base!$B$3:$B$5001,G$178,Base!$A$3:$A$5001,_xlfn.MAXIFS(Base!$A$3:$A$5001,Base!$B$3:$B$5001,G$178,Base!$A$3:$A$5001,"&gt;="&amp;$C$7,Base!$A$3:$A$5001,"&lt;="&amp;$B184,Base!$L$3:$L$5001,"&lt;&gt;"))))</f>
        <v/>
      </c>
    </row>
    <row r="185">
      <c r="A185" s="147">
        <v>7</v>
      </c>
      <c r="B185" s="148">
        <f>$B$18</f>
        <v>46272</v>
      </c>
      <c r="C185" s="149">
        <f>IF($A185&gt;$B$9,"",IF(COUNTIFS(Base!$B$3:$B$5001,C$178,Base!$A$3:$A$5001,"&gt;="&amp;$C$7,Base!$A$3:$A$5001,"&lt;="&amp;$B185,Base!$L$3:$L$5001,"&lt;&gt;")=0,"",SUMIFS(Base!$L$3:$L$5001,Base!$B$3:$B$5001,C$178,Base!$A$3:$A$5001,_xlfn.MAXIFS(Base!$A$3:$A$5001,Base!$B$3:$B$5001,C$178,Base!$A$3:$A$5001,"&gt;="&amp;$C$7,Base!$A$3:$A$5001,"&lt;="&amp;$B185,Base!$L$3:$L$5001,"&lt;&gt;"))))</f>
        <v>1950</v>
      </c>
      <c r="D185" s="149">
        <f>IF($A185&gt;$B$9,"",IF(COUNTIFS(Base!$B$3:$B$5001,D$178,Base!$A$3:$A$5001,"&gt;="&amp;$C$7,Base!$A$3:$A$5001,"&lt;="&amp;$B185,Base!$L$3:$L$5001,"&lt;&gt;")=0,"",SUMIFS(Base!$L$3:$L$5001,Base!$B$3:$B$5001,D$178,Base!$A$3:$A$5001,_xlfn.MAXIFS(Base!$A$3:$A$5001,Base!$B$3:$B$5001,D$178,Base!$A$3:$A$5001,"&gt;="&amp;$C$7,Base!$A$3:$A$5001,"&lt;="&amp;$B185,Base!$L$3:$L$5001,"&lt;&gt;"))))</f>
        <v>800</v>
      </c>
      <c r="E185" s="149" t="str">
        <f>IF($A185&gt;$B$9,"",IF(COUNTIFS(Base!$B$3:$B$5001,E$178,Base!$A$3:$A$5001,"&gt;="&amp;$C$7,Base!$A$3:$A$5001,"&lt;="&amp;$B185,Base!$L$3:$L$5001,"&lt;&gt;")=0,"",SUMIFS(Base!$L$3:$L$5001,Base!$B$3:$B$5001,E$178,Base!$A$3:$A$5001,_xlfn.MAXIFS(Base!$A$3:$A$5001,Base!$B$3:$B$5001,E$178,Base!$A$3:$A$5001,"&gt;="&amp;$C$7,Base!$A$3:$A$5001,"&lt;="&amp;$B185,Base!$L$3:$L$5001,"&lt;&gt;"))))</f>
        <v/>
      </c>
      <c r="F185" s="149">
        <f>IF($A185&gt;$B$9,"",IF(COUNTIFS(Base!$B$3:$B$5001,F$178,Base!$A$3:$A$5001,"&gt;="&amp;$C$7,Base!$A$3:$A$5001,"&lt;="&amp;$B185,Base!$L$3:$L$5001,"&lt;&gt;")=0,"",SUMIFS(Base!$L$3:$L$5001,Base!$B$3:$B$5001,F$178,Base!$A$3:$A$5001,_xlfn.MAXIFS(Base!$A$3:$A$5001,Base!$B$3:$B$5001,F$178,Base!$A$3:$A$5001,"&gt;="&amp;$C$7,Base!$A$3:$A$5001,"&lt;="&amp;$B185,Base!$L$3:$L$5001,"&lt;&gt;"))))</f>
        <v>1400</v>
      </c>
      <c r="G185" s="149" t="str">
        <f>IF($A185&gt;$B$9,"",IF(COUNTIFS(Base!$B$3:$B$5001,G$178,Base!$A$3:$A$5001,"&gt;="&amp;$C$7,Base!$A$3:$A$5001,"&lt;="&amp;$B185,Base!$L$3:$L$5001,"&lt;&gt;")=0,"",SUMIFS(Base!$L$3:$L$5001,Base!$B$3:$B$5001,G$178,Base!$A$3:$A$5001,_xlfn.MAXIFS(Base!$A$3:$A$5001,Base!$B$3:$B$5001,G$178,Base!$A$3:$A$5001,"&gt;="&amp;$C$7,Base!$A$3:$A$5001,"&lt;="&amp;$B185,Base!$L$3:$L$5001,"&lt;&gt;"))))</f>
        <v/>
      </c>
    </row>
    <row r="186">
      <c r="A186" s="147">
        <v>8</v>
      </c>
      <c r="B186" s="148">
        <f>$B$19</f>
        <v>46273</v>
      </c>
      <c r="C186" s="149">
        <f>IF($A186&gt;$B$9,"",IF(COUNTIFS(Base!$B$3:$B$5001,C$178,Base!$A$3:$A$5001,"&gt;="&amp;$C$7,Base!$A$3:$A$5001,"&lt;="&amp;$B186,Base!$L$3:$L$5001,"&lt;&gt;")=0,"",SUMIFS(Base!$L$3:$L$5001,Base!$B$3:$B$5001,C$178,Base!$A$3:$A$5001,_xlfn.MAXIFS(Base!$A$3:$A$5001,Base!$B$3:$B$5001,C$178,Base!$A$3:$A$5001,"&gt;="&amp;$C$7,Base!$A$3:$A$5001,"&lt;="&amp;$B186,Base!$L$3:$L$5001,"&lt;&gt;"))))</f>
        <v>1950</v>
      </c>
      <c r="D186" s="149">
        <f>IF($A186&gt;$B$9,"",IF(COUNTIFS(Base!$B$3:$B$5001,D$178,Base!$A$3:$A$5001,"&gt;="&amp;$C$7,Base!$A$3:$A$5001,"&lt;="&amp;$B186,Base!$L$3:$L$5001,"&lt;&gt;")=0,"",SUMIFS(Base!$L$3:$L$5001,Base!$B$3:$B$5001,D$178,Base!$A$3:$A$5001,_xlfn.MAXIFS(Base!$A$3:$A$5001,Base!$B$3:$B$5001,D$178,Base!$A$3:$A$5001,"&gt;="&amp;$C$7,Base!$A$3:$A$5001,"&lt;="&amp;$B186,Base!$L$3:$L$5001,"&lt;&gt;"))))</f>
        <v>800</v>
      </c>
      <c r="E186" s="149" t="str">
        <f>IF($A186&gt;$B$9,"",IF(COUNTIFS(Base!$B$3:$B$5001,E$178,Base!$A$3:$A$5001,"&gt;="&amp;$C$7,Base!$A$3:$A$5001,"&lt;="&amp;$B186,Base!$L$3:$L$5001,"&lt;&gt;")=0,"",SUMIFS(Base!$L$3:$L$5001,Base!$B$3:$B$5001,E$178,Base!$A$3:$A$5001,_xlfn.MAXIFS(Base!$A$3:$A$5001,Base!$B$3:$B$5001,E$178,Base!$A$3:$A$5001,"&gt;="&amp;$C$7,Base!$A$3:$A$5001,"&lt;="&amp;$B186,Base!$L$3:$L$5001,"&lt;&gt;"))))</f>
        <v/>
      </c>
      <c r="F186" s="149">
        <f>IF($A186&gt;$B$9,"",IF(COUNTIFS(Base!$B$3:$B$5001,F$178,Base!$A$3:$A$5001,"&gt;="&amp;$C$7,Base!$A$3:$A$5001,"&lt;="&amp;$B186,Base!$L$3:$L$5001,"&lt;&gt;")=0,"",SUMIFS(Base!$L$3:$L$5001,Base!$B$3:$B$5001,F$178,Base!$A$3:$A$5001,_xlfn.MAXIFS(Base!$A$3:$A$5001,Base!$B$3:$B$5001,F$178,Base!$A$3:$A$5001,"&gt;="&amp;$C$7,Base!$A$3:$A$5001,"&lt;="&amp;$B186,Base!$L$3:$L$5001,"&lt;&gt;"))))</f>
        <v>1400</v>
      </c>
      <c r="G186" s="149" t="str">
        <f>IF($A186&gt;$B$9,"",IF(COUNTIFS(Base!$B$3:$B$5001,G$178,Base!$A$3:$A$5001,"&gt;="&amp;$C$7,Base!$A$3:$A$5001,"&lt;="&amp;$B186,Base!$L$3:$L$5001,"&lt;&gt;")=0,"",SUMIFS(Base!$L$3:$L$5001,Base!$B$3:$B$5001,G$178,Base!$A$3:$A$5001,_xlfn.MAXIFS(Base!$A$3:$A$5001,Base!$B$3:$B$5001,G$178,Base!$A$3:$A$5001,"&gt;="&amp;$C$7,Base!$A$3:$A$5001,"&lt;="&amp;$B186,Base!$L$3:$L$5001,"&lt;&gt;"))))</f>
        <v/>
      </c>
    </row>
    <row r="187">
      <c r="A187" s="147">
        <v>9</v>
      </c>
      <c r="B187" s="148">
        <f>$B$20</f>
        <v>46274</v>
      </c>
      <c r="C187" s="149">
        <f>IF($A187&gt;$B$9,"",IF(COUNTIFS(Base!$B$3:$B$5001,C$178,Base!$A$3:$A$5001,"&gt;="&amp;$C$7,Base!$A$3:$A$5001,"&lt;="&amp;$B187,Base!$L$3:$L$5001,"&lt;&gt;")=0,"",SUMIFS(Base!$L$3:$L$5001,Base!$B$3:$B$5001,C$178,Base!$A$3:$A$5001,_xlfn.MAXIFS(Base!$A$3:$A$5001,Base!$B$3:$B$5001,C$178,Base!$A$3:$A$5001,"&gt;="&amp;$C$7,Base!$A$3:$A$5001,"&lt;="&amp;$B187,Base!$L$3:$L$5001,"&lt;&gt;"))))</f>
        <v>1950</v>
      </c>
      <c r="D187" s="149">
        <f>IF($A187&gt;$B$9,"",IF(COUNTIFS(Base!$B$3:$B$5001,D$178,Base!$A$3:$A$5001,"&gt;="&amp;$C$7,Base!$A$3:$A$5001,"&lt;="&amp;$B187,Base!$L$3:$L$5001,"&lt;&gt;")=0,"",SUMIFS(Base!$L$3:$L$5001,Base!$B$3:$B$5001,D$178,Base!$A$3:$A$5001,_xlfn.MAXIFS(Base!$A$3:$A$5001,Base!$B$3:$B$5001,D$178,Base!$A$3:$A$5001,"&gt;="&amp;$C$7,Base!$A$3:$A$5001,"&lt;="&amp;$B187,Base!$L$3:$L$5001,"&lt;&gt;"))))</f>
        <v>800</v>
      </c>
      <c r="E187" s="149" t="str">
        <f>IF($A187&gt;$B$9,"",IF(COUNTIFS(Base!$B$3:$B$5001,E$178,Base!$A$3:$A$5001,"&gt;="&amp;$C$7,Base!$A$3:$A$5001,"&lt;="&amp;$B187,Base!$L$3:$L$5001,"&lt;&gt;")=0,"",SUMIFS(Base!$L$3:$L$5001,Base!$B$3:$B$5001,E$178,Base!$A$3:$A$5001,_xlfn.MAXIFS(Base!$A$3:$A$5001,Base!$B$3:$B$5001,E$178,Base!$A$3:$A$5001,"&gt;="&amp;$C$7,Base!$A$3:$A$5001,"&lt;="&amp;$B187,Base!$L$3:$L$5001,"&lt;&gt;"))))</f>
        <v/>
      </c>
      <c r="F187" s="149">
        <f>IF($A187&gt;$B$9,"",IF(COUNTIFS(Base!$B$3:$B$5001,F$178,Base!$A$3:$A$5001,"&gt;="&amp;$C$7,Base!$A$3:$A$5001,"&lt;="&amp;$B187,Base!$L$3:$L$5001,"&lt;&gt;")=0,"",SUMIFS(Base!$L$3:$L$5001,Base!$B$3:$B$5001,F$178,Base!$A$3:$A$5001,_xlfn.MAXIFS(Base!$A$3:$A$5001,Base!$B$3:$B$5001,F$178,Base!$A$3:$A$5001,"&gt;="&amp;$C$7,Base!$A$3:$A$5001,"&lt;="&amp;$B187,Base!$L$3:$L$5001,"&lt;&gt;"))))</f>
        <v>1400</v>
      </c>
      <c r="G187" s="149" t="str">
        <f>IF($A187&gt;$B$9,"",IF(COUNTIFS(Base!$B$3:$B$5001,G$178,Base!$A$3:$A$5001,"&gt;="&amp;$C$7,Base!$A$3:$A$5001,"&lt;="&amp;$B187,Base!$L$3:$L$5001,"&lt;&gt;")=0,"",SUMIFS(Base!$L$3:$L$5001,Base!$B$3:$B$5001,G$178,Base!$A$3:$A$5001,_xlfn.MAXIFS(Base!$A$3:$A$5001,Base!$B$3:$B$5001,G$178,Base!$A$3:$A$5001,"&gt;="&amp;$C$7,Base!$A$3:$A$5001,"&lt;="&amp;$B187,Base!$L$3:$L$5001,"&lt;&gt;"))))</f>
        <v/>
      </c>
    </row>
    <row r="188">
      <c r="A188" s="147">
        <v>10</v>
      </c>
      <c r="B188" s="148">
        <f>$B$21</f>
        <v>46275</v>
      </c>
      <c r="C188" s="149">
        <f>IF($A188&gt;$B$9,"",IF(COUNTIFS(Base!$B$3:$B$5001,C$178,Base!$A$3:$A$5001,"&gt;="&amp;$C$7,Base!$A$3:$A$5001,"&lt;="&amp;$B188,Base!$L$3:$L$5001,"&lt;&gt;")=0,"",SUMIFS(Base!$L$3:$L$5001,Base!$B$3:$B$5001,C$178,Base!$A$3:$A$5001,_xlfn.MAXIFS(Base!$A$3:$A$5001,Base!$B$3:$B$5001,C$178,Base!$A$3:$A$5001,"&gt;="&amp;$C$7,Base!$A$3:$A$5001,"&lt;="&amp;$B188,Base!$L$3:$L$5001,"&lt;&gt;"))))</f>
        <v>1950</v>
      </c>
      <c r="D188" s="149">
        <f>IF($A188&gt;$B$9,"",IF(COUNTIFS(Base!$B$3:$B$5001,D$178,Base!$A$3:$A$5001,"&gt;="&amp;$C$7,Base!$A$3:$A$5001,"&lt;="&amp;$B188,Base!$L$3:$L$5001,"&lt;&gt;")=0,"",SUMIFS(Base!$L$3:$L$5001,Base!$B$3:$B$5001,D$178,Base!$A$3:$A$5001,_xlfn.MAXIFS(Base!$A$3:$A$5001,Base!$B$3:$B$5001,D$178,Base!$A$3:$A$5001,"&gt;="&amp;$C$7,Base!$A$3:$A$5001,"&lt;="&amp;$B188,Base!$L$3:$L$5001,"&lt;&gt;"))))</f>
        <v>800</v>
      </c>
      <c r="E188" s="149" t="str">
        <f>IF($A188&gt;$B$9,"",IF(COUNTIFS(Base!$B$3:$B$5001,E$178,Base!$A$3:$A$5001,"&gt;="&amp;$C$7,Base!$A$3:$A$5001,"&lt;="&amp;$B188,Base!$L$3:$L$5001,"&lt;&gt;")=0,"",SUMIFS(Base!$L$3:$L$5001,Base!$B$3:$B$5001,E$178,Base!$A$3:$A$5001,_xlfn.MAXIFS(Base!$A$3:$A$5001,Base!$B$3:$B$5001,E$178,Base!$A$3:$A$5001,"&gt;="&amp;$C$7,Base!$A$3:$A$5001,"&lt;="&amp;$B188,Base!$L$3:$L$5001,"&lt;&gt;"))))</f>
        <v/>
      </c>
      <c r="F188" s="149">
        <f>IF($A188&gt;$B$9,"",IF(COUNTIFS(Base!$B$3:$B$5001,F$178,Base!$A$3:$A$5001,"&gt;="&amp;$C$7,Base!$A$3:$A$5001,"&lt;="&amp;$B188,Base!$L$3:$L$5001,"&lt;&gt;")=0,"",SUMIFS(Base!$L$3:$L$5001,Base!$B$3:$B$5001,F$178,Base!$A$3:$A$5001,_xlfn.MAXIFS(Base!$A$3:$A$5001,Base!$B$3:$B$5001,F$178,Base!$A$3:$A$5001,"&gt;="&amp;$C$7,Base!$A$3:$A$5001,"&lt;="&amp;$B188,Base!$L$3:$L$5001,"&lt;&gt;"))))</f>
        <v>1400</v>
      </c>
      <c r="G188" s="149" t="str">
        <f>IF($A188&gt;$B$9,"",IF(COUNTIFS(Base!$B$3:$B$5001,G$178,Base!$A$3:$A$5001,"&gt;="&amp;$C$7,Base!$A$3:$A$5001,"&lt;="&amp;$B188,Base!$L$3:$L$5001,"&lt;&gt;")=0,"",SUMIFS(Base!$L$3:$L$5001,Base!$B$3:$B$5001,G$178,Base!$A$3:$A$5001,_xlfn.MAXIFS(Base!$A$3:$A$5001,Base!$B$3:$B$5001,G$178,Base!$A$3:$A$5001,"&gt;="&amp;$C$7,Base!$A$3:$A$5001,"&lt;="&amp;$B188,Base!$L$3:$L$5001,"&lt;&gt;"))))</f>
        <v/>
      </c>
    </row>
    <row r="189">
      <c r="A189" s="147">
        <v>11</v>
      </c>
      <c r="B189" s="148">
        <f>$B$22</f>
        <v>46276</v>
      </c>
      <c r="C189" s="149">
        <f>IF($A189&gt;$B$9,"",IF(COUNTIFS(Base!$B$3:$B$5001,C$178,Base!$A$3:$A$5001,"&gt;="&amp;$C$7,Base!$A$3:$A$5001,"&lt;="&amp;$B189,Base!$L$3:$L$5001,"&lt;&gt;")=0,"",SUMIFS(Base!$L$3:$L$5001,Base!$B$3:$B$5001,C$178,Base!$A$3:$A$5001,_xlfn.MAXIFS(Base!$A$3:$A$5001,Base!$B$3:$B$5001,C$178,Base!$A$3:$A$5001,"&gt;="&amp;$C$7,Base!$A$3:$A$5001,"&lt;="&amp;$B189,Base!$L$3:$L$5001,"&lt;&gt;"))))</f>
        <v>1950</v>
      </c>
      <c r="D189" s="149">
        <f>IF($A189&gt;$B$9,"",IF(COUNTIFS(Base!$B$3:$B$5001,D$178,Base!$A$3:$A$5001,"&gt;="&amp;$C$7,Base!$A$3:$A$5001,"&lt;="&amp;$B189,Base!$L$3:$L$5001,"&lt;&gt;")=0,"",SUMIFS(Base!$L$3:$L$5001,Base!$B$3:$B$5001,D$178,Base!$A$3:$A$5001,_xlfn.MAXIFS(Base!$A$3:$A$5001,Base!$B$3:$B$5001,D$178,Base!$A$3:$A$5001,"&gt;="&amp;$C$7,Base!$A$3:$A$5001,"&lt;="&amp;$B189,Base!$L$3:$L$5001,"&lt;&gt;"))))</f>
        <v>800</v>
      </c>
      <c r="E189" s="149" t="str">
        <f>IF($A189&gt;$B$9,"",IF(COUNTIFS(Base!$B$3:$B$5001,E$178,Base!$A$3:$A$5001,"&gt;="&amp;$C$7,Base!$A$3:$A$5001,"&lt;="&amp;$B189,Base!$L$3:$L$5001,"&lt;&gt;")=0,"",SUMIFS(Base!$L$3:$L$5001,Base!$B$3:$B$5001,E$178,Base!$A$3:$A$5001,_xlfn.MAXIFS(Base!$A$3:$A$5001,Base!$B$3:$B$5001,E$178,Base!$A$3:$A$5001,"&gt;="&amp;$C$7,Base!$A$3:$A$5001,"&lt;="&amp;$B189,Base!$L$3:$L$5001,"&lt;&gt;"))))</f>
        <v/>
      </c>
      <c r="F189" s="149">
        <f>IF($A189&gt;$B$9,"",IF(COUNTIFS(Base!$B$3:$B$5001,F$178,Base!$A$3:$A$5001,"&gt;="&amp;$C$7,Base!$A$3:$A$5001,"&lt;="&amp;$B189,Base!$L$3:$L$5001,"&lt;&gt;")=0,"",SUMIFS(Base!$L$3:$L$5001,Base!$B$3:$B$5001,F$178,Base!$A$3:$A$5001,_xlfn.MAXIFS(Base!$A$3:$A$5001,Base!$B$3:$B$5001,F$178,Base!$A$3:$A$5001,"&gt;="&amp;$C$7,Base!$A$3:$A$5001,"&lt;="&amp;$B189,Base!$L$3:$L$5001,"&lt;&gt;"))))</f>
        <v>1400</v>
      </c>
      <c r="G189" s="149" t="str">
        <f>IF($A189&gt;$B$9,"",IF(COUNTIFS(Base!$B$3:$B$5001,G$178,Base!$A$3:$A$5001,"&gt;="&amp;$C$7,Base!$A$3:$A$5001,"&lt;="&amp;$B189,Base!$L$3:$L$5001,"&lt;&gt;")=0,"",SUMIFS(Base!$L$3:$L$5001,Base!$B$3:$B$5001,G$178,Base!$A$3:$A$5001,_xlfn.MAXIFS(Base!$A$3:$A$5001,Base!$B$3:$B$5001,G$178,Base!$A$3:$A$5001,"&gt;="&amp;$C$7,Base!$A$3:$A$5001,"&lt;="&amp;$B189,Base!$L$3:$L$5001,"&lt;&gt;"))))</f>
        <v/>
      </c>
    </row>
    <row r="190">
      <c r="A190" s="147">
        <v>12</v>
      </c>
      <c r="B190" s="148">
        <f>$B$23</f>
        <v>46277</v>
      </c>
      <c r="C190" s="149">
        <f>IF($A190&gt;$B$9,"",IF(COUNTIFS(Base!$B$3:$B$5001,C$178,Base!$A$3:$A$5001,"&gt;="&amp;$C$7,Base!$A$3:$A$5001,"&lt;="&amp;$B190,Base!$L$3:$L$5001,"&lt;&gt;")=0,"",SUMIFS(Base!$L$3:$L$5001,Base!$B$3:$B$5001,C$178,Base!$A$3:$A$5001,_xlfn.MAXIFS(Base!$A$3:$A$5001,Base!$B$3:$B$5001,C$178,Base!$A$3:$A$5001,"&gt;="&amp;$C$7,Base!$A$3:$A$5001,"&lt;="&amp;$B190,Base!$L$3:$L$5001,"&lt;&gt;"))))</f>
        <v>1950</v>
      </c>
      <c r="D190" s="149">
        <f>IF($A190&gt;$B$9,"",IF(COUNTIFS(Base!$B$3:$B$5001,D$178,Base!$A$3:$A$5001,"&gt;="&amp;$C$7,Base!$A$3:$A$5001,"&lt;="&amp;$B190,Base!$L$3:$L$5001,"&lt;&gt;")=0,"",SUMIFS(Base!$L$3:$L$5001,Base!$B$3:$B$5001,D$178,Base!$A$3:$A$5001,_xlfn.MAXIFS(Base!$A$3:$A$5001,Base!$B$3:$B$5001,D$178,Base!$A$3:$A$5001,"&gt;="&amp;$C$7,Base!$A$3:$A$5001,"&lt;="&amp;$B190,Base!$L$3:$L$5001,"&lt;&gt;"))))</f>
        <v>800</v>
      </c>
      <c r="E190" s="149" t="str">
        <f>IF($A190&gt;$B$9,"",IF(COUNTIFS(Base!$B$3:$B$5001,E$178,Base!$A$3:$A$5001,"&gt;="&amp;$C$7,Base!$A$3:$A$5001,"&lt;="&amp;$B190,Base!$L$3:$L$5001,"&lt;&gt;")=0,"",SUMIFS(Base!$L$3:$L$5001,Base!$B$3:$B$5001,E$178,Base!$A$3:$A$5001,_xlfn.MAXIFS(Base!$A$3:$A$5001,Base!$B$3:$B$5001,E$178,Base!$A$3:$A$5001,"&gt;="&amp;$C$7,Base!$A$3:$A$5001,"&lt;="&amp;$B190,Base!$L$3:$L$5001,"&lt;&gt;"))))</f>
        <v/>
      </c>
      <c r="F190" s="149">
        <f>IF($A190&gt;$B$9,"",IF(COUNTIFS(Base!$B$3:$B$5001,F$178,Base!$A$3:$A$5001,"&gt;="&amp;$C$7,Base!$A$3:$A$5001,"&lt;="&amp;$B190,Base!$L$3:$L$5001,"&lt;&gt;")=0,"",SUMIFS(Base!$L$3:$L$5001,Base!$B$3:$B$5001,F$178,Base!$A$3:$A$5001,_xlfn.MAXIFS(Base!$A$3:$A$5001,Base!$B$3:$B$5001,F$178,Base!$A$3:$A$5001,"&gt;="&amp;$C$7,Base!$A$3:$A$5001,"&lt;="&amp;$B190,Base!$L$3:$L$5001,"&lt;&gt;"))))</f>
        <v>1400</v>
      </c>
      <c r="G190" s="149" t="str">
        <f>IF($A190&gt;$B$9,"",IF(COUNTIFS(Base!$B$3:$B$5001,G$178,Base!$A$3:$A$5001,"&gt;="&amp;$C$7,Base!$A$3:$A$5001,"&lt;="&amp;$B190,Base!$L$3:$L$5001,"&lt;&gt;")=0,"",SUMIFS(Base!$L$3:$L$5001,Base!$B$3:$B$5001,G$178,Base!$A$3:$A$5001,_xlfn.MAXIFS(Base!$A$3:$A$5001,Base!$B$3:$B$5001,G$178,Base!$A$3:$A$5001,"&gt;="&amp;$C$7,Base!$A$3:$A$5001,"&lt;="&amp;$B190,Base!$L$3:$L$5001,"&lt;&gt;"))))</f>
        <v/>
      </c>
    </row>
    <row r="191">
      <c r="A191" s="147">
        <v>13</v>
      </c>
      <c r="B191" s="148">
        <f>$B$24</f>
        <v>46278</v>
      </c>
      <c r="C191" s="149">
        <f>IF($A191&gt;$B$9,"",IF(COUNTIFS(Base!$B$3:$B$5001,C$178,Base!$A$3:$A$5001,"&gt;="&amp;$C$7,Base!$A$3:$A$5001,"&lt;="&amp;$B191,Base!$L$3:$L$5001,"&lt;&gt;")=0,"",SUMIFS(Base!$L$3:$L$5001,Base!$B$3:$B$5001,C$178,Base!$A$3:$A$5001,_xlfn.MAXIFS(Base!$A$3:$A$5001,Base!$B$3:$B$5001,C$178,Base!$A$3:$A$5001,"&gt;="&amp;$C$7,Base!$A$3:$A$5001,"&lt;="&amp;$B191,Base!$L$3:$L$5001,"&lt;&gt;"))))</f>
        <v>1950</v>
      </c>
      <c r="D191" s="149">
        <f>IF($A191&gt;$B$9,"",IF(COUNTIFS(Base!$B$3:$B$5001,D$178,Base!$A$3:$A$5001,"&gt;="&amp;$C$7,Base!$A$3:$A$5001,"&lt;="&amp;$B191,Base!$L$3:$L$5001,"&lt;&gt;")=0,"",SUMIFS(Base!$L$3:$L$5001,Base!$B$3:$B$5001,D$178,Base!$A$3:$A$5001,_xlfn.MAXIFS(Base!$A$3:$A$5001,Base!$B$3:$B$5001,D$178,Base!$A$3:$A$5001,"&gt;="&amp;$C$7,Base!$A$3:$A$5001,"&lt;="&amp;$B191,Base!$L$3:$L$5001,"&lt;&gt;"))))</f>
        <v>800</v>
      </c>
      <c r="E191" s="149" t="str">
        <f>IF($A191&gt;$B$9,"",IF(COUNTIFS(Base!$B$3:$B$5001,E$178,Base!$A$3:$A$5001,"&gt;="&amp;$C$7,Base!$A$3:$A$5001,"&lt;="&amp;$B191,Base!$L$3:$L$5001,"&lt;&gt;")=0,"",SUMIFS(Base!$L$3:$L$5001,Base!$B$3:$B$5001,E$178,Base!$A$3:$A$5001,_xlfn.MAXIFS(Base!$A$3:$A$5001,Base!$B$3:$B$5001,E$178,Base!$A$3:$A$5001,"&gt;="&amp;$C$7,Base!$A$3:$A$5001,"&lt;="&amp;$B191,Base!$L$3:$L$5001,"&lt;&gt;"))))</f>
        <v/>
      </c>
      <c r="F191" s="149">
        <f>IF($A191&gt;$B$9,"",IF(COUNTIFS(Base!$B$3:$B$5001,F$178,Base!$A$3:$A$5001,"&gt;="&amp;$C$7,Base!$A$3:$A$5001,"&lt;="&amp;$B191,Base!$L$3:$L$5001,"&lt;&gt;")=0,"",SUMIFS(Base!$L$3:$L$5001,Base!$B$3:$B$5001,F$178,Base!$A$3:$A$5001,_xlfn.MAXIFS(Base!$A$3:$A$5001,Base!$B$3:$B$5001,F$178,Base!$A$3:$A$5001,"&gt;="&amp;$C$7,Base!$A$3:$A$5001,"&lt;="&amp;$B191,Base!$L$3:$L$5001,"&lt;&gt;"))))</f>
        <v>1400</v>
      </c>
      <c r="G191" s="149" t="str">
        <f>IF($A191&gt;$B$9,"",IF(COUNTIFS(Base!$B$3:$B$5001,G$178,Base!$A$3:$A$5001,"&gt;="&amp;$C$7,Base!$A$3:$A$5001,"&lt;="&amp;$B191,Base!$L$3:$L$5001,"&lt;&gt;")=0,"",SUMIFS(Base!$L$3:$L$5001,Base!$B$3:$B$5001,G$178,Base!$A$3:$A$5001,_xlfn.MAXIFS(Base!$A$3:$A$5001,Base!$B$3:$B$5001,G$178,Base!$A$3:$A$5001,"&gt;="&amp;$C$7,Base!$A$3:$A$5001,"&lt;="&amp;$B191,Base!$L$3:$L$5001,"&lt;&gt;"))))</f>
        <v/>
      </c>
    </row>
    <row r="192">
      <c r="A192" s="147">
        <v>14</v>
      </c>
      <c r="B192" s="148">
        <f>$B$25</f>
        <v>46279</v>
      </c>
      <c r="C192" s="149">
        <f>IF($A192&gt;$B$9,"",IF(COUNTIFS(Base!$B$3:$B$5001,C$178,Base!$A$3:$A$5001,"&gt;="&amp;$C$7,Base!$A$3:$A$5001,"&lt;="&amp;$B192,Base!$L$3:$L$5001,"&lt;&gt;")=0,"",SUMIFS(Base!$L$3:$L$5001,Base!$B$3:$B$5001,C$178,Base!$A$3:$A$5001,_xlfn.MAXIFS(Base!$A$3:$A$5001,Base!$B$3:$B$5001,C$178,Base!$A$3:$A$5001,"&gt;="&amp;$C$7,Base!$A$3:$A$5001,"&lt;="&amp;$B192,Base!$L$3:$L$5001,"&lt;&gt;"))))</f>
        <v>1950</v>
      </c>
      <c r="D192" s="149">
        <f>IF($A192&gt;$B$9,"",IF(COUNTIFS(Base!$B$3:$B$5001,D$178,Base!$A$3:$A$5001,"&gt;="&amp;$C$7,Base!$A$3:$A$5001,"&lt;="&amp;$B192,Base!$L$3:$L$5001,"&lt;&gt;")=0,"",SUMIFS(Base!$L$3:$L$5001,Base!$B$3:$B$5001,D$178,Base!$A$3:$A$5001,_xlfn.MAXIFS(Base!$A$3:$A$5001,Base!$B$3:$B$5001,D$178,Base!$A$3:$A$5001,"&gt;="&amp;$C$7,Base!$A$3:$A$5001,"&lt;="&amp;$B192,Base!$L$3:$L$5001,"&lt;&gt;"))))</f>
        <v>800</v>
      </c>
      <c r="E192" s="149" t="str">
        <f>IF($A192&gt;$B$9,"",IF(COUNTIFS(Base!$B$3:$B$5001,E$178,Base!$A$3:$A$5001,"&gt;="&amp;$C$7,Base!$A$3:$A$5001,"&lt;="&amp;$B192,Base!$L$3:$L$5001,"&lt;&gt;")=0,"",SUMIFS(Base!$L$3:$L$5001,Base!$B$3:$B$5001,E$178,Base!$A$3:$A$5001,_xlfn.MAXIFS(Base!$A$3:$A$5001,Base!$B$3:$B$5001,E$178,Base!$A$3:$A$5001,"&gt;="&amp;$C$7,Base!$A$3:$A$5001,"&lt;="&amp;$B192,Base!$L$3:$L$5001,"&lt;&gt;"))))</f>
        <v/>
      </c>
      <c r="F192" s="149">
        <f>IF($A192&gt;$B$9,"",IF(COUNTIFS(Base!$B$3:$B$5001,F$178,Base!$A$3:$A$5001,"&gt;="&amp;$C$7,Base!$A$3:$A$5001,"&lt;="&amp;$B192,Base!$L$3:$L$5001,"&lt;&gt;")=0,"",SUMIFS(Base!$L$3:$L$5001,Base!$B$3:$B$5001,F$178,Base!$A$3:$A$5001,_xlfn.MAXIFS(Base!$A$3:$A$5001,Base!$B$3:$B$5001,F$178,Base!$A$3:$A$5001,"&gt;="&amp;$C$7,Base!$A$3:$A$5001,"&lt;="&amp;$B192,Base!$L$3:$L$5001,"&lt;&gt;"))))</f>
        <v>1400</v>
      </c>
      <c r="G192" s="149" t="str">
        <f>IF($A192&gt;$B$9,"",IF(COUNTIFS(Base!$B$3:$B$5001,G$178,Base!$A$3:$A$5001,"&gt;="&amp;$C$7,Base!$A$3:$A$5001,"&lt;="&amp;$B192,Base!$L$3:$L$5001,"&lt;&gt;")=0,"",SUMIFS(Base!$L$3:$L$5001,Base!$B$3:$B$5001,G$178,Base!$A$3:$A$5001,_xlfn.MAXIFS(Base!$A$3:$A$5001,Base!$B$3:$B$5001,G$178,Base!$A$3:$A$5001,"&gt;="&amp;$C$7,Base!$A$3:$A$5001,"&lt;="&amp;$B192,Base!$L$3:$L$5001,"&lt;&gt;"))))</f>
        <v/>
      </c>
    </row>
    <row r="193">
      <c r="A193" s="147">
        <v>15</v>
      </c>
      <c r="B193" s="148">
        <f>$B$26</f>
        <v>46280</v>
      </c>
      <c r="C193" s="149">
        <f>IF($A193&gt;$B$9,"",IF(COUNTIFS(Base!$B$3:$B$5001,C$178,Base!$A$3:$A$5001,"&gt;="&amp;$C$7,Base!$A$3:$A$5001,"&lt;="&amp;$B193,Base!$L$3:$L$5001,"&lt;&gt;")=0,"",SUMIFS(Base!$L$3:$L$5001,Base!$B$3:$B$5001,C$178,Base!$A$3:$A$5001,_xlfn.MAXIFS(Base!$A$3:$A$5001,Base!$B$3:$B$5001,C$178,Base!$A$3:$A$5001,"&gt;="&amp;$C$7,Base!$A$3:$A$5001,"&lt;="&amp;$B193,Base!$L$3:$L$5001,"&lt;&gt;"))))</f>
        <v>1950</v>
      </c>
      <c r="D193" s="149">
        <f>IF($A193&gt;$B$9,"",IF(COUNTIFS(Base!$B$3:$B$5001,D$178,Base!$A$3:$A$5001,"&gt;="&amp;$C$7,Base!$A$3:$A$5001,"&lt;="&amp;$B193,Base!$L$3:$L$5001,"&lt;&gt;")=0,"",SUMIFS(Base!$L$3:$L$5001,Base!$B$3:$B$5001,D$178,Base!$A$3:$A$5001,_xlfn.MAXIFS(Base!$A$3:$A$5001,Base!$B$3:$B$5001,D$178,Base!$A$3:$A$5001,"&gt;="&amp;$C$7,Base!$A$3:$A$5001,"&lt;="&amp;$B193,Base!$L$3:$L$5001,"&lt;&gt;"))))</f>
        <v>800</v>
      </c>
      <c r="E193" s="149" t="str">
        <f>IF($A193&gt;$B$9,"",IF(COUNTIFS(Base!$B$3:$B$5001,E$178,Base!$A$3:$A$5001,"&gt;="&amp;$C$7,Base!$A$3:$A$5001,"&lt;="&amp;$B193,Base!$L$3:$L$5001,"&lt;&gt;")=0,"",SUMIFS(Base!$L$3:$L$5001,Base!$B$3:$B$5001,E$178,Base!$A$3:$A$5001,_xlfn.MAXIFS(Base!$A$3:$A$5001,Base!$B$3:$B$5001,E$178,Base!$A$3:$A$5001,"&gt;="&amp;$C$7,Base!$A$3:$A$5001,"&lt;="&amp;$B193,Base!$L$3:$L$5001,"&lt;&gt;"))))</f>
        <v/>
      </c>
      <c r="F193" s="149">
        <f>IF($A193&gt;$B$9,"",IF(COUNTIFS(Base!$B$3:$B$5001,F$178,Base!$A$3:$A$5001,"&gt;="&amp;$C$7,Base!$A$3:$A$5001,"&lt;="&amp;$B193,Base!$L$3:$L$5001,"&lt;&gt;")=0,"",SUMIFS(Base!$L$3:$L$5001,Base!$B$3:$B$5001,F$178,Base!$A$3:$A$5001,_xlfn.MAXIFS(Base!$A$3:$A$5001,Base!$B$3:$B$5001,F$178,Base!$A$3:$A$5001,"&gt;="&amp;$C$7,Base!$A$3:$A$5001,"&lt;="&amp;$B193,Base!$L$3:$L$5001,"&lt;&gt;"))))</f>
        <v>1400</v>
      </c>
      <c r="G193" s="149" t="str">
        <f>IF($A193&gt;$B$9,"",IF(COUNTIFS(Base!$B$3:$B$5001,G$178,Base!$A$3:$A$5001,"&gt;="&amp;$C$7,Base!$A$3:$A$5001,"&lt;="&amp;$B193,Base!$L$3:$L$5001,"&lt;&gt;")=0,"",SUMIFS(Base!$L$3:$L$5001,Base!$B$3:$B$5001,G$178,Base!$A$3:$A$5001,_xlfn.MAXIFS(Base!$A$3:$A$5001,Base!$B$3:$B$5001,G$178,Base!$A$3:$A$5001,"&gt;="&amp;$C$7,Base!$A$3:$A$5001,"&lt;="&amp;$B193,Base!$L$3:$L$5001,"&lt;&gt;"))))</f>
        <v/>
      </c>
    </row>
    <row r="194">
      <c r="A194" s="147">
        <v>16</v>
      </c>
      <c r="B194" s="148">
        <f>$B$27</f>
        <v>46281</v>
      </c>
      <c r="C194" s="149">
        <f>IF($A194&gt;$B$9,"",IF(COUNTIFS(Base!$B$3:$B$5001,C$178,Base!$A$3:$A$5001,"&gt;="&amp;$C$7,Base!$A$3:$A$5001,"&lt;="&amp;$B194,Base!$L$3:$L$5001,"&lt;&gt;")=0,"",SUMIFS(Base!$L$3:$L$5001,Base!$B$3:$B$5001,C$178,Base!$A$3:$A$5001,_xlfn.MAXIFS(Base!$A$3:$A$5001,Base!$B$3:$B$5001,C$178,Base!$A$3:$A$5001,"&gt;="&amp;$C$7,Base!$A$3:$A$5001,"&lt;="&amp;$B194,Base!$L$3:$L$5001,"&lt;&gt;"))))</f>
        <v>1950</v>
      </c>
      <c r="D194" s="149">
        <f>IF($A194&gt;$B$9,"",IF(COUNTIFS(Base!$B$3:$B$5001,D$178,Base!$A$3:$A$5001,"&gt;="&amp;$C$7,Base!$A$3:$A$5001,"&lt;="&amp;$B194,Base!$L$3:$L$5001,"&lt;&gt;")=0,"",SUMIFS(Base!$L$3:$L$5001,Base!$B$3:$B$5001,D$178,Base!$A$3:$A$5001,_xlfn.MAXIFS(Base!$A$3:$A$5001,Base!$B$3:$B$5001,D$178,Base!$A$3:$A$5001,"&gt;="&amp;$C$7,Base!$A$3:$A$5001,"&lt;="&amp;$B194,Base!$L$3:$L$5001,"&lt;&gt;"))))</f>
        <v>800</v>
      </c>
      <c r="E194" s="149" t="str">
        <f>IF($A194&gt;$B$9,"",IF(COUNTIFS(Base!$B$3:$B$5001,E$178,Base!$A$3:$A$5001,"&gt;="&amp;$C$7,Base!$A$3:$A$5001,"&lt;="&amp;$B194,Base!$L$3:$L$5001,"&lt;&gt;")=0,"",SUMIFS(Base!$L$3:$L$5001,Base!$B$3:$B$5001,E$178,Base!$A$3:$A$5001,_xlfn.MAXIFS(Base!$A$3:$A$5001,Base!$B$3:$B$5001,E$178,Base!$A$3:$A$5001,"&gt;="&amp;$C$7,Base!$A$3:$A$5001,"&lt;="&amp;$B194,Base!$L$3:$L$5001,"&lt;&gt;"))))</f>
        <v/>
      </c>
      <c r="F194" s="149">
        <f>IF($A194&gt;$B$9,"",IF(COUNTIFS(Base!$B$3:$B$5001,F$178,Base!$A$3:$A$5001,"&gt;="&amp;$C$7,Base!$A$3:$A$5001,"&lt;="&amp;$B194,Base!$L$3:$L$5001,"&lt;&gt;")=0,"",SUMIFS(Base!$L$3:$L$5001,Base!$B$3:$B$5001,F$178,Base!$A$3:$A$5001,_xlfn.MAXIFS(Base!$A$3:$A$5001,Base!$B$3:$B$5001,F$178,Base!$A$3:$A$5001,"&gt;="&amp;$C$7,Base!$A$3:$A$5001,"&lt;="&amp;$B194,Base!$L$3:$L$5001,"&lt;&gt;"))))</f>
        <v>1400</v>
      </c>
      <c r="G194" s="149" t="str">
        <f>IF($A194&gt;$B$9,"",IF(COUNTIFS(Base!$B$3:$B$5001,G$178,Base!$A$3:$A$5001,"&gt;="&amp;$C$7,Base!$A$3:$A$5001,"&lt;="&amp;$B194,Base!$L$3:$L$5001,"&lt;&gt;")=0,"",SUMIFS(Base!$L$3:$L$5001,Base!$B$3:$B$5001,G$178,Base!$A$3:$A$5001,_xlfn.MAXIFS(Base!$A$3:$A$5001,Base!$B$3:$B$5001,G$178,Base!$A$3:$A$5001,"&gt;="&amp;$C$7,Base!$A$3:$A$5001,"&lt;="&amp;$B194,Base!$L$3:$L$5001,"&lt;&gt;"))))</f>
        <v/>
      </c>
    </row>
    <row r="195">
      <c r="A195" s="147">
        <v>17</v>
      </c>
      <c r="B195" s="148">
        <f>$B$28</f>
        <v>46282</v>
      </c>
      <c r="C195" s="149">
        <f>IF($A195&gt;$B$9,"",IF(COUNTIFS(Base!$B$3:$B$5001,C$178,Base!$A$3:$A$5001,"&gt;="&amp;$C$7,Base!$A$3:$A$5001,"&lt;="&amp;$B195,Base!$L$3:$L$5001,"&lt;&gt;")=0,"",SUMIFS(Base!$L$3:$L$5001,Base!$B$3:$B$5001,C$178,Base!$A$3:$A$5001,_xlfn.MAXIFS(Base!$A$3:$A$5001,Base!$B$3:$B$5001,C$178,Base!$A$3:$A$5001,"&gt;="&amp;$C$7,Base!$A$3:$A$5001,"&lt;="&amp;$B195,Base!$L$3:$L$5001,"&lt;&gt;"))))</f>
        <v>1950</v>
      </c>
      <c r="D195" s="149">
        <f>IF($A195&gt;$B$9,"",IF(COUNTIFS(Base!$B$3:$B$5001,D$178,Base!$A$3:$A$5001,"&gt;="&amp;$C$7,Base!$A$3:$A$5001,"&lt;="&amp;$B195,Base!$L$3:$L$5001,"&lt;&gt;")=0,"",SUMIFS(Base!$L$3:$L$5001,Base!$B$3:$B$5001,D$178,Base!$A$3:$A$5001,_xlfn.MAXIFS(Base!$A$3:$A$5001,Base!$B$3:$B$5001,D$178,Base!$A$3:$A$5001,"&gt;="&amp;$C$7,Base!$A$3:$A$5001,"&lt;="&amp;$B195,Base!$L$3:$L$5001,"&lt;&gt;"))))</f>
        <v>800</v>
      </c>
      <c r="E195" s="149" t="str">
        <f>IF($A195&gt;$B$9,"",IF(COUNTIFS(Base!$B$3:$B$5001,E$178,Base!$A$3:$A$5001,"&gt;="&amp;$C$7,Base!$A$3:$A$5001,"&lt;="&amp;$B195,Base!$L$3:$L$5001,"&lt;&gt;")=0,"",SUMIFS(Base!$L$3:$L$5001,Base!$B$3:$B$5001,E$178,Base!$A$3:$A$5001,_xlfn.MAXIFS(Base!$A$3:$A$5001,Base!$B$3:$B$5001,E$178,Base!$A$3:$A$5001,"&gt;="&amp;$C$7,Base!$A$3:$A$5001,"&lt;="&amp;$B195,Base!$L$3:$L$5001,"&lt;&gt;"))))</f>
        <v/>
      </c>
      <c r="F195" s="149">
        <f>IF($A195&gt;$B$9,"",IF(COUNTIFS(Base!$B$3:$B$5001,F$178,Base!$A$3:$A$5001,"&gt;="&amp;$C$7,Base!$A$3:$A$5001,"&lt;="&amp;$B195,Base!$L$3:$L$5001,"&lt;&gt;")=0,"",SUMIFS(Base!$L$3:$L$5001,Base!$B$3:$B$5001,F$178,Base!$A$3:$A$5001,_xlfn.MAXIFS(Base!$A$3:$A$5001,Base!$B$3:$B$5001,F$178,Base!$A$3:$A$5001,"&gt;="&amp;$C$7,Base!$A$3:$A$5001,"&lt;="&amp;$B195,Base!$L$3:$L$5001,"&lt;&gt;"))))</f>
        <v>1400</v>
      </c>
      <c r="G195" s="149" t="str">
        <f>IF($A195&gt;$B$9,"",IF(COUNTIFS(Base!$B$3:$B$5001,G$178,Base!$A$3:$A$5001,"&gt;="&amp;$C$7,Base!$A$3:$A$5001,"&lt;="&amp;$B195,Base!$L$3:$L$5001,"&lt;&gt;")=0,"",SUMIFS(Base!$L$3:$L$5001,Base!$B$3:$B$5001,G$178,Base!$A$3:$A$5001,_xlfn.MAXIFS(Base!$A$3:$A$5001,Base!$B$3:$B$5001,G$178,Base!$A$3:$A$5001,"&gt;="&amp;$C$7,Base!$A$3:$A$5001,"&lt;="&amp;$B195,Base!$L$3:$L$5001,"&lt;&gt;"))))</f>
        <v/>
      </c>
    </row>
    <row r="196">
      <c r="A196" s="147">
        <v>18</v>
      </c>
      <c r="B196" s="148">
        <f>$B$29</f>
        <v>46283</v>
      </c>
      <c r="C196" s="149">
        <f>IF($A196&gt;$B$9,"",IF(COUNTIFS(Base!$B$3:$B$5001,C$178,Base!$A$3:$A$5001,"&gt;="&amp;$C$7,Base!$A$3:$A$5001,"&lt;="&amp;$B196,Base!$L$3:$L$5001,"&lt;&gt;")=0,"",SUMIFS(Base!$L$3:$L$5001,Base!$B$3:$B$5001,C$178,Base!$A$3:$A$5001,_xlfn.MAXIFS(Base!$A$3:$A$5001,Base!$B$3:$B$5001,C$178,Base!$A$3:$A$5001,"&gt;="&amp;$C$7,Base!$A$3:$A$5001,"&lt;="&amp;$B196,Base!$L$3:$L$5001,"&lt;&gt;"))))</f>
        <v>1950</v>
      </c>
      <c r="D196" s="149">
        <f>IF($A196&gt;$B$9,"",IF(COUNTIFS(Base!$B$3:$B$5001,D$178,Base!$A$3:$A$5001,"&gt;="&amp;$C$7,Base!$A$3:$A$5001,"&lt;="&amp;$B196,Base!$L$3:$L$5001,"&lt;&gt;")=0,"",SUMIFS(Base!$L$3:$L$5001,Base!$B$3:$B$5001,D$178,Base!$A$3:$A$5001,_xlfn.MAXIFS(Base!$A$3:$A$5001,Base!$B$3:$B$5001,D$178,Base!$A$3:$A$5001,"&gt;="&amp;$C$7,Base!$A$3:$A$5001,"&lt;="&amp;$B196,Base!$L$3:$L$5001,"&lt;&gt;"))))</f>
        <v>800</v>
      </c>
      <c r="E196" s="149" t="str">
        <f>IF($A196&gt;$B$9,"",IF(COUNTIFS(Base!$B$3:$B$5001,E$178,Base!$A$3:$A$5001,"&gt;="&amp;$C$7,Base!$A$3:$A$5001,"&lt;="&amp;$B196,Base!$L$3:$L$5001,"&lt;&gt;")=0,"",SUMIFS(Base!$L$3:$L$5001,Base!$B$3:$B$5001,E$178,Base!$A$3:$A$5001,_xlfn.MAXIFS(Base!$A$3:$A$5001,Base!$B$3:$B$5001,E$178,Base!$A$3:$A$5001,"&gt;="&amp;$C$7,Base!$A$3:$A$5001,"&lt;="&amp;$B196,Base!$L$3:$L$5001,"&lt;&gt;"))))</f>
        <v/>
      </c>
      <c r="F196" s="149">
        <f>IF($A196&gt;$B$9,"",IF(COUNTIFS(Base!$B$3:$B$5001,F$178,Base!$A$3:$A$5001,"&gt;="&amp;$C$7,Base!$A$3:$A$5001,"&lt;="&amp;$B196,Base!$L$3:$L$5001,"&lt;&gt;")=0,"",SUMIFS(Base!$L$3:$L$5001,Base!$B$3:$B$5001,F$178,Base!$A$3:$A$5001,_xlfn.MAXIFS(Base!$A$3:$A$5001,Base!$B$3:$B$5001,F$178,Base!$A$3:$A$5001,"&gt;="&amp;$C$7,Base!$A$3:$A$5001,"&lt;="&amp;$B196,Base!$L$3:$L$5001,"&lt;&gt;"))))</f>
        <v>1400</v>
      </c>
      <c r="G196" s="149" t="str">
        <f>IF($A196&gt;$B$9,"",IF(COUNTIFS(Base!$B$3:$B$5001,G$178,Base!$A$3:$A$5001,"&gt;="&amp;$C$7,Base!$A$3:$A$5001,"&lt;="&amp;$B196,Base!$L$3:$L$5001,"&lt;&gt;")=0,"",SUMIFS(Base!$L$3:$L$5001,Base!$B$3:$B$5001,G$178,Base!$A$3:$A$5001,_xlfn.MAXIFS(Base!$A$3:$A$5001,Base!$B$3:$B$5001,G$178,Base!$A$3:$A$5001,"&gt;="&amp;$C$7,Base!$A$3:$A$5001,"&lt;="&amp;$B196,Base!$L$3:$L$5001,"&lt;&gt;"))))</f>
        <v/>
      </c>
    </row>
    <row r="197">
      <c r="A197" s="147">
        <v>19</v>
      </c>
      <c r="B197" s="148">
        <f>$B$30</f>
        <v>46284</v>
      </c>
      <c r="C197" s="149">
        <f>IF($A197&gt;$B$9,"",IF(COUNTIFS(Base!$B$3:$B$5001,C$178,Base!$A$3:$A$5001,"&gt;="&amp;$C$7,Base!$A$3:$A$5001,"&lt;="&amp;$B197,Base!$L$3:$L$5001,"&lt;&gt;")=0,"",SUMIFS(Base!$L$3:$L$5001,Base!$B$3:$B$5001,C$178,Base!$A$3:$A$5001,_xlfn.MAXIFS(Base!$A$3:$A$5001,Base!$B$3:$B$5001,C$178,Base!$A$3:$A$5001,"&gt;="&amp;$C$7,Base!$A$3:$A$5001,"&lt;="&amp;$B197,Base!$L$3:$L$5001,"&lt;&gt;"))))</f>
        <v>1950</v>
      </c>
      <c r="D197" s="149">
        <f>IF($A197&gt;$B$9,"",IF(COUNTIFS(Base!$B$3:$B$5001,D$178,Base!$A$3:$A$5001,"&gt;="&amp;$C$7,Base!$A$3:$A$5001,"&lt;="&amp;$B197,Base!$L$3:$L$5001,"&lt;&gt;")=0,"",SUMIFS(Base!$L$3:$L$5001,Base!$B$3:$B$5001,D$178,Base!$A$3:$A$5001,_xlfn.MAXIFS(Base!$A$3:$A$5001,Base!$B$3:$B$5001,D$178,Base!$A$3:$A$5001,"&gt;="&amp;$C$7,Base!$A$3:$A$5001,"&lt;="&amp;$B197,Base!$L$3:$L$5001,"&lt;&gt;"))))</f>
        <v>800</v>
      </c>
      <c r="E197" s="149" t="str">
        <f>IF($A197&gt;$B$9,"",IF(COUNTIFS(Base!$B$3:$B$5001,E$178,Base!$A$3:$A$5001,"&gt;="&amp;$C$7,Base!$A$3:$A$5001,"&lt;="&amp;$B197,Base!$L$3:$L$5001,"&lt;&gt;")=0,"",SUMIFS(Base!$L$3:$L$5001,Base!$B$3:$B$5001,E$178,Base!$A$3:$A$5001,_xlfn.MAXIFS(Base!$A$3:$A$5001,Base!$B$3:$B$5001,E$178,Base!$A$3:$A$5001,"&gt;="&amp;$C$7,Base!$A$3:$A$5001,"&lt;="&amp;$B197,Base!$L$3:$L$5001,"&lt;&gt;"))))</f>
        <v/>
      </c>
      <c r="F197" s="149">
        <f>IF($A197&gt;$B$9,"",IF(COUNTIFS(Base!$B$3:$B$5001,F$178,Base!$A$3:$A$5001,"&gt;="&amp;$C$7,Base!$A$3:$A$5001,"&lt;="&amp;$B197,Base!$L$3:$L$5001,"&lt;&gt;")=0,"",SUMIFS(Base!$L$3:$L$5001,Base!$B$3:$B$5001,F$178,Base!$A$3:$A$5001,_xlfn.MAXIFS(Base!$A$3:$A$5001,Base!$B$3:$B$5001,F$178,Base!$A$3:$A$5001,"&gt;="&amp;$C$7,Base!$A$3:$A$5001,"&lt;="&amp;$B197,Base!$L$3:$L$5001,"&lt;&gt;"))))</f>
        <v>1400</v>
      </c>
      <c r="G197" s="149" t="str">
        <f>IF($A197&gt;$B$9,"",IF(COUNTIFS(Base!$B$3:$B$5001,G$178,Base!$A$3:$A$5001,"&gt;="&amp;$C$7,Base!$A$3:$A$5001,"&lt;="&amp;$B197,Base!$L$3:$L$5001,"&lt;&gt;")=0,"",SUMIFS(Base!$L$3:$L$5001,Base!$B$3:$B$5001,G$178,Base!$A$3:$A$5001,_xlfn.MAXIFS(Base!$A$3:$A$5001,Base!$B$3:$B$5001,G$178,Base!$A$3:$A$5001,"&gt;="&amp;$C$7,Base!$A$3:$A$5001,"&lt;="&amp;$B197,Base!$L$3:$L$5001,"&lt;&gt;"))))</f>
        <v/>
      </c>
    </row>
    <row r="198">
      <c r="A198" s="147">
        <v>20</v>
      </c>
      <c r="B198" s="148">
        <f>$B$31</f>
        <v>46285</v>
      </c>
      <c r="C198" s="149">
        <f>IF($A198&gt;$B$9,"",IF(COUNTIFS(Base!$B$3:$B$5001,C$178,Base!$A$3:$A$5001,"&gt;="&amp;$C$7,Base!$A$3:$A$5001,"&lt;="&amp;$B198,Base!$L$3:$L$5001,"&lt;&gt;")=0,"",SUMIFS(Base!$L$3:$L$5001,Base!$B$3:$B$5001,C$178,Base!$A$3:$A$5001,_xlfn.MAXIFS(Base!$A$3:$A$5001,Base!$B$3:$B$5001,C$178,Base!$A$3:$A$5001,"&gt;="&amp;$C$7,Base!$A$3:$A$5001,"&lt;="&amp;$B198,Base!$L$3:$L$5001,"&lt;&gt;"))))</f>
        <v>1950</v>
      </c>
      <c r="D198" s="149">
        <f>IF($A198&gt;$B$9,"",IF(COUNTIFS(Base!$B$3:$B$5001,D$178,Base!$A$3:$A$5001,"&gt;="&amp;$C$7,Base!$A$3:$A$5001,"&lt;="&amp;$B198,Base!$L$3:$L$5001,"&lt;&gt;")=0,"",SUMIFS(Base!$L$3:$L$5001,Base!$B$3:$B$5001,D$178,Base!$A$3:$A$5001,_xlfn.MAXIFS(Base!$A$3:$A$5001,Base!$B$3:$B$5001,D$178,Base!$A$3:$A$5001,"&gt;="&amp;$C$7,Base!$A$3:$A$5001,"&lt;="&amp;$B198,Base!$L$3:$L$5001,"&lt;&gt;"))))</f>
        <v>800</v>
      </c>
      <c r="E198" s="149" t="str">
        <f>IF($A198&gt;$B$9,"",IF(COUNTIFS(Base!$B$3:$B$5001,E$178,Base!$A$3:$A$5001,"&gt;="&amp;$C$7,Base!$A$3:$A$5001,"&lt;="&amp;$B198,Base!$L$3:$L$5001,"&lt;&gt;")=0,"",SUMIFS(Base!$L$3:$L$5001,Base!$B$3:$B$5001,E$178,Base!$A$3:$A$5001,_xlfn.MAXIFS(Base!$A$3:$A$5001,Base!$B$3:$B$5001,E$178,Base!$A$3:$A$5001,"&gt;="&amp;$C$7,Base!$A$3:$A$5001,"&lt;="&amp;$B198,Base!$L$3:$L$5001,"&lt;&gt;"))))</f>
        <v/>
      </c>
      <c r="F198" s="149">
        <f>IF($A198&gt;$B$9,"",IF(COUNTIFS(Base!$B$3:$B$5001,F$178,Base!$A$3:$A$5001,"&gt;="&amp;$C$7,Base!$A$3:$A$5001,"&lt;="&amp;$B198,Base!$L$3:$L$5001,"&lt;&gt;")=0,"",SUMIFS(Base!$L$3:$L$5001,Base!$B$3:$B$5001,F$178,Base!$A$3:$A$5001,_xlfn.MAXIFS(Base!$A$3:$A$5001,Base!$B$3:$B$5001,F$178,Base!$A$3:$A$5001,"&gt;="&amp;$C$7,Base!$A$3:$A$5001,"&lt;="&amp;$B198,Base!$L$3:$L$5001,"&lt;&gt;"))))</f>
        <v>1400</v>
      </c>
      <c r="G198" s="149" t="str">
        <f>IF($A198&gt;$B$9,"",IF(COUNTIFS(Base!$B$3:$B$5001,G$178,Base!$A$3:$A$5001,"&gt;="&amp;$C$7,Base!$A$3:$A$5001,"&lt;="&amp;$B198,Base!$L$3:$L$5001,"&lt;&gt;")=0,"",SUMIFS(Base!$L$3:$L$5001,Base!$B$3:$B$5001,G$178,Base!$A$3:$A$5001,_xlfn.MAXIFS(Base!$A$3:$A$5001,Base!$B$3:$B$5001,G$178,Base!$A$3:$A$5001,"&gt;="&amp;$C$7,Base!$A$3:$A$5001,"&lt;="&amp;$B198,Base!$L$3:$L$5001,"&lt;&gt;"))))</f>
        <v/>
      </c>
    </row>
    <row r="199">
      <c r="A199" s="147">
        <v>21</v>
      </c>
      <c r="B199" s="148">
        <f>$B$32</f>
        <v>46286</v>
      </c>
      <c r="C199" s="149">
        <f>IF($A199&gt;$B$9,"",IF(COUNTIFS(Base!$B$3:$B$5001,C$178,Base!$A$3:$A$5001,"&gt;="&amp;$C$7,Base!$A$3:$A$5001,"&lt;="&amp;$B199,Base!$L$3:$L$5001,"&lt;&gt;")=0,"",SUMIFS(Base!$L$3:$L$5001,Base!$B$3:$B$5001,C$178,Base!$A$3:$A$5001,_xlfn.MAXIFS(Base!$A$3:$A$5001,Base!$B$3:$B$5001,C$178,Base!$A$3:$A$5001,"&gt;="&amp;$C$7,Base!$A$3:$A$5001,"&lt;="&amp;$B199,Base!$L$3:$L$5001,"&lt;&gt;"))))</f>
        <v>1950</v>
      </c>
      <c r="D199" s="149">
        <f>IF($A199&gt;$B$9,"",IF(COUNTIFS(Base!$B$3:$B$5001,D$178,Base!$A$3:$A$5001,"&gt;="&amp;$C$7,Base!$A$3:$A$5001,"&lt;="&amp;$B199,Base!$L$3:$L$5001,"&lt;&gt;")=0,"",SUMIFS(Base!$L$3:$L$5001,Base!$B$3:$B$5001,D$178,Base!$A$3:$A$5001,_xlfn.MAXIFS(Base!$A$3:$A$5001,Base!$B$3:$B$5001,D$178,Base!$A$3:$A$5001,"&gt;="&amp;$C$7,Base!$A$3:$A$5001,"&lt;="&amp;$B199,Base!$L$3:$L$5001,"&lt;&gt;"))))</f>
        <v>800</v>
      </c>
      <c r="E199" s="149" t="str">
        <f>IF($A199&gt;$B$9,"",IF(COUNTIFS(Base!$B$3:$B$5001,E$178,Base!$A$3:$A$5001,"&gt;="&amp;$C$7,Base!$A$3:$A$5001,"&lt;="&amp;$B199,Base!$L$3:$L$5001,"&lt;&gt;")=0,"",SUMIFS(Base!$L$3:$L$5001,Base!$B$3:$B$5001,E$178,Base!$A$3:$A$5001,_xlfn.MAXIFS(Base!$A$3:$A$5001,Base!$B$3:$B$5001,E$178,Base!$A$3:$A$5001,"&gt;="&amp;$C$7,Base!$A$3:$A$5001,"&lt;="&amp;$B199,Base!$L$3:$L$5001,"&lt;&gt;"))))</f>
        <v/>
      </c>
      <c r="F199" s="149">
        <f>IF($A199&gt;$B$9,"",IF(COUNTIFS(Base!$B$3:$B$5001,F$178,Base!$A$3:$A$5001,"&gt;="&amp;$C$7,Base!$A$3:$A$5001,"&lt;="&amp;$B199,Base!$L$3:$L$5001,"&lt;&gt;")=0,"",SUMIFS(Base!$L$3:$L$5001,Base!$B$3:$B$5001,F$178,Base!$A$3:$A$5001,_xlfn.MAXIFS(Base!$A$3:$A$5001,Base!$B$3:$B$5001,F$178,Base!$A$3:$A$5001,"&gt;="&amp;$C$7,Base!$A$3:$A$5001,"&lt;="&amp;$B199,Base!$L$3:$L$5001,"&lt;&gt;"))))</f>
        <v>1400</v>
      </c>
      <c r="G199" s="149" t="str">
        <f>IF($A199&gt;$B$9,"",IF(COUNTIFS(Base!$B$3:$B$5001,G$178,Base!$A$3:$A$5001,"&gt;="&amp;$C$7,Base!$A$3:$A$5001,"&lt;="&amp;$B199,Base!$L$3:$L$5001,"&lt;&gt;")=0,"",SUMIFS(Base!$L$3:$L$5001,Base!$B$3:$B$5001,G$178,Base!$A$3:$A$5001,_xlfn.MAXIFS(Base!$A$3:$A$5001,Base!$B$3:$B$5001,G$178,Base!$A$3:$A$5001,"&gt;="&amp;$C$7,Base!$A$3:$A$5001,"&lt;="&amp;$B199,Base!$L$3:$L$5001,"&lt;&gt;"))))</f>
        <v/>
      </c>
    </row>
    <row r="200">
      <c r="A200" s="147">
        <v>22</v>
      </c>
      <c r="B200" s="148">
        <f>$B$33</f>
        <v>46287</v>
      </c>
      <c r="C200" s="149">
        <f>IF($A200&gt;$B$9,"",IF(COUNTIFS(Base!$B$3:$B$5001,C$178,Base!$A$3:$A$5001,"&gt;="&amp;$C$7,Base!$A$3:$A$5001,"&lt;="&amp;$B200,Base!$L$3:$L$5001,"&lt;&gt;")=0,"",SUMIFS(Base!$L$3:$L$5001,Base!$B$3:$B$5001,C$178,Base!$A$3:$A$5001,_xlfn.MAXIFS(Base!$A$3:$A$5001,Base!$B$3:$B$5001,C$178,Base!$A$3:$A$5001,"&gt;="&amp;$C$7,Base!$A$3:$A$5001,"&lt;="&amp;$B200,Base!$L$3:$L$5001,"&lt;&gt;"))))</f>
        <v>1950</v>
      </c>
      <c r="D200" s="149">
        <f>IF($A200&gt;$B$9,"",IF(COUNTIFS(Base!$B$3:$B$5001,D$178,Base!$A$3:$A$5001,"&gt;="&amp;$C$7,Base!$A$3:$A$5001,"&lt;="&amp;$B200,Base!$L$3:$L$5001,"&lt;&gt;")=0,"",SUMIFS(Base!$L$3:$L$5001,Base!$B$3:$B$5001,D$178,Base!$A$3:$A$5001,_xlfn.MAXIFS(Base!$A$3:$A$5001,Base!$B$3:$B$5001,D$178,Base!$A$3:$A$5001,"&gt;="&amp;$C$7,Base!$A$3:$A$5001,"&lt;="&amp;$B200,Base!$L$3:$L$5001,"&lt;&gt;"))))</f>
        <v>800</v>
      </c>
      <c r="E200" s="149" t="str">
        <f>IF($A200&gt;$B$9,"",IF(COUNTIFS(Base!$B$3:$B$5001,E$178,Base!$A$3:$A$5001,"&gt;="&amp;$C$7,Base!$A$3:$A$5001,"&lt;="&amp;$B200,Base!$L$3:$L$5001,"&lt;&gt;")=0,"",SUMIFS(Base!$L$3:$L$5001,Base!$B$3:$B$5001,E$178,Base!$A$3:$A$5001,_xlfn.MAXIFS(Base!$A$3:$A$5001,Base!$B$3:$B$5001,E$178,Base!$A$3:$A$5001,"&gt;="&amp;$C$7,Base!$A$3:$A$5001,"&lt;="&amp;$B200,Base!$L$3:$L$5001,"&lt;&gt;"))))</f>
        <v/>
      </c>
      <c r="F200" s="149">
        <f>IF($A200&gt;$B$9,"",IF(COUNTIFS(Base!$B$3:$B$5001,F$178,Base!$A$3:$A$5001,"&gt;="&amp;$C$7,Base!$A$3:$A$5001,"&lt;="&amp;$B200,Base!$L$3:$L$5001,"&lt;&gt;")=0,"",SUMIFS(Base!$L$3:$L$5001,Base!$B$3:$B$5001,F$178,Base!$A$3:$A$5001,_xlfn.MAXIFS(Base!$A$3:$A$5001,Base!$B$3:$B$5001,F$178,Base!$A$3:$A$5001,"&gt;="&amp;$C$7,Base!$A$3:$A$5001,"&lt;="&amp;$B200,Base!$L$3:$L$5001,"&lt;&gt;"))))</f>
        <v>1400</v>
      </c>
      <c r="G200" s="149" t="str">
        <f>IF($A200&gt;$B$9,"",IF(COUNTIFS(Base!$B$3:$B$5001,G$178,Base!$A$3:$A$5001,"&gt;="&amp;$C$7,Base!$A$3:$A$5001,"&lt;="&amp;$B200,Base!$L$3:$L$5001,"&lt;&gt;")=0,"",SUMIFS(Base!$L$3:$L$5001,Base!$B$3:$B$5001,G$178,Base!$A$3:$A$5001,_xlfn.MAXIFS(Base!$A$3:$A$5001,Base!$B$3:$B$5001,G$178,Base!$A$3:$A$5001,"&gt;="&amp;$C$7,Base!$A$3:$A$5001,"&lt;="&amp;$B200,Base!$L$3:$L$5001,"&lt;&gt;"))))</f>
        <v/>
      </c>
    </row>
    <row r="201">
      <c r="A201" s="147">
        <v>23</v>
      </c>
      <c r="B201" s="148">
        <f>$B$34</f>
        <v>46288</v>
      </c>
      <c r="C201" s="149">
        <f>IF($A201&gt;$B$9,"",IF(COUNTIFS(Base!$B$3:$B$5001,C$178,Base!$A$3:$A$5001,"&gt;="&amp;$C$7,Base!$A$3:$A$5001,"&lt;="&amp;$B201,Base!$L$3:$L$5001,"&lt;&gt;")=0,"",SUMIFS(Base!$L$3:$L$5001,Base!$B$3:$B$5001,C$178,Base!$A$3:$A$5001,_xlfn.MAXIFS(Base!$A$3:$A$5001,Base!$B$3:$B$5001,C$178,Base!$A$3:$A$5001,"&gt;="&amp;$C$7,Base!$A$3:$A$5001,"&lt;="&amp;$B201,Base!$L$3:$L$5001,"&lt;&gt;"))))</f>
        <v>1950</v>
      </c>
      <c r="D201" s="149">
        <f>IF($A201&gt;$B$9,"",IF(COUNTIFS(Base!$B$3:$B$5001,D$178,Base!$A$3:$A$5001,"&gt;="&amp;$C$7,Base!$A$3:$A$5001,"&lt;="&amp;$B201,Base!$L$3:$L$5001,"&lt;&gt;")=0,"",SUMIFS(Base!$L$3:$L$5001,Base!$B$3:$B$5001,D$178,Base!$A$3:$A$5001,_xlfn.MAXIFS(Base!$A$3:$A$5001,Base!$B$3:$B$5001,D$178,Base!$A$3:$A$5001,"&gt;="&amp;$C$7,Base!$A$3:$A$5001,"&lt;="&amp;$B201,Base!$L$3:$L$5001,"&lt;&gt;"))))</f>
        <v>800</v>
      </c>
      <c r="E201" s="149" t="str">
        <f>IF($A201&gt;$B$9,"",IF(COUNTIFS(Base!$B$3:$B$5001,E$178,Base!$A$3:$A$5001,"&gt;="&amp;$C$7,Base!$A$3:$A$5001,"&lt;="&amp;$B201,Base!$L$3:$L$5001,"&lt;&gt;")=0,"",SUMIFS(Base!$L$3:$L$5001,Base!$B$3:$B$5001,E$178,Base!$A$3:$A$5001,_xlfn.MAXIFS(Base!$A$3:$A$5001,Base!$B$3:$B$5001,E$178,Base!$A$3:$A$5001,"&gt;="&amp;$C$7,Base!$A$3:$A$5001,"&lt;="&amp;$B201,Base!$L$3:$L$5001,"&lt;&gt;"))))</f>
        <v/>
      </c>
      <c r="F201" s="149">
        <f>IF($A201&gt;$B$9,"",IF(COUNTIFS(Base!$B$3:$B$5001,F$178,Base!$A$3:$A$5001,"&gt;="&amp;$C$7,Base!$A$3:$A$5001,"&lt;="&amp;$B201,Base!$L$3:$L$5001,"&lt;&gt;")=0,"",SUMIFS(Base!$L$3:$L$5001,Base!$B$3:$B$5001,F$178,Base!$A$3:$A$5001,_xlfn.MAXIFS(Base!$A$3:$A$5001,Base!$B$3:$B$5001,F$178,Base!$A$3:$A$5001,"&gt;="&amp;$C$7,Base!$A$3:$A$5001,"&lt;="&amp;$B201,Base!$L$3:$L$5001,"&lt;&gt;"))))</f>
        <v>1400</v>
      </c>
      <c r="G201" s="149" t="str">
        <f>IF($A201&gt;$B$9,"",IF(COUNTIFS(Base!$B$3:$B$5001,G$178,Base!$A$3:$A$5001,"&gt;="&amp;$C$7,Base!$A$3:$A$5001,"&lt;="&amp;$B201,Base!$L$3:$L$5001,"&lt;&gt;")=0,"",SUMIFS(Base!$L$3:$L$5001,Base!$B$3:$B$5001,G$178,Base!$A$3:$A$5001,_xlfn.MAXIFS(Base!$A$3:$A$5001,Base!$B$3:$B$5001,G$178,Base!$A$3:$A$5001,"&gt;="&amp;$C$7,Base!$A$3:$A$5001,"&lt;="&amp;$B201,Base!$L$3:$L$5001,"&lt;&gt;"))))</f>
        <v/>
      </c>
    </row>
    <row r="202">
      <c r="A202" s="147">
        <v>24</v>
      </c>
      <c r="B202" s="148">
        <f>$B$35</f>
        <v>46289</v>
      </c>
      <c r="C202" s="149">
        <f>IF($A202&gt;$B$9,"",IF(COUNTIFS(Base!$B$3:$B$5001,C$178,Base!$A$3:$A$5001,"&gt;="&amp;$C$7,Base!$A$3:$A$5001,"&lt;="&amp;$B202,Base!$L$3:$L$5001,"&lt;&gt;")=0,"",SUMIFS(Base!$L$3:$L$5001,Base!$B$3:$B$5001,C$178,Base!$A$3:$A$5001,_xlfn.MAXIFS(Base!$A$3:$A$5001,Base!$B$3:$B$5001,C$178,Base!$A$3:$A$5001,"&gt;="&amp;$C$7,Base!$A$3:$A$5001,"&lt;="&amp;$B202,Base!$L$3:$L$5001,"&lt;&gt;"))))</f>
        <v>1950</v>
      </c>
      <c r="D202" s="149">
        <f>IF($A202&gt;$B$9,"",IF(COUNTIFS(Base!$B$3:$B$5001,D$178,Base!$A$3:$A$5001,"&gt;="&amp;$C$7,Base!$A$3:$A$5001,"&lt;="&amp;$B202,Base!$L$3:$L$5001,"&lt;&gt;")=0,"",SUMIFS(Base!$L$3:$L$5001,Base!$B$3:$B$5001,D$178,Base!$A$3:$A$5001,_xlfn.MAXIFS(Base!$A$3:$A$5001,Base!$B$3:$B$5001,D$178,Base!$A$3:$A$5001,"&gt;="&amp;$C$7,Base!$A$3:$A$5001,"&lt;="&amp;$B202,Base!$L$3:$L$5001,"&lt;&gt;"))))</f>
        <v>800</v>
      </c>
      <c r="E202" s="149" t="str">
        <f>IF($A202&gt;$B$9,"",IF(COUNTIFS(Base!$B$3:$B$5001,E$178,Base!$A$3:$A$5001,"&gt;="&amp;$C$7,Base!$A$3:$A$5001,"&lt;="&amp;$B202,Base!$L$3:$L$5001,"&lt;&gt;")=0,"",SUMIFS(Base!$L$3:$L$5001,Base!$B$3:$B$5001,E$178,Base!$A$3:$A$5001,_xlfn.MAXIFS(Base!$A$3:$A$5001,Base!$B$3:$B$5001,E$178,Base!$A$3:$A$5001,"&gt;="&amp;$C$7,Base!$A$3:$A$5001,"&lt;="&amp;$B202,Base!$L$3:$L$5001,"&lt;&gt;"))))</f>
        <v/>
      </c>
      <c r="F202" s="149">
        <f>IF($A202&gt;$B$9,"",IF(COUNTIFS(Base!$B$3:$B$5001,F$178,Base!$A$3:$A$5001,"&gt;="&amp;$C$7,Base!$A$3:$A$5001,"&lt;="&amp;$B202,Base!$L$3:$L$5001,"&lt;&gt;")=0,"",SUMIFS(Base!$L$3:$L$5001,Base!$B$3:$B$5001,F$178,Base!$A$3:$A$5001,_xlfn.MAXIFS(Base!$A$3:$A$5001,Base!$B$3:$B$5001,F$178,Base!$A$3:$A$5001,"&gt;="&amp;$C$7,Base!$A$3:$A$5001,"&lt;="&amp;$B202,Base!$L$3:$L$5001,"&lt;&gt;"))))</f>
        <v>1400</v>
      </c>
      <c r="G202" s="149" t="str">
        <f>IF($A202&gt;$B$9,"",IF(COUNTIFS(Base!$B$3:$B$5001,G$178,Base!$A$3:$A$5001,"&gt;="&amp;$C$7,Base!$A$3:$A$5001,"&lt;="&amp;$B202,Base!$L$3:$L$5001,"&lt;&gt;")=0,"",SUMIFS(Base!$L$3:$L$5001,Base!$B$3:$B$5001,G$178,Base!$A$3:$A$5001,_xlfn.MAXIFS(Base!$A$3:$A$5001,Base!$B$3:$B$5001,G$178,Base!$A$3:$A$5001,"&gt;="&amp;$C$7,Base!$A$3:$A$5001,"&lt;="&amp;$B202,Base!$L$3:$L$5001,"&lt;&gt;"))))</f>
        <v/>
      </c>
    </row>
    <row r="203">
      <c r="A203" s="147">
        <v>25</v>
      </c>
      <c r="B203" s="148">
        <f>$B$36</f>
        <v>46290</v>
      </c>
      <c r="C203" s="149">
        <f>IF($A203&gt;$B$9,"",IF(COUNTIFS(Base!$B$3:$B$5001,C$178,Base!$A$3:$A$5001,"&gt;="&amp;$C$7,Base!$A$3:$A$5001,"&lt;="&amp;$B203,Base!$L$3:$L$5001,"&lt;&gt;")=0,"",SUMIFS(Base!$L$3:$L$5001,Base!$B$3:$B$5001,C$178,Base!$A$3:$A$5001,_xlfn.MAXIFS(Base!$A$3:$A$5001,Base!$B$3:$B$5001,C$178,Base!$A$3:$A$5001,"&gt;="&amp;$C$7,Base!$A$3:$A$5001,"&lt;="&amp;$B203,Base!$L$3:$L$5001,"&lt;&gt;"))))</f>
        <v>1950</v>
      </c>
      <c r="D203" s="149">
        <f>IF($A203&gt;$B$9,"",IF(COUNTIFS(Base!$B$3:$B$5001,D$178,Base!$A$3:$A$5001,"&gt;="&amp;$C$7,Base!$A$3:$A$5001,"&lt;="&amp;$B203,Base!$L$3:$L$5001,"&lt;&gt;")=0,"",SUMIFS(Base!$L$3:$L$5001,Base!$B$3:$B$5001,D$178,Base!$A$3:$A$5001,_xlfn.MAXIFS(Base!$A$3:$A$5001,Base!$B$3:$B$5001,D$178,Base!$A$3:$A$5001,"&gt;="&amp;$C$7,Base!$A$3:$A$5001,"&lt;="&amp;$B203,Base!$L$3:$L$5001,"&lt;&gt;"))))</f>
        <v>800</v>
      </c>
      <c r="E203" s="149" t="str">
        <f>IF($A203&gt;$B$9,"",IF(COUNTIFS(Base!$B$3:$B$5001,E$178,Base!$A$3:$A$5001,"&gt;="&amp;$C$7,Base!$A$3:$A$5001,"&lt;="&amp;$B203,Base!$L$3:$L$5001,"&lt;&gt;")=0,"",SUMIFS(Base!$L$3:$L$5001,Base!$B$3:$B$5001,E$178,Base!$A$3:$A$5001,_xlfn.MAXIFS(Base!$A$3:$A$5001,Base!$B$3:$B$5001,E$178,Base!$A$3:$A$5001,"&gt;="&amp;$C$7,Base!$A$3:$A$5001,"&lt;="&amp;$B203,Base!$L$3:$L$5001,"&lt;&gt;"))))</f>
        <v/>
      </c>
      <c r="F203" s="149">
        <f>IF($A203&gt;$B$9,"",IF(COUNTIFS(Base!$B$3:$B$5001,F$178,Base!$A$3:$A$5001,"&gt;="&amp;$C$7,Base!$A$3:$A$5001,"&lt;="&amp;$B203,Base!$L$3:$L$5001,"&lt;&gt;")=0,"",SUMIFS(Base!$L$3:$L$5001,Base!$B$3:$B$5001,F$178,Base!$A$3:$A$5001,_xlfn.MAXIFS(Base!$A$3:$A$5001,Base!$B$3:$B$5001,F$178,Base!$A$3:$A$5001,"&gt;="&amp;$C$7,Base!$A$3:$A$5001,"&lt;="&amp;$B203,Base!$L$3:$L$5001,"&lt;&gt;"))))</f>
        <v>1400</v>
      </c>
      <c r="G203" s="149" t="str">
        <f>IF($A203&gt;$B$9,"",IF(COUNTIFS(Base!$B$3:$B$5001,G$178,Base!$A$3:$A$5001,"&gt;="&amp;$C$7,Base!$A$3:$A$5001,"&lt;="&amp;$B203,Base!$L$3:$L$5001,"&lt;&gt;")=0,"",SUMIFS(Base!$L$3:$L$5001,Base!$B$3:$B$5001,G$178,Base!$A$3:$A$5001,_xlfn.MAXIFS(Base!$A$3:$A$5001,Base!$B$3:$B$5001,G$178,Base!$A$3:$A$5001,"&gt;="&amp;$C$7,Base!$A$3:$A$5001,"&lt;="&amp;$B203,Base!$L$3:$L$5001,"&lt;&gt;"))))</f>
        <v/>
      </c>
    </row>
    <row r="204">
      <c r="A204" s="147">
        <v>26</v>
      </c>
      <c r="B204" s="148">
        <f>$B$37</f>
        <v>46291</v>
      </c>
      <c r="C204" s="149">
        <f>IF($A204&gt;$B$9,"",IF(COUNTIFS(Base!$B$3:$B$5001,C$178,Base!$A$3:$A$5001,"&gt;="&amp;$C$7,Base!$A$3:$A$5001,"&lt;="&amp;$B204,Base!$L$3:$L$5001,"&lt;&gt;")=0,"",SUMIFS(Base!$L$3:$L$5001,Base!$B$3:$B$5001,C$178,Base!$A$3:$A$5001,_xlfn.MAXIFS(Base!$A$3:$A$5001,Base!$B$3:$B$5001,C$178,Base!$A$3:$A$5001,"&gt;="&amp;$C$7,Base!$A$3:$A$5001,"&lt;="&amp;$B204,Base!$L$3:$L$5001,"&lt;&gt;"))))</f>
        <v>1950</v>
      </c>
      <c r="D204" s="149">
        <f>IF($A204&gt;$B$9,"",IF(COUNTIFS(Base!$B$3:$B$5001,D$178,Base!$A$3:$A$5001,"&gt;="&amp;$C$7,Base!$A$3:$A$5001,"&lt;="&amp;$B204,Base!$L$3:$L$5001,"&lt;&gt;")=0,"",SUMIFS(Base!$L$3:$L$5001,Base!$B$3:$B$5001,D$178,Base!$A$3:$A$5001,_xlfn.MAXIFS(Base!$A$3:$A$5001,Base!$B$3:$B$5001,D$178,Base!$A$3:$A$5001,"&gt;="&amp;$C$7,Base!$A$3:$A$5001,"&lt;="&amp;$B204,Base!$L$3:$L$5001,"&lt;&gt;"))))</f>
        <v>800</v>
      </c>
      <c r="E204" s="149" t="str">
        <f>IF($A204&gt;$B$9,"",IF(COUNTIFS(Base!$B$3:$B$5001,E$178,Base!$A$3:$A$5001,"&gt;="&amp;$C$7,Base!$A$3:$A$5001,"&lt;="&amp;$B204,Base!$L$3:$L$5001,"&lt;&gt;")=0,"",SUMIFS(Base!$L$3:$L$5001,Base!$B$3:$B$5001,E$178,Base!$A$3:$A$5001,_xlfn.MAXIFS(Base!$A$3:$A$5001,Base!$B$3:$B$5001,E$178,Base!$A$3:$A$5001,"&gt;="&amp;$C$7,Base!$A$3:$A$5001,"&lt;="&amp;$B204,Base!$L$3:$L$5001,"&lt;&gt;"))))</f>
        <v/>
      </c>
      <c r="F204" s="149">
        <f>IF($A204&gt;$B$9,"",IF(COUNTIFS(Base!$B$3:$B$5001,F$178,Base!$A$3:$A$5001,"&gt;="&amp;$C$7,Base!$A$3:$A$5001,"&lt;="&amp;$B204,Base!$L$3:$L$5001,"&lt;&gt;")=0,"",SUMIFS(Base!$L$3:$L$5001,Base!$B$3:$B$5001,F$178,Base!$A$3:$A$5001,_xlfn.MAXIFS(Base!$A$3:$A$5001,Base!$B$3:$B$5001,F$178,Base!$A$3:$A$5001,"&gt;="&amp;$C$7,Base!$A$3:$A$5001,"&lt;="&amp;$B204,Base!$L$3:$L$5001,"&lt;&gt;"))))</f>
        <v>1400</v>
      </c>
      <c r="G204" s="149" t="str">
        <f>IF($A204&gt;$B$9,"",IF(COUNTIFS(Base!$B$3:$B$5001,G$178,Base!$A$3:$A$5001,"&gt;="&amp;$C$7,Base!$A$3:$A$5001,"&lt;="&amp;$B204,Base!$L$3:$L$5001,"&lt;&gt;")=0,"",SUMIFS(Base!$L$3:$L$5001,Base!$B$3:$B$5001,G$178,Base!$A$3:$A$5001,_xlfn.MAXIFS(Base!$A$3:$A$5001,Base!$B$3:$B$5001,G$178,Base!$A$3:$A$5001,"&gt;="&amp;$C$7,Base!$A$3:$A$5001,"&lt;="&amp;$B204,Base!$L$3:$L$5001,"&lt;&gt;"))))</f>
        <v/>
      </c>
    </row>
    <row r="205">
      <c r="A205" s="147">
        <v>27</v>
      </c>
      <c r="B205" s="148">
        <f>$B$38</f>
        <v>46292</v>
      </c>
      <c r="C205" s="149">
        <f>IF($A205&gt;$B$9,"",IF(COUNTIFS(Base!$B$3:$B$5001,C$178,Base!$A$3:$A$5001,"&gt;="&amp;$C$7,Base!$A$3:$A$5001,"&lt;="&amp;$B205,Base!$L$3:$L$5001,"&lt;&gt;")=0,"",SUMIFS(Base!$L$3:$L$5001,Base!$B$3:$B$5001,C$178,Base!$A$3:$A$5001,_xlfn.MAXIFS(Base!$A$3:$A$5001,Base!$B$3:$B$5001,C$178,Base!$A$3:$A$5001,"&gt;="&amp;$C$7,Base!$A$3:$A$5001,"&lt;="&amp;$B205,Base!$L$3:$L$5001,"&lt;&gt;"))))</f>
        <v>1950</v>
      </c>
      <c r="D205" s="149">
        <f>IF($A205&gt;$B$9,"",IF(COUNTIFS(Base!$B$3:$B$5001,D$178,Base!$A$3:$A$5001,"&gt;="&amp;$C$7,Base!$A$3:$A$5001,"&lt;="&amp;$B205,Base!$L$3:$L$5001,"&lt;&gt;")=0,"",SUMIFS(Base!$L$3:$L$5001,Base!$B$3:$B$5001,D$178,Base!$A$3:$A$5001,_xlfn.MAXIFS(Base!$A$3:$A$5001,Base!$B$3:$B$5001,D$178,Base!$A$3:$A$5001,"&gt;="&amp;$C$7,Base!$A$3:$A$5001,"&lt;="&amp;$B205,Base!$L$3:$L$5001,"&lt;&gt;"))))</f>
        <v>800</v>
      </c>
      <c r="E205" s="149" t="str">
        <f>IF($A205&gt;$B$9,"",IF(COUNTIFS(Base!$B$3:$B$5001,E$178,Base!$A$3:$A$5001,"&gt;="&amp;$C$7,Base!$A$3:$A$5001,"&lt;="&amp;$B205,Base!$L$3:$L$5001,"&lt;&gt;")=0,"",SUMIFS(Base!$L$3:$L$5001,Base!$B$3:$B$5001,E$178,Base!$A$3:$A$5001,_xlfn.MAXIFS(Base!$A$3:$A$5001,Base!$B$3:$B$5001,E$178,Base!$A$3:$A$5001,"&gt;="&amp;$C$7,Base!$A$3:$A$5001,"&lt;="&amp;$B205,Base!$L$3:$L$5001,"&lt;&gt;"))))</f>
        <v/>
      </c>
      <c r="F205" s="149">
        <f>IF($A205&gt;$B$9,"",IF(COUNTIFS(Base!$B$3:$B$5001,F$178,Base!$A$3:$A$5001,"&gt;="&amp;$C$7,Base!$A$3:$A$5001,"&lt;="&amp;$B205,Base!$L$3:$L$5001,"&lt;&gt;")=0,"",SUMIFS(Base!$L$3:$L$5001,Base!$B$3:$B$5001,F$178,Base!$A$3:$A$5001,_xlfn.MAXIFS(Base!$A$3:$A$5001,Base!$B$3:$B$5001,F$178,Base!$A$3:$A$5001,"&gt;="&amp;$C$7,Base!$A$3:$A$5001,"&lt;="&amp;$B205,Base!$L$3:$L$5001,"&lt;&gt;"))))</f>
        <v>1400</v>
      </c>
      <c r="G205" s="149" t="str">
        <f>IF($A205&gt;$B$9,"",IF(COUNTIFS(Base!$B$3:$B$5001,G$178,Base!$A$3:$A$5001,"&gt;="&amp;$C$7,Base!$A$3:$A$5001,"&lt;="&amp;$B205,Base!$L$3:$L$5001,"&lt;&gt;")=0,"",SUMIFS(Base!$L$3:$L$5001,Base!$B$3:$B$5001,G$178,Base!$A$3:$A$5001,_xlfn.MAXIFS(Base!$A$3:$A$5001,Base!$B$3:$B$5001,G$178,Base!$A$3:$A$5001,"&gt;="&amp;$C$7,Base!$A$3:$A$5001,"&lt;="&amp;$B205,Base!$L$3:$L$5001,"&lt;&gt;"))))</f>
        <v/>
      </c>
    </row>
    <row r="206">
      <c r="A206" s="147">
        <v>28</v>
      </c>
      <c r="B206" s="148">
        <f>$B$39</f>
        <v>46293</v>
      </c>
      <c r="C206" s="149">
        <f>IF($A206&gt;$B$9,"",IF(COUNTIFS(Base!$B$3:$B$5001,C$178,Base!$A$3:$A$5001,"&gt;="&amp;$C$7,Base!$A$3:$A$5001,"&lt;="&amp;$B206,Base!$L$3:$L$5001,"&lt;&gt;")=0,"",SUMIFS(Base!$L$3:$L$5001,Base!$B$3:$B$5001,C$178,Base!$A$3:$A$5001,_xlfn.MAXIFS(Base!$A$3:$A$5001,Base!$B$3:$B$5001,C$178,Base!$A$3:$A$5001,"&gt;="&amp;$C$7,Base!$A$3:$A$5001,"&lt;="&amp;$B206,Base!$L$3:$L$5001,"&lt;&gt;"))))</f>
        <v>1950</v>
      </c>
      <c r="D206" s="149">
        <f>IF($A206&gt;$B$9,"",IF(COUNTIFS(Base!$B$3:$B$5001,D$178,Base!$A$3:$A$5001,"&gt;="&amp;$C$7,Base!$A$3:$A$5001,"&lt;="&amp;$B206,Base!$L$3:$L$5001,"&lt;&gt;")=0,"",SUMIFS(Base!$L$3:$L$5001,Base!$B$3:$B$5001,D$178,Base!$A$3:$A$5001,_xlfn.MAXIFS(Base!$A$3:$A$5001,Base!$B$3:$B$5001,D$178,Base!$A$3:$A$5001,"&gt;="&amp;$C$7,Base!$A$3:$A$5001,"&lt;="&amp;$B206,Base!$L$3:$L$5001,"&lt;&gt;"))))</f>
        <v>800</v>
      </c>
      <c r="E206" s="149" t="str">
        <f>IF($A206&gt;$B$9,"",IF(COUNTIFS(Base!$B$3:$B$5001,E$178,Base!$A$3:$A$5001,"&gt;="&amp;$C$7,Base!$A$3:$A$5001,"&lt;="&amp;$B206,Base!$L$3:$L$5001,"&lt;&gt;")=0,"",SUMIFS(Base!$L$3:$L$5001,Base!$B$3:$B$5001,E$178,Base!$A$3:$A$5001,_xlfn.MAXIFS(Base!$A$3:$A$5001,Base!$B$3:$B$5001,E$178,Base!$A$3:$A$5001,"&gt;="&amp;$C$7,Base!$A$3:$A$5001,"&lt;="&amp;$B206,Base!$L$3:$L$5001,"&lt;&gt;"))))</f>
        <v/>
      </c>
      <c r="F206" s="149">
        <f>IF($A206&gt;$B$9,"",IF(COUNTIFS(Base!$B$3:$B$5001,F$178,Base!$A$3:$A$5001,"&gt;="&amp;$C$7,Base!$A$3:$A$5001,"&lt;="&amp;$B206,Base!$L$3:$L$5001,"&lt;&gt;")=0,"",SUMIFS(Base!$L$3:$L$5001,Base!$B$3:$B$5001,F$178,Base!$A$3:$A$5001,_xlfn.MAXIFS(Base!$A$3:$A$5001,Base!$B$3:$B$5001,F$178,Base!$A$3:$A$5001,"&gt;="&amp;$C$7,Base!$A$3:$A$5001,"&lt;="&amp;$B206,Base!$L$3:$L$5001,"&lt;&gt;"))))</f>
        <v>1400</v>
      </c>
      <c r="G206" s="149" t="str">
        <f>IF($A206&gt;$B$9,"",IF(COUNTIFS(Base!$B$3:$B$5001,G$178,Base!$A$3:$A$5001,"&gt;="&amp;$C$7,Base!$A$3:$A$5001,"&lt;="&amp;$B206,Base!$L$3:$L$5001,"&lt;&gt;")=0,"",SUMIFS(Base!$L$3:$L$5001,Base!$B$3:$B$5001,G$178,Base!$A$3:$A$5001,_xlfn.MAXIFS(Base!$A$3:$A$5001,Base!$B$3:$B$5001,G$178,Base!$A$3:$A$5001,"&gt;="&amp;$C$7,Base!$A$3:$A$5001,"&lt;="&amp;$B206,Base!$L$3:$L$5001,"&lt;&gt;"))))</f>
        <v/>
      </c>
    </row>
    <row r="207">
      <c r="A207" s="147">
        <v>29</v>
      </c>
      <c r="B207" s="148">
        <f>$B$40</f>
        <v>46294</v>
      </c>
      <c r="C207" s="149">
        <f>IF($A207&gt;$B$9,"",IF(COUNTIFS(Base!$B$3:$B$5001,C$178,Base!$A$3:$A$5001,"&gt;="&amp;$C$7,Base!$A$3:$A$5001,"&lt;="&amp;$B207,Base!$L$3:$L$5001,"&lt;&gt;")=0,"",SUMIFS(Base!$L$3:$L$5001,Base!$B$3:$B$5001,C$178,Base!$A$3:$A$5001,_xlfn.MAXIFS(Base!$A$3:$A$5001,Base!$B$3:$B$5001,C$178,Base!$A$3:$A$5001,"&gt;="&amp;$C$7,Base!$A$3:$A$5001,"&lt;="&amp;$B207,Base!$L$3:$L$5001,"&lt;&gt;"))))</f>
        <v>1950</v>
      </c>
      <c r="D207" s="149">
        <f>IF($A207&gt;$B$9,"",IF(COUNTIFS(Base!$B$3:$B$5001,D$178,Base!$A$3:$A$5001,"&gt;="&amp;$C$7,Base!$A$3:$A$5001,"&lt;="&amp;$B207,Base!$L$3:$L$5001,"&lt;&gt;")=0,"",SUMIFS(Base!$L$3:$L$5001,Base!$B$3:$B$5001,D$178,Base!$A$3:$A$5001,_xlfn.MAXIFS(Base!$A$3:$A$5001,Base!$B$3:$B$5001,D$178,Base!$A$3:$A$5001,"&gt;="&amp;$C$7,Base!$A$3:$A$5001,"&lt;="&amp;$B207,Base!$L$3:$L$5001,"&lt;&gt;"))))</f>
        <v>800</v>
      </c>
      <c r="E207" s="149" t="str">
        <f>IF($A207&gt;$B$9,"",IF(COUNTIFS(Base!$B$3:$B$5001,E$178,Base!$A$3:$A$5001,"&gt;="&amp;$C$7,Base!$A$3:$A$5001,"&lt;="&amp;$B207,Base!$L$3:$L$5001,"&lt;&gt;")=0,"",SUMIFS(Base!$L$3:$L$5001,Base!$B$3:$B$5001,E$178,Base!$A$3:$A$5001,_xlfn.MAXIFS(Base!$A$3:$A$5001,Base!$B$3:$B$5001,E$178,Base!$A$3:$A$5001,"&gt;="&amp;$C$7,Base!$A$3:$A$5001,"&lt;="&amp;$B207,Base!$L$3:$L$5001,"&lt;&gt;"))))</f>
        <v/>
      </c>
      <c r="F207" s="149">
        <f>IF($A207&gt;$B$9,"",IF(COUNTIFS(Base!$B$3:$B$5001,F$178,Base!$A$3:$A$5001,"&gt;="&amp;$C$7,Base!$A$3:$A$5001,"&lt;="&amp;$B207,Base!$L$3:$L$5001,"&lt;&gt;")=0,"",SUMIFS(Base!$L$3:$L$5001,Base!$B$3:$B$5001,F$178,Base!$A$3:$A$5001,_xlfn.MAXIFS(Base!$A$3:$A$5001,Base!$B$3:$B$5001,F$178,Base!$A$3:$A$5001,"&gt;="&amp;$C$7,Base!$A$3:$A$5001,"&lt;="&amp;$B207,Base!$L$3:$L$5001,"&lt;&gt;"))))</f>
        <v>1400</v>
      </c>
      <c r="G207" s="149" t="str">
        <f>IF($A207&gt;$B$9,"",IF(COUNTIFS(Base!$B$3:$B$5001,G$178,Base!$A$3:$A$5001,"&gt;="&amp;$C$7,Base!$A$3:$A$5001,"&lt;="&amp;$B207,Base!$L$3:$L$5001,"&lt;&gt;")=0,"",SUMIFS(Base!$L$3:$L$5001,Base!$B$3:$B$5001,G$178,Base!$A$3:$A$5001,_xlfn.MAXIFS(Base!$A$3:$A$5001,Base!$B$3:$B$5001,G$178,Base!$A$3:$A$5001,"&gt;="&amp;$C$7,Base!$A$3:$A$5001,"&lt;="&amp;$B207,Base!$L$3:$L$5001,"&lt;&gt;"))))</f>
        <v/>
      </c>
    </row>
    <row r="208">
      <c r="A208" s="147">
        <v>30</v>
      </c>
      <c r="B208" s="148">
        <f>$B$41</f>
        <v>46295</v>
      </c>
      <c r="C208" s="149" t="str">
        <f>IF($A208&gt;$B$9,"",IF(COUNTIFS(Base!$B$3:$B$5001,C$178,Base!$A$3:$A$5001,"&gt;="&amp;$C$7,Base!$A$3:$A$5001,"&lt;="&amp;$B208,Base!$L$3:$L$5001,"&lt;&gt;")=0,"",SUMIFS(Base!$L$3:$L$5001,Base!$B$3:$B$5001,C$178,Base!$A$3:$A$5001,_xlfn.MAXIFS(Base!$A$3:$A$5001,Base!$B$3:$B$5001,C$178,Base!$A$3:$A$5001,"&gt;="&amp;$C$7,Base!$A$3:$A$5001,"&lt;="&amp;$B208,Base!$L$3:$L$5001,"&lt;&gt;"))))</f>
        <v/>
      </c>
      <c r="D208" s="149" t="str">
        <f>IF($A208&gt;$B$9,"",IF(COUNTIFS(Base!$B$3:$B$5001,D$178,Base!$A$3:$A$5001,"&gt;="&amp;$C$7,Base!$A$3:$A$5001,"&lt;="&amp;$B208,Base!$L$3:$L$5001,"&lt;&gt;")=0,"",SUMIFS(Base!$L$3:$L$5001,Base!$B$3:$B$5001,D$178,Base!$A$3:$A$5001,_xlfn.MAXIFS(Base!$A$3:$A$5001,Base!$B$3:$B$5001,D$178,Base!$A$3:$A$5001,"&gt;="&amp;$C$7,Base!$A$3:$A$5001,"&lt;="&amp;$B208,Base!$L$3:$L$5001,"&lt;&gt;"))))</f>
        <v/>
      </c>
      <c r="E208" s="149" t="str">
        <f>IF($A208&gt;$B$9,"",IF(COUNTIFS(Base!$B$3:$B$5001,E$178,Base!$A$3:$A$5001,"&gt;="&amp;$C$7,Base!$A$3:$A$5001,"&lt;="&amp;$B208,Base!$L$3:$L$5001,"&lt;&gt;")=0,"",SUMIFS(Base!$L$3:$L$5001,Base!$B$3:$B$5001,E$178,Base!$A$3:$A$5001,_xlfn.MAXIFS(Base!$A$3:$A$5001,Base!$B$3:$B$5001,E$178,Base!$A$3:$A$5001,"&gt;="&amp;$C$7,Base!$A$3:$A$5001,"&lt;="&amp;$B208,Base!$L$3:$L$5001,"&lt;&gt;"))))</f>
        <v/>
      </c>
      <c r="F208" s="149" t="str">
        <f>IF($A208&gt;$B$9,"",IF(COUNTIFS(Base!$B$3:$B$5001,F$178,Base!$A$3:$A$5001,"&gt;="&amp;$C$7,Base!$A$3:$A$5001,"&lt;="&amp;$B208,Base!$L$3:$L$5001,"&lt;&gt;")=0,"",SUMIFS(Base!$L$3:$L$5001,Base!$B$3:$B$5001,F$178,Base!$A$3:$A$5001,_xlfn.MAXIFS(Base!$A$3:$A$5001,Base!$B$3:$B$5001,F$178,Base!$A$3:$A$5001,"&gt;="&amp;$C$7,Base!$A$3:$A$5001,"&lt;="&amp;$B208,Base!$L$3:$L$5001,"&lt;&gt;"))))</f>
        <v/>
      </c>
      <c r="G208" s="149" t="str">
        <f>IF($A208&gt;$B$9,"",IF(COUNTIFS(Base!$B$3:$B$5001,G$178,Base!$A$3:$A$5001,"&gt;="&amp;$C$7,Base!$A$3:$A$5001,"&lt;="&amp;$B208,Base!$L$3:$L$5001,"&lt;&gt;")=0,"",SUMIFS(Base!$L$3:$L$5001,Base!$B$3:$B$5001,G$178,Base!$A$3:$A$5001,_xlfn.MAXIFS(Base!$A$3:$A$5001,Base!$B$3:$B$5001,G$178,Base!$A$3:$A$5001,"&gt;="&amp;$C$7,Base!$A$3:$A$5001,"&lt;="&amp;$B208,Base!$L$3:$L$5001,"&lt;&gt;"))))</f>
        <v/>
      </c>
    </row>
    <row r="209">
      <c r="A209" s="147">
        <v>31</v>
      </c>
      <c r="B209" s="148" t="str">
        <f>$B$42</f>
        <v/>
      </c>
      <c r="C209" s="149" t="str">
        <f>IF($A209&gt;$B$9,"",IF(COUNTIFS(Base!$B$3:$B$5001,C$178,Base!$A$3:$A$5001,"&gt;="&amp;$C$7,Base!$A$3:$A$5001,"&lt;="&amp;$B209,Base!$L$3:$L$5001,"&lt;&gt;")=0,"",SUMIFS(Base!$L$3:$L$5001,Base!$B$3:$B$5001,C$178,Base!$A$3:$A$5001,_xlfn.MAXIFS(Base!$A$3:$A$5001,Base!$B$3:$B$5001,C$178,Base!$A$3:$A$5001,"&gt;="&amp;$C$7,Base!$A$3:$A$5001,"&lt;="&amp;$B209,Base!$L$3:$L$5001,"&lt;&gt;"))))</f>
        <v/>
      </c>
      <c r="D209" s="149" t="str">
        <f>IF($A209&gt;$B$9,"",IF(COUNTIFS(Base!$B$3:$B$5001,D$178,Base!$A$3:$A$5001,"&gt;="&amp;$C$7,Base!$A$3:$A$5001,"&lt;="&amp;$B209,Base!$L$3:$L$5001,"&lt;&gt;")=0,"",SUMIFS(Base!$L$3:$L$5001,Base!$B$3:$B$5001,D$178,Base!$A$3:$A$5001,_xlfn.MAXIFS(Base!$A$3:$A$5001,Base!$B$3:$B$5001,D$178,Base!$A$3:$A$5001,"&gt;="&amp;$C$7,Base!$A$3:$A$5001,"&lt;="&amp;$B209,Base!$L$3:$L$5001,"&lt;&gt;"))))</f>
        <v/>
      </c>
      <c r="E209" s="149" t="str">
        <f>IF($A209&gt;$B$9,"",IF(COUNTIFS(Base!$B$3:$B$5001,E$178,Base!$A$3:$A$5001,"&gt;="&amp;$C$7,Base!$A$3:$A$5001,"&lt;="&amp;$B209,Base!$L$3:$L$5001,"&lt;&gt;")=0,"",SUMIFS(Base!$L$3:$L$5001,Base!$B$3:$B$5001,E$178,Base!$A$3:$A$5001,_xlfn.MAXIFS(Base!$A$3:$A$5001,Base!$B$3:$B$5001,E$178,Base!$A$3:$A$5001,"&gt;="&amp;$C$7,Base!$A$3:$A$5001,"&lt;="&amp;$B209,Base!$L$3:$L$5001,"&lt;&gt;"))))</f>
        <v/>
      </c>
      <c r="F209" s="149" t="str">
        <f>IF($A209&gt;$B$9,"",IF(COUNTIFS(Base!$B$3:$B$5001,F$178,Base!$A$3:$A$5001,"&gt;="&amp;$C$7,Base!$A$3:$A$5001,"&lt;="&amp;$B209,Base!$L$3:$L$5001,"&lt;&gt;")=0,"",SUMIFS(Base!$L$3:$L$5001,Base!$B$3:$B$5001,F$178,Base!$A$3:$A$5001,_xlfn.MAXIFS(Base!$A$3:$A$5001,Base!$B$3:$B$5001,F$178,Base!$A$3:$A$5001,"&gt;="&amp;$C$7,Base!$A$3:$A$5001,"&lt;="&amp;$B209,Base!$L$3:$L$5001,"&lt;&gt;"))))</f>
        <v/>
      </c>
      <c r="G209" s="149" t="str">
        <f>IF($A209&gt;$B$9,"",IF(COUNTIFS(Base!$B$3:$B$5001,G$178,Base!$A$3:$A$5001,"&gt;="&amp;$C$7,Base!$A$3:$A$5001,"&lt;="&amp;$B209,Base!$L$3:$L$5001,"&lt;&gt;")=0,"",SUMIFS(Base!$L$3:$L$5001,Base!$B$3:$B$5001,G$178,Base!$A$3:$A$5001,_xlfn.MAXIFS(Base!$A$3:$A$5001,Base!$B$3:$B$5001,G$178,Base!$A$3:$A$5001,"&gt;="&amp;$C$7,Base!$A$3:$A$5001,"&lt;="&amp;$B209,Base!$L$3:$L$5001,"&lt;&gt;"))))</f>
        <v/>
      </c>
    </row>
    <row r="210">
      <c r="A210" s="150" t="inlineStr">
        <is>
          <t xml:space="preserve">Mês anterior (último)</t>
        </is>
      </c>
      <c r="C210" s="151">
        <f>IF(COUNTIFS(Base!$B$3:$B$5001,C$178,Base!$A$3:$A$5001,"&gt;="&amp;$C$8,Base!$A$3:$A$5001,"&lt;="&amp;$D$8,Base!$L$3:$L$5001,"&lt;&gt;")=0,"",SUMIFS(Base!$L$3:$L$5001,Base!$B$3:$B$5001,C$178,Base!$A$3:$A$5001,_xlfn.MAXIFS(Base!$A$3:$A$5001,Base!$B$3:$B$5001,C$178,Base!$A$3:$A$5001,"&gt;="&amp;$C$8,Base!$A$3:$A$5001,"&lt;="&amp;$D$8,Base!$L$3:$L$5001,"&lt;&gt;")))</f>
        <v>1950</v>
      </c>
      <c r="D210" s="151">
        <f>IF(COUNTIFS(Base!$B$3:$B$5001,D$178,Base!$A$3:$A$5001,"&gt;="&amp;$C$8,Base!$A$3:$A$5001,"&lt;="&amp;$D$8,Base!$L$3:$L$5001,"&lt;&gt;")=0,"",SUMIFS(Base!$L$3:$L$5001,Base!$B$3:$B$5001,D$178,Base!$A$3:$A$5001,_xlfn.MAXIFS(Base!$A$3:$A$5001,Base!$B$3:$B$5001,D$178,Base!$A$3:$A$5001,"&gt;="&amp;$C$8,Base!$A$3:$A$5001,"&lt;="&amp;$D$8,Base!$L$3:$L$5001,"&lt;&gt;")))</f>
        <v>800</v>
      </c>
      <c r="E210" s="151" t="str">
        <f>IF(COUNTIFS(Base!$B$3:$B$5001,E$178,Base!$A$3:$A$5001,"&gt;="&amp;$C$8,Base!$A$3:$A$5001,"&lt;="&amp;$D$8,Base!$L$3:$L$5001,"&lt;&gt;")=0,"",SUMIFS(Base!$L$3:$L$5001,Base!$B$3:$B$5001,E$178,Base!$A$3:$A$5001,_xlfn.MAXIFS(Base!$A$3:$A$5001,Base!$B$3:$B$5001,E$178,Base!$A$3:$A$5001,"&gt;="&amp;$C$8,Base!$A$3:$A$5001,"&lt;="&amp;$D$8,Base!$L$3:$L$5001,"&lt;&gt;")))</f>
        <v/>
      </c>
      <c r="F210" s="151">
        <f>IF(COUNTIFS(Base!$B$3:$B$5001,F$178,Base!$A$3:$A$5001,"&gt;="&amp;$C$8,Base!$A$3:$A$5001,"&lt;="&amp;$D$8,Base!$L$3:$L$5001,"&lt;&gt;")=0,"",SUMIFS(Base!$L$3:$L$5001,Base!$B$3:$B$5001,F$178,Base!$A$3:$A$5001,_xlfn.MAXIFS(Base!$A$3:$A$5001,Base!$B$3:$B$5001,F$178,Base!$A$3:$A$5001,"&gt;="&amp;$C$8,Base!$A$3:$A$5001,"&lt;="&amp;$D$8,Base!$L$3:$L$5001,"&lt;&gt;")))</f>
        <v>1400</v>
      </c>
      <c r="G210" s="151" t="str">
        <f>IF(COUNTIFS(Base!$B$3:$B$5001,G$178,Base!$A$3:$A$5001,"&gt;="&amp;$C$8,Base!$A$3:$A$5001,"&lt;="&amp;$D$8,Base!$L$3:$L$5001,"&lt;&gt;")=0,"",SUMIFS(Base!$L$3:$L$5001,Base!$B$3:$B$5001,G$178,Base!$A$3:$A$5001,_xlfn.MAXIFS(Base!$A$3:$A$5001,Base!$B$3:$B$5001,G$178,Base!$A$3:$A$5001,"&gt;="&amp;$C$8,Base!$A$3:$A$5001,"&lt;="&amp;$D$8,Base!$L$3:$L$5001,"&lt;&gt;")))</f>
        <v/>
      </c>
    </row>
    <row r="213">
      <c r="A213" s="145" t="inlineStr">
        <is>
          <t xml:space="preserve">Efetivo Op.</t>
        </is>
      </c>
      <c r="B213" s="145" t="inlineStr">
        <is>
          <t xml:space="preserve">Data</t>
        </is>
      </c>
      <c r="C213" s="145" t="inlineStr">
        <is>
          <t xml:space="preserve">Barry Callebaut</t>
        </is>
      </c>
      <c r="D213" s="145" t="inlineStr">
        <is>
          <t xml:space="preserve">Gm</t>
        </is>
      </c>
      <c r="E213" s="145" t="inlineStr">
        <is>
          <t xml:space="preserve">Mondelez</t>
        </is>
      </c>
      <c r="F213" s="145" t="inlineStr">
        <is>
          <t xml:space="preserve">Nestlé</t>
        </is>
      </c>
      <c r="G213" s="145" t="inlineStr">
        <is>
          <t xml:space="preserve">PMB</t>
        </is>
      </c>
    </row>
    <row r="214">
      <c r="A214" s="147">
        <v>1</v>
      </c>
      <c r="B214" s="148">
        <f>$B$12</f>
        <v>46266</v>
      </c>
      <c r="C214" s="149">
        <f>IF($A214&gt;$B$9,"",IF(COUNTIFS(Base!$B$3:$B$5001,C$213,Base!$A$3:$A$5001,"&gt;="&amp;$C$7,Base!$A$3:$A$5001,"&lt;="&amp;$B214,Base!$N$3:$N$5001,"&lt;&gt;")=0,"",SUMIFS(Base!$N$3:$N$5001,Base!$B$3:$B$5001,C$213,Base!$A$3:$A$5001,_xlfn.MAXIFS(Base!$A$3:$A$5001,Base!$B$3:$B$5001,C$213,Base!$A$3:$A$5001,"&gt;="&amp;$C$7,Base!$A$3:$A$5001,"&lt;="&amp;$B214,Base!$N$3:$N$5001,"&lt;&gt;"))))</f>
        <v>9</v>
      </c>
      <c r="D214" s="149">
        <f>IF($A214&gt;$B$9,"",IF(COUNTIFS(Base!$B$3:$B$5001,D$213,Base!$A$3:$A$5001,"&gt;="&amp;$C$7,Base!$A$3:$A$5001,"&lt;="&amp;$B214,Base!$N$3:$N$5001,"&lt;&gt;")=0,"",SUMIFS(Base!$N$3:$N$5001,Base!$B$3:$B$5001,D$213,Base!$A$3:$A$5001,_xlfn.MAXIFS(Base!$A$3:$A$5001,Base!$B$3:$B$5001,D$213,Base!$A$3:$A$5001,"&gt;="&amp;$C$7,Base!$A$3:$A$5001,"&lt;="&amp;$B214,Base!$N$3:$N$5001,"&lt;&gt;"))))</f>
        <v>9</v>
      </c>
      <c r="E214" s="149">
        <f>IF($A214&gt;$B$9,"",IF(COUNTIFS(Base!$B$3:$B$5001,E$213,Base!$A$3:$A$5001,"&gt;="&amp;$C$7,Base!$A$3:$A$5001,"&lt;="&amp;$B214,Base!$N$3:$N$5001,"&lt;&gt;")=0,"",SUMIFS(Base!$N$3:$N$5001,Base!$B$3:$B$5001,E$213,Base!$A$3:$A$5001,_xlfn.MAXIFS(Base!$A$3:$A$5001,Base!$B$3:$B$5001,E$213,Base!$A$3:$A$5001,"&gt;="&amp;$C$7,Base!$A$3:$A$5001,"&lt;="&amp;$B214,Base!$N$3:$N$5001,"&lt;&gt;"))))</f>
        <v>7</v>
      </c>
      <c r="F214" s="149">
        <f>IF($A214&gt;$B$9,"",IF(COUNTIFS(Base!$B$3:$B$5001,F$213,Base!$A$3:$A$5001,"&gt;="&amp;$C$7,Base!$A$3:$A$5001,"&lt;="&amp;$B214,Base!$N$3:$N$5001,"&lt;&gt;")=0,"",SUMIFS(Base!$N$3:$N$5001,Base!$B$3:$B$5001,F$213,Base!$A$3:$A$5001,_xlfn.MAXIFS(Base!$A$3:$A$5001,Base!$B$3:$B$5001,F$213,Base!$A$3:$A$5001,"&gt;="&amp;$C$7,Base!$A$3:$A$5001,"&lt;="&amp;$B214,Base!$N$3:$N$5001,"&lt;&gt;"))))</f>
        <v>8</v>
      </c>
      <c r="G214" s="149">
        <f>IF($A214&gt;$B$9,"",IF(COUNTIFS(Base!$B$3:$B$5001,G$213,Base!$A$3:$A$5001,"&gt;="&amp;$C$7,Base!$A$3:$A$5001,"&lt;="&amp;$B214,Base!$N$3:$N$5001,"&lt;&gt;")=0,"",SUMIFS(Base!$N$3:$N$5001,Base!$B$3:$B$5001,G$213,Base!$A$3:$A$5001,_xlfn.MAXIFS(Base!$A$3:$A$5001,Base!$B$3:$B$5001,G$213,Base!$A$3:$A$5001,"&gt;="&amp;$C$7,Base!$A$3:$A$5001,"&lt;="&amp;$B214,Base!$N$3:$N$5001,"&lt;&gt;"))))</f>
        <v>3</v>
      </c>
    </row>
    <row r="215">
      <c r="A215" s="147">
        <v>2</v>
      </c>
      <c r="B215" s="148">
        <f>$B$13</f>
        <v>46267</v>
      </c>
      <c r="C215" s="149">
        <f>IF($A215&gt;$B$9,"",IF(COUNTIFS(Base!$B$3:$B$5001,C$213,Base!$A$3:$A$5001,"&gt;="&amp;$C$7,Base!$A$3:$A$5001,"&lt;="&amp;$B215,Base!$N$3:$N$5001,"&lt;&gt;")=0,"",SUMIFS(Base!$N$3:$N$5001,Base!$B$3:$B$5001,C$213,Base!$A$3:$A$5001,_xlfn.MAXIFS(Base!$A$3:$A$5001,Base!$B$3:$B$5001,C$213,Base!$A$3:$A$5001,"&gt;="&amp;$C$7,Base!$A$3:$A$5001,"&lt;="&amp;$B215,Base!$N$3:$N$5001,"&lt;&gt;"))))</f>
        <v>9</v>
      </c>
      <c r="D215" s="149">
        <f>IF($A215&gt;$B$9,"",IF(COUNTIFS(Base!$B$3:$B$5001,D$213,Base!$A$3:$A$5001,"&gt;="&amp;$C$7,Base!$A$3:$A$5001,"&lt;="&amp;$B215,Base!$N$3:$N$5001,"&lt;&gt;")=0,"",SUMIFS(Base!$N$3:$N$5001,Base!$B$3:$B$5001,D$213,Base!$A$3:$A$5001,_xlfn.MAXIFS(Base!$A$3:$A$5001,Base!$B$3:$B$5001,D$213,Base!$A$3:$A$5001,"&gt;="&amp;$C$7,Base!$A$3:$A$5001,"&lt;="&amp;$B215,Base!$N$3:$N$5001,"&lt;&gt;"))))</f>
        <v>6</v>
      </c>
      <c r="E215" s="149">
        <f>IF($A215&gt;$B$9,"",IF(COUNTIFS(Base!$B$3:$B$5001,E$213,Base!$A$3:$A$5001,"&gt;="&amp;$C$7,Base!$A$3:$A$5001,"&lt;="&amp;$B215,Base!$N$3:$N$5001,"&lt;&gt;")=0,"",SUMIFS(Base!$N$3:$N$5001,Base!$B$3:$B$5001,E$213,Base!$A$3:$A$5001,_xlfn.MAXIFS(Base!$A$3:$A$5001,Base!$B$3:$B$5001,E$213,Base!$A$3:$A$5001,"&gt;="&amp;$C$7,Base!$A$3:$A$5001,"&lt;="&amp;$B215,Base!$N$3:$N$5001,"&lt;&gt;"))))</f>
        <v>7</v>
      </c>
      <c r="F215" s="149">
        <f>IF($A215&gt;$B$9,"",IF(COUNTIFS(Base!$B$3:$B$5001,F$213,Base!$A$3:$A$5001,"&gt;="&amp;$C$7,Base!$A$3:$A$5001,"&lt;="&amp;$B215,Base!$N$3:$N$5001,"&lt;&gt;")=0,"",SUMIFS(Base!$N$3:$N$5001,Base!$B$3:$B$5001,F$213,Base!$A$3:$A$5001,_xlfn.MAXIFS(Base!$A$3:$A$5001,Base!$B$3:$B$5001,F$213,Base!$A$3:$A$5001,"&gt;="&amp;$C$7,Base!$A$3:$A$5001,"&lt;="&amp;$B215,Base!$N$3:$N$5001,"&lt;&gt;"))))</f>
        <v>6</v>
      </c>
      <c r="G215" s="149">
        <f>IF($A215&gt;$B$9,"",IF(COUNTIFS(Base!$B$3:$B$5001,G$213,Base!$A$3:$A$5001,"&gt;="&amp;$C$7,Base!$A$3:$A$5001,"&lt;="&amp;$B215,Base!$N$3:$N$5001,"&lt;&gt;")=0,"",SUMIFS(Base!$N$3:$N$5001,Base!$B$3:$B$5001,G$213,Base!$A$3:$A$5001,_xlfn.MAXIFS(Base!$A$3:$A$5001,Base!$B$3:$B$5001,G$213,Base!$A$3:$A$5001,"&gt;="&amp;$C$7,Base!$A$3:$A$5001,"&lt;="&amp;$B215,Base!$N$3:$N$5001,"&lt;&gt;"))))</f>
        <v>8</v>
      </c>
    </row>
    <row r="216">
      <c r="A216" s="147">
        <v>3</v>
      </c>
      <c r="B216" s="148">
        <f>$B$14</f>
        <v>46268</v>
      </c>
      <c r="C216" s="149">
        <f>IF($A216&gt;$B$9,"",IF(COUNTIFS(Base!$B$3:$B$5001,C$213,Base!$A$3:$A$5001,"&gt;="&amp;$C$7,Base!$A$3:$A$5001,"&lt;="&amp;$B216,Base!$N$3:$N$5001,"&lt;&gt;")=0,"",SUMIFS(Base!$N$3:$N$5001,Base!$B$3:$B$5001,C$213,Base!$A$3:$A$5001,_xlfn.MAXIFS(Base!$A$3:$A$5001,Base!$B$3:$B$5001,C$213,Base!$A$3:$A$5001,"&gt;="&amp;$C$7,Base!$A$3:$A$5001,"&lt;="&amp;$B216,Base!$N$3:$N$5001,"&lt;&gt;"))))</f>
        <v>9</v>
      </c>
      <c r="D216" s="149">
        <f>IF($A216&gt;$B$9,"",IF(COUNTIFS(Base!$B$3:$B$5001,D$213,Base!$A$3:$A$5001,"&gt;="&amp;$C$7,Base!$A$3:$A$5001,"&lt;="&amp;$B216,Base!$N$3:$N$5001,"&lt;&gt;")=0,"",SUMIFS(Base!$N$3:$N$5001,Base!$B$3:$B$5001,D$213,Base!$A$3:$A$5001,_xlfn.MAXIFS(Base!$A$3:$A$5001,Base!$B$3:$B$5001,D$213,Base!$A$3:$A$5001,"&gt;="&amp;$C$7,Base!$A$3:$A$5001,"&lt;="&amp;$B216,Base!$N$3:$N$5001,"&lt;&gt;"))))</f>
        <v>7</v>
      </c>
      <c r="E216" s="149">
        <f>IF($A216&gt;$B$9,"",IF(COUNTIFS(Base!$B$3:$B$5001,E$213,Base!$A$3:$A$5001,"&gt;="&amp;$C$7,Base!$A$3:$A$5001,"&lt;="&amp;$B216,Base!$N$3:$N$5001,"&lt;&gt;")=0,"",SUMIFS(Base!$N$3:$N$5001,Base!$B$3:$B$5001,E$213,Base!$A$3:$A$5001,_xlfn.MAXIFS(Base!$A$3:$A$5001,Base!$B$3:$B$5001,E$213,Base!$A$3:$A$5001,"&gt;="&amp;$C$7,Base!$A$3:$A$5001,"&lt;="&amp;$B216,Base!$N$3:$N$5001,"&lt;&gt;"))))</f>
        <v>5</v>
      </c>
      <c r="F216" s="149">
        <f>IF($A216&gt;$B$9,"",IF(COUNTIFS(Base!$B$3:$B$5001,F$213,Base!$A$3:$A$5001,"&gt;="&amp;$C$7,Base!$A$3:$A$5001,"&lt;="&amp;$B216,Base!$N$3:$N$5001,"&lt;&gt;")=0,"",SUMIFS(Base!$N$3:$N$5001,Base!$B$3:$B$5001,F$213,Base!$A$3:$A$5001,_xlfn.MAXIFS(Base!$A$3:$A$5001,Base!$B$3:$B$5001,F$213,Base!$A$3:$A$5001,"&gt;="&amp;$C$7,Base!$A$3:$A$5001,"&lt;="&amp;$B216,Base!$N$3:$N$5001,"&lt;&gt;"))))</f>
        <v>9</v>
      </c>
      <c r="G216" s="149">
        <f>IF($A216&gt;$B$9,"",IF(COUNTIFS(Base!$B$3:$B$5001,G$213,Base!$A$3:$A$5001,"&gt;="&amp;$C$7,Base!$A$3:$A$5001,"&lt;="&amp;$B216,Base!$N$3:$N$5001,"&lt;&gt;")=0,"",SUMIFS(Base!$N$3:$N$5001,Base!$B$3:$B$5001,G$213,Base!$A$3:$A$5001,_xlfn.MAXIFS(Base!$A$3:$A$5001,Base!$B$3:$B$5001,G$213,Base!$A$3:$A$5001,"&gt;="&amp;$C$7,Base!$A$3:$A$5001,"&lt;="&amp;$B216,Base!$N$3:$N$5001,"&lt;&gt;"))))</f>
        <v>5</v>
      </c>
    </row>
    <row r="217">
      <c r="A217" s="147">
        <v>4</v>
      </c>
      <c r="B217" s="148">
        <f>$B$15</f>
        <v>46269</v>
      </c>
      <c r="C217" s="149">
        <f>IF($A217&gt;$B$9,"",IF(COUNTIFS(Base!$B$3:$B$5001,C$213,Base!$A$3:$A$5001,"&gt;="&amp;$C$7,Base!$A$3:$A$5001,"&lt;="&amp;$B217,Base!$N$3:$N$5001,"&lt;&gt;")=0,"",SUMIFS(Base!$N$3:$N$5001,Base!$B$3:$B$5001,C$213,Base!$A$3:$A$5001,_xlfn.MAXIFS(Base!$A$3:$A$5001,Base!$B$3:$B$5001,C$213,Base!$A$3:$A$5001,"&gt;="&amp;$C$7,Base!$A$3:$A$5001,"&lt;="&amp;$B217,Base!$N$3:$N$5001,"&lt;&gt;"))))</f>
        <v>8</v>
      </c>
      <c r="D217" s="149">
        <f>IF($A217&gt;$B$9,"",IF(COUNTIFS(Base!$B$3:$B$5001,D$213,Base!$A$3:$A$5001,"&gt;="&amp;$C$7,Base!$A$3:$A$5001,"&lt;="&amp;$B217,Base!$N$3:$N$5001,"&lt;&gt;")=0,"",SUMIFS(Base!$N$3:$N$5001,Base!$B$3:$B$5001,D$213,Base!$A$3:$A$5001,_xlfn.MAXIFS(Base!$A$3:$A$5001,Base!$B$3:$B$5001,D$213,Base!$A$3:$A$5001,"&gt;="&amp;$C$7,Base!$A$3:$A$5001,"&lt;="&amp;$B217,Base!$N$3:$N$5001,"&lt;&gt;"))))</f>
        <v>3</v>
      </c>
      <c r="E217" s="149">
        <f>IF($A217&gt;$B$9,"",IF(COUNTIFS(Base!$B$3:$B$5001,E$213,Base!$A$3:$A$5001,"&gt;="&amp;$C$7,Base!$A$3:$A$5001,"&lt;="&amp;$B217,Base!$N$3:$N$5001,"&lt;&gt;")=0,"",SUMIFS(Base!$N$3:$N$5001,Base!$B$3:$B$5001,E$213,Base!$A$3:$A$5001,_xlfn.MAXIFS(Base!$A$3:$A$5001,Base!$B$3:$B$5001,E$213,Base!$A$3:$A$5001,"&gt;="&amp;$C$7,Base!$A$3:$A$5001,"&lt;="&amp;$B217,Base!$N$3:$N$5001,"&lt;&gt;"))))</f>
        <v>9</v>
      </c>
      <c r="F217" s="149">
        <f>IF($A217&gt;$B$9,"",IF(COUNTIFS(Base!$B$3:$B$5001,F$213,Base!$A$3:$A$5001,"&gt;="&amp;$C$7,Base!$A$3:$A$5001,"&lt;="&amp;$B217,Base!$N$3:$N$5001,"&lt;&gt;")=0,"",SUMIFS(Base!$N$3:$N$5001,Base!$B$3:$B$5001,F$213,Base!$A$3:$A$5001,_xlfn.MAXIFS(Base!$A$3:$A$5001,Base!$B$3:$B$5001,F$213,Base!$A$3:$A$5001,"&gt;="&amp;$C$7,Base!$A$3:$A$5001,"&lt;="&amp;$B217,Base!$N$3:$N$5001,"&lt;&gt;"))))</f>
        <v>5</v>
      </c>
      <c r="G217" s="149">
        <f>IF($A217&gt;$B$9,"",IF(COUNTIFS(Base!$B$3:$B$5001,G$213,Base!$A$3:$A$5001,"&gt;="&amp;$C$7,Base!$A$3:$A$5001,"&lt;="&amp;$B217,Base!$N$3:$N$5001,"&lt;&gt;")=0,"",SUMIFS(Base!$N$3:$N$5001,Base!$B$3:$B$5001,G$213,Base!$A$3:$A$5001,_xlfn.MAXIFS(Base!$A$3:$A$5001,Base!$B$3:$B$5001,G$213,Base!$A$3:$A$5001,"&gt;="&amp;$C$7,Base!$A$3:$A$5001,"&lt;="&amp;$B217,Base!$N$3:$N$5001,"&lt;&gt;"))))</f>
        <v>3</v>
      </c>
    </row>
    <row r="218">
      <c r="A218" s="147">
        <v>5</v>
      </c>
      <c r="B218" s="148">
        <f>$B$16</f>
        <v>46270</v>
      </c>
      <c r="C218" s="149">
        <f>IF($A218&gt;$B$9,"",IF(COUNTIFS(Base!$B$3:$B$5001,C$213,Base!$A$3:$A$5001,"&gt;="&amp;$C$7,Base!$A$3:$A$5001,"&lt;="&amp;$B218,Base!$N$3:$N$5001,"&lt;&gt;")=0,"",SUMIFS(Base!$N$3:$N$5001,Base!$B$3:$B$5001,C$213,Base!$A$3:$A$5001,_xlfn.MAXIFS(Base!$A$3:$A$5001,Base!$B$3:$B$5001,C$213,Base!$A$3:$A$5001,"&gt;="&amp;$C$7,Base!$A$3:$A$5001,"&lt;="&amp;$B218,Base!$N$3:$N$5001,"&lt;&gt;"))))</f>
        <v>5</v>
      </c>
      <c r="D218" s="149">
        <f>IF($A218&gt;$B$9,"",IF(COUNTIFS(Base!$B$3:$B$5001,D$213,Base!$A$3:$A$5001,"&gt;="&amp;$C$7,Base!$A$3:$A$5001,"&lt;="&amp;$B218,Base!$N$3:$N$5001,"&lt;&gt;")=0,"",SUMIFS(Base!$N$3:$N$5001,Base!$B$3:$B$5001,D$213,Base!$A$3:$A$5001,_xlfn.MAXIFS(Base!$A$3:$A$5001,Base!$B$3:$B$5001,D$213,Base!$A$3:$A$5001,"&gt;="&amp;$C$7,Base!$A$3:$A$5001,"&lt;="&amp;$B218,Base!$N$3:$N$5001,"&lt;&gt;"))))</f>
        <v>3</v>
      </c>
      <c r="E218" s="149">
        <f>IF($A218&gt;$B$9,"",IF(COUNTIFS(Base!$B$3:$B$5001,E$213,Base!$A$3:$A$5001,"&gt;="&amp;$C$7,Base!$A$3:$A$5001,"&lt;="&amp;$B218,Base!$N$3:$N$5001,"&lt;&gt;")=0,"",SUMIFS(Base!$N$3:$N$5001,Base!$B$3:$B$5001,E$213,Base!$A$3:$A$5001,_xlfn.MAXIFS(Base!$A$3:$A$5001,Base!$B$3:$B$5001,E$213,Base!$A$3:$A$5001,"&gt;="&amp;$C$7,Base!$A$3:$A$5001,"&lt;="&amp;$B218,Base!$N$3:$N$5001,"&lt;&gt;"))))</f>
        <v>3</v>
      </c>
      <c r="F218" s="149">
        <f>IF($A218&gt;$B$9,"",IF(COUNTIFS(Base!$B$3:$B$5001,F$213,Base!$A$3:$A$5001,"&gt;="&amp;$C$7,Base!$A$3:$A$5001,"&lt;="&amp;$B218,Base!$N$3:$N$5001,"&lt;&gt;")=0,"",SUMIFS(Base!$N$3:$N$5001,Base!$B$3:$B$5001,F$213,Base!$A$3:$A$5001,_xlfn.MAXIFS(Base!$A$3:$A$5001,Base!$B$3:$B$5001,F$213,Base!$A$3:$A$5001,"&gt;="&amp;$C$7,Base!$A$3:$A$5001,"&lt;="&amp;$B218,Base!$N$3:$N$5001,"&lt;&gt;"))))</f>
        <v>6</v>
      </c>
      <c r="G218" s="149">
        <f>IF($A218&gt;$B$9,"",IF(COUNTIFS(Base!$B$3:$B$5001,G$213,Base!$A$3:$A$5001,"&gt;="&amp;$C$7,Base!$A$3:$A$5001,"&lt;="&amp;$B218,Base!$N$3:$N$5001,"&lt;&gt;")=0,"",SUMIFS(Base!$N$3:$N$5001,Base!$B$3:$B$5001,G$213,Base!$A$3:$A$5001,_xlfn.MAXIFS(Base!$A$3:$A$5001,Base!$B$3:$B$5001,G$213,Base!$A$3:$A$5001,"&gt;="&amp;$C$7,Base!$A$3:$A$5001,"&lt;="&amp;$B218,Base!$N$3:$N$5001,"&lt;&gt;"))))</f>
        <v>3</v>
      </c>
    </row>
    <row r="219">
      <c r="A219" s="147">
        <v>6</v>
      </c>
      <c r="B219" s="148">
        <f>$B$17</f>
        <v>46271</v>
      </c>
      <c r="C219" s="149">
        <f>IF($A219&gt;$B$9,"",IF(COUNTIFS(Base!$B$3:$B$5001,C$213,Base!$A$3:$A$5001,"&gt;="&amp;$C$7,Base!$A$3:$A$5001,"&lt;="&amp;$B219,Base!$N$3:$N$5001,"&lt;&gt;")=0,"",SUMIFS(Base!$N$3:$N$5001,Base!$B$3:$B$5001,C$213,Base!$A$3:$A$5001,_xlfn.MAXIFS(Base!$A$3:$A$5001,Base!$B$3:$B$5001,C$213,Base!$A$3:$A$5001,"&gt;="&amp;$C$7,Base!$A$3:$A$5001,"&lt;="&amp;$B219,Base!$N$3:$N$5001,"&lt;&gt;"))))</f>
        <v>5</v>
      </c>
      <c r="D219" s="149">
        <f>IF($A219&gt;$B$9,"",IF(COUNTIFS(Base!$B$3:$B$5001,D$213,Base!$A$3:$A$5001,"&gt;="&amp;$C$7,Base!$A$3:$A$5001,"&lt;="&amp;$B219,Base!$N$3:$N$5001,"&lt;&gt;")=0,"",SUMIFS(Base!$N$3:$N$5001,Base!$B$3:$B$5001,D$213,Base!$A$3:$A$5001,_xlfn.MAXIFS(Base!$A$3:$A$5001,Base!$B$3:$B$5001,D$213,Base!$A$3:$A$5001,"&gt;="&amp;$C$7,Base!$A$3:$A$5001,"&lt;="&amp;$B219,Base!$N$3:$N$5001,"&lt;&gt;"))))</f>
        <v>3</v>
      </c>
      <c r="E219" s="149">
        <f>IF($A219&gt;$B$9,"",IF(COUNTIFS(Base!$B$3:$B$5001,E$213,Base!$A$3:$A$5001,"&gt;="&amp;$C$7,Base!$A$3:$A$5001,"&lt;="&amp;$B219,Base!$N$3:$N$5001,"&lt;&gt;")=0,"",SUMIFS(Base!$N$3:$N$5001,Base!$B$3:$B$5001,E$213,Base!$A$3:$A$5001,_xlfn.MAXIFS(Base!$A$3:$A$5001,Base!$B$3:$B$5001,E$213,Base!$A$3:$A$5001,"&gt;="&amp;$C$7,Base!$A$3:$A$5001,"&lt;="&amp;$B219,Base!$N$3:$N$5001,"&lt;&gt;"))))</f>
        <v>7</v>
      </c>
      <c r="F219" s="149">
        <f>IF($A219&gt;$B$9,"",IF(COUNTIFS(Base!$B$3:$B$5001,F$213,Base!$A$3:$A$5001,"&gt;="&amp;$C$7,Base!$A$3:$A$5001,"&lt;="&amp;$B219,Base!$N$3:$N$5001,"&lt;&gt;")=0,"",SUMIFS(Base!$N$3:$N$5001,Base!$B$3:$B$5001,F$213,Base!$A$3:$A$5001,_xlfn.MAXIFS(Base!$A$3:$A$5001,Base!$B$3:$B$5001,F$213,Base!$A$3:$A$5001,"&gt;="&amp;$C$7,Base!$A$3:$A$5001,"&lt;="&amp;$B219,Base!$N$3:$N$5001,"&lt;&gt;"))))</f>
        <v>6</v>
      </c>
      <c r="G219" s="149">
        <f>IF($A219&gt;$B$9,"",IF(COUNTIFS(Base!$B$3:$B$5001,G$213,Base!$A$3:$A$5001,"&gt;="&amp;$C$7,Base!$A$3:$A$5001,"&lt;="&amp;$B219,Base!$N$3:$N$5001,"&lt;&gt;")=0,"",SUMIFS(Base!$N$3:$N$5001,Base!$B$3:$B$5001,G$213,Base!$A$3:$A$5001,_xlfn.MAXIFS(Base!$A$3:$A$5001,Base!$B$3:$B$5001,G$213,Base!$A$3:$A$5001,"&gt;="&amp;$C$7,Base!$A$3:$A$5001,"&lt;="&amp;$B219,Base!$N$3:$N$5001,"&lt;&gt;"))))</f>
        <v>5</v>
      </c>
    </row>
    <row r="220">
      <c r="A220" s="147">
        <v>7</v>
      </c>
      <c r="B220" s="148">
        <f>$B$18</f>
        <v>46272</v>
      </c>
      <c r="C220" s="149">
        <f>IF($A220&gt;$B$9,"",IF(COUNTIFS(Base!$B$3:$B$5001,C$213,Base!$A$3:$A$5001,"&gt;="&amp;$C$7,Base!$A$3:$A$5001,"&lt;="&amp;$B220,Base!$N$3:$N$5001,"&lt;&gt;")=0,"",SUMIFS(Base!$N$3:$N$5001,Base!$B$3:$B$5001,C$213,Base!$A$3:$A$5001,_xlfn.MAXIFS(Base!$A$3:$A$5001,Base!$B$3:$B$5001,C$213,Base!$A$3:$A$5001,"&gt;="&amp;$C$7,Base!$A$3:$A$5001,"&lt;="&amp;$B220,Base!$N$3:$N$5001,"&lt;&gt;"))))</f>
        <v>7</v>
      </c>
      <c r="D220" s="149">
        <f>IF($A220&gt;$B$9,"",IF(COUNTIFS(Base!$B$3:$B$5001,D$213,Base!$A$3:$A$5001,"&gt;="&amp;$C$7,Base!$A$3:$A$5001,"&lt;="&amp;$B220,Base!$N$3:$N$5001,"&lt;&gt;")=0,"",SUMIFS(Base!$N$3:$N$5001,Base!$B$3:$B$5001,D$213,Base!$A$3:$A$5001,_xlfn.MAXIFS(Base!$A$3:$A$5001,Base!$B$3:$B$5001,D$213,Base!$A$3:$A$5001,"&gt;="&amp;$C$7,Base!$A$3:$A$5001,"&lt;="&amp;$B220,Base!$N$3:$N$5001,"&lt;&gt;"))))</f>
        <v>8</v>
      </c>
      <c r="E220" s="149">
        <f>IF($A220&gt;$B$9,"",IF(COUNTIFS(Base!$B$3:$B$5001,E$213,Base!$A$3:$A$5001,"&gt;="&amp;$C$7,Base!$A$3:$A$5001,"&lt;="&amp;$B220,Base!$N$3:$N$5001,"&lt;&gt;")=0,"",SUMIFS(Base!$N$3:$N$5001,Base!$B$3:$B$5001,E$213,Base!$A$3:$A$5001,_xlfn.MAXIFS(Base!$A$3:$A$5001,Base!$B$3:$B$5001,E$213,Base!$A$3:$A$5001,"&gt;="&amp;$C$7,Base!$A$3:$A$5001,"&lt;="&amp;$B220,Base!$N$3:$N$5001,"&lt;&gt;"))))</f>
        <v>6</v>
      </c>
      <c r="F220" s="149">
        <f>IF($A220&gt;$B$9,"",IF(COUNTIFS(Base!$B$3:$B$5001,F$213,Base!$A$3:$A$5001,"&gt;="&amp;$C$7,Base!$A$3:$A$5001,"&lt;="&amp;$B220,Base!$N$3:$N$5001,"&lt;&gt;")=0,"",SUMIFS(Base!$N$3:$N$5001,Base!$B$3:$B$5001,F$213,Base!$A$3:$A$5001,_xlfn.MAXIFS(Base!$A$3:$A$5001,Base!$B$3:$B$5001,F$213,Base!$A$3:$A$5001,"&gt;="&amp;$C$7,Base!$A$3:$A$5001,"&lt;="&amp;$B220,Base!$N$3:$N$5001,"&lt;&gt;"))))</f>
        <v>9</v>
      </c>
      <c r="G220" s="149">
        <f>IF($A220&gt;$B$9,"",IF(COUNTIFS(Base!$B$3:$B$5001,G$213,Base!$A$3:$A$5001,"&gt;="&amp;$C$7,Base!$A$3:$A$5001,"&lt;="&amp;$B220,Base!$N$3:$N$5001,"&lt;&gt;")=0,"",SUMIFS(Base!$N$3:$N$5001,Base!$B$3:$B$5001,G$213,Base!$A$3:$A$5001,_xlfn.MAXIFS(Base!$A$3:$A$5001,Base!$B$3:$B$5001,G$213,Base!$A$3:$A$5001,"&gt;="&amp;$C$7,Base!$A$3:$A$5001,"&lt;="&amp;$B220,Base!$N$3:$N$5001,"&lt;&gt;"))))</f>
        <v>8</v>
      </c>
    </row>
    <row r="221">
      <c r="A221" s="147">
        <v>8</v>
      </c>
      <c r="B221" s="148">
        <f>$B$19</f>
        <v>46273</v>
      </c>
      <c r="C221" s="149">
        <f>IF($A221&gt;$B$9,"",IF(COUNTIFS(Base!$B$3:$B$5001,C$213,Base!$A$3:$A$5001,"&gt;="&amp;$C$7,Base!$A$3:$A$5001,"&lt;="&amp;$B221,Base!$N$3:$N$5001,"&lt;&gt;")=0,"",SUMIFS(Base!$N$3:$N$5001,Base!$B$3:$B$5001,C$213,Base!$A$3:$A$5001,_xlfn.MAXIFS(Base!$A$3:$A$5001,Base!$B$3:$B$5001,C$213,Base!$A$3:$A$5001,"&gt;="&amp;$C$7,Base!$A$3:$A$5001,"&lt;="&amp;$B221,Base!$N$3:$N$5001,"&lt;&gt;"))))</f>
        <v>8</v>
      </c>
      <c r="D221" s="149">
        <f>IF($A221&gt;$B$9,"",IF(COUNTIFS(Base!$B$3:$B$5001,D$213,Base!$A$3:$A$5001,"&gt;="&amp;$C$7,Base!$A$3:$A$5001,"&lt;="&amp;$B221,Base!$N$3:$N$5001,"&lt;&gt;")=0,"",SUMIFS(Base!$N$3:$N$5001,Base!$B$3:$B$5001,D$213,Base!$A$3:$A$5001,_xlfn.MAXIFS(Base!$A$3:$A$5001,Base!$B$3:$B$5001,D$213,Base!$A$3:$A$5001,"&gt;="&amp;$C$7,Base!$A$3:$A$5001,"&lt;="&amp;$B221,Base!$N$3:$N$5001,"&lt;&gt;"))))</f>
        <v>6</v>
      </c>
      <c r="E221" s="149">
        <f>IF($A221&gt;$B$9,"",IF(COUNTIFS(Base!$B$3:$B$5001,E$213,Base!$A$3:$A$5001,"&gt;="&amp;$C$7,Base!$A$3:$A$5001,"&lt;="&amp;$B221,Base!$N$3:$N$5001,"&lt;&gt;")=0,"",SUMIFS(Base!$N$3:$N$5001,Base!$B$3:$B$5001,E$213,Base!$A$3:$A$5001,_xlfn.MAXIFS(Base!$A$3:$A$5001,Base!$B$3:$B$5001,E$213,Base!$A$3:$A$5001,"&gt;="&amp;$C$7,Base!$A$3:$A$5001,"&lt;="&amp;$B221,Base!$N$3:$N$5001,"&lt;&gt;"))))</f>
        <v>7</v>
      </c>
      <c r="F221" s="149">
        <f>IF($A221&gt;$B$9,"",IF(COUNTIFS(Base!$B$3:$B$5001,F$213,Base!$A$3:$A$5001,"&gt;="&amp;$C$7,Base!$A$3:$A$5001,"&lt;="&amp;$B221,Base!$N$3:$N$5001,"&lt;&gt;")=0,"",SUMIFS(Base!$N$3:$N$5001,Base!$B$3:$B$5001,F$213,Base!$A$3:$A$5001,_xlfn.MAXIFS(Base!$A$3:$A$5001,Base!$B$3:$B$5001,F$213,Base!$A$3:$A$5001,"&gt;="&amp;$C$7,Base!$A$3:$A$5001,"&lt;="&amp;$B221,Base!$N$3:$N$5001,"&lt;&gt;"))))</f>
        <v>7</v>
      </c>
      <c r="G221" s="149">
        <f>IF($A221&gt;$B$9,"",IF(COUNTIFS(Base!$B$3:$B$5001,G$213,Base!$A$3:$A$5001,"&gt;="&amp;$C$7,Base!$A$3:$A$5001,"&lt;="&amp;$B221,Base!$N$3:$N$5001,"&lt;&gt;")=0,"",SUMIFS(Base!$N$3:$N$5001,Base!$B$3:$B$5001,G$213,Base!$A$3:$A$5001,_xlfn.MAXIFS(Base!$A$3:$A$5001,Base!$B$3:$B$5001,G$213,Base!$A$3:$A$5001,"&gt;="&amp;$C$7,Base!$A$3:$A$5001,"&lt;="&amp;$B221,Base!$N$3:$N$5001,"&lt;&gt;"))))</f>
        <v>3</v>
      </c>
    </row>
    <row r="222">
      <c r="A222" s="147">
        <v>9</v>
      </c>
      <c r="B222" s="148">
        <f>$B$20</f>
        <v>46274</v>
      </c>
      <c r="C222" s="149">
        <f>IF($A222&gt;$B$9,"",IF(COUNTIFS(Base!$B$3:$B$5001,C$213,Base!$A$3:$A$5001,"&gt;="&amp;$C$7,Base!$A$3:$A$5001,"&lt;="&amp;$B222,Base!$N$3:$N$5001,"&lt;&gt;")=0,"",SUMIFS(Base!$N$3:$N$5001,Base!$B$3:$B$5001,C$213,Base!$A$3:$A$5001,_xlfn.MAXIFS(Base!$A$3:$A$5001,Base!$B$3:$B$5001,C$213,Base!$A$3:$A$5001,"&gt;="&amp;$C$7,Base!$A$3:$A$5001,"&lt;="&amp;$B222,Base!$N$3:$N$5001,"&lt;&gt;"))))</f>
        <v>8</v>
      </c>
      <c r="D222" s="149">
        <f>IF($A222&gt;$B$9,"",IF(COUNTIFS(Base!$B$3:$B$5001,D$213,Base!$A$3:$A$5001,"&gt;="&amp;$C$7,Base!$A$3:$A$5001,"&lt;="&amp;$B222,Base!$N$3:$N$5001,"&lt;&gt;")=0,"",SUMIFS(Base!$N$3:$N$5001,Base!$B$3:$B$5001,D$213,Base!$A$3:$A$5001,_xlfn.MAXIFS(Base!$A$3:$A$5001,Base!$B$3:$B$5001,D$213,Base!$A$3:$A$5001,"&gt;="&amp;$C$7,Base!$A$3:$A$5001,"&lt;="&amp;$B222,Base!$N$3:$N$5001,"&lt;&gt;"))))</f>
        <v>6</v>
      </c>
      <c r="E222" s="149">
        <f>IF($A222&gt;$B$9,"",IF(COUNTIFS(Base!$B$3:$B$5001,E$213,Base!$A$3:$A$5001,"&gt;="&amp;$C$7,Base!$A$3:$A$5001,"&lt;="&amp;$B222,Base!$N$3:$N$5001,"&lt;&gt;")=0,"",SUMIFS(Base!$N$3:$N$5001,Base!$B$3:$B$5001,E$213,Base!$A$3:$A$5001,_xlfn.MAXIFS(Base!$A$3:$A$5001,Base!$B$3:$B$5001,E$213,Base!$A$3:$A$5001,"&gt;="&amp;$C$7,Base!$A$3:$A$5001,"&lt;="&amp;$B222,Base!$N$3:$N$5001,"&lt;&gt;"))))</f>
        <v>9</v>
      </c>
      <c r="F222" s="149">
        <f>IF($A222&gt;$B$9,"",IF(COUNTIFS(Base!$B$3:$B$5001,F$213,Base!$A$3:$A$5001,"&gt;="&amp;$C$7,Base!$A$3:$A$5001,"&lt;="&amp;$B222,Base!$N$3:$N$5001,"&lt;&gt;")=0,"",SUMIFS(Base!$N$3:$N$5001,Base!$B$3:$B$5001,F$213,Base!$A$3:$A$5001,_xlfn.MAXIFS(Base!$A$3:$A$5001,Base!$B$3:$B$5001,F$213,Base!$A$3:$A$5001,"&gt;="&amp;$C$7,Base!$A$3:$A$5001,"&lt;="&amp;$B222,Base!$N$3:$N$5001,"&lt;&gt;"))))</f>
        <v>4</v>
      </c>
      <c r="G222" s="149">
        <f>IF($A222&gt;$B$9,"",IF(COUNTIFS(Base!$B$3:$B$5001,G$213,Base!$A$3:$A$5001,"&gt;="&amp;$C$7,Base!$A$3:$A$5001,"&lt;="&amp;$B222,Base!$N$3:$N$5001,"&lt;&gt;")=0,"",SUMIFS(Base!$N$3:$N$5001,Base!$B$3:$B$5001,G$213,Base!$A$3:$A$5001,_xlfn.MAXIFS(Base!$A$3:$A$5001,Base!$B$3:$B$5001,G$213,Base!$A$3:$A$5001,"&gt;="&amp;$C$7,Base!$A$3:$A$5001,"&lt;="&amp;$B222,Base!$N$3:$N$5001,"&lt;&gt;"))))</f>
        <v>7</v>
      </c>
    </row>
    <row r="223">
      <c r="A223" s="147">
        <v>10</v>
      </c>
      <c r="B223" s="148">
        <f>$B$21</f>
        <v>46275</v>
      </c>
      <c r="C223" s="149">
        <f>IF($A223&gt;$B$9,"",IF(COUNTIFS(Base!$B$3:$B$5001,C$213,Base!$A$3:$A$5001,"&gt;="&amp;$C$7,Base!$A$3:$A$5001,"&lt;="&amp;$B223,Base!$N$3:$N$5001,"&lt;&gt;")=0,"",SUMIFS(Base!$N$3:$N$5001,Base!$B$3:$B$5001,C$213,Base!$A$3:$A$5001,_xlfn.MAXIFS(Base!$A$3:$A$5001,Base!$B$3:$B$5001,C$213,Base!$A$3:$A$5001,"&gt;="&amp;$C$7,Base!$A$3:$A$5001,"&lt;="&amp;$B223,Base!$N$3:$N$5001,"&lt;&gt;"))))</f>
        <v>4</v>
      </c>
      <c r="D223" s="149">
        <f>IF($A223&gt;$B$9,"",IF(COUNTIFS(Base!$B$3:$B$5001,D$213,Base!$A$3:$A$5001,"&gt;="&amp;$C$7,Base!$A$3:$A$5001,"&lt;="&amp;$B223,Base!$N$3:$N$5001,"&lt;&gt;")=0,"",SUMIFS(Base!$N$3:$N$5001,Base!$B$3:$B$5001,D$213,Base!$A$3:$A$5001,_xlfn.MAXIFS(Base!$A$3:$A$5001,Base!$B$3:$B$5001,D$213,Base!$A$3:$A$5001,"&gt;="&amp;$C$7,Base!$A$3:$A$5001,"&lt;="&amp;$B223,Base!$N$3:$N$5001,"&lt;&gt;"))))</f>
        <v>6</v>
      </c>
      <c r="E223" s="149">
        <f>IF($A223&gt;$B$9,"",IF(COUNTIFS(Base!$B$3:$B$5001,E$213,Base!$A$3:$A$5001,"&gt;="&amp;$C$7,Base!$A$3:$A$5001,"&lt;="&amp;$B223,Base!$N$3:$N$5001,"&lt;&gt;")=0,"",SUMIFS(Base!$N$3:$N$5001,Base!$B$3:$B$5001,E$213,Base!$A$3:$A$5001,_xlfn.MAXIFS(Base!$A$3:$A$5001,Base!$B$3:$B$5001,E$213,Base!$A$3:$A$5001,"&gt;="&amp;$C$7,Base!$A$3:$A$5001,"&lt;="&amp;$B223,Base!$N$3:$N$5001,"&lt;&gt;"))))</f>
        <v>7</v>
      </c>
      <c r="F223" s="149">
        <f>IF($A223&gt;$B$9,"",IF(COUNTIFS(Base!$B$3:$B$5001,F$213,Base!$A$3:$A$5001,"&gt;="&amp;$C$7,Base!$A$3:$A$5001,"&lt;="&amp;$B223,Base!$N$3:$N$5001,"&lt;&gt;")=0,"",SUMIFS(Base!$N$3:$N$5001,Base!$B$3:$B$5001,F$213,Base!$A$3:$A$5001,_xlfn.MAXIFS(Base!$A$3:$A$5001,Base!$B$3:$B$5001,F$213,Base!$A$3:$A$5001,"&gt;="&amp;$C$7,Base!$A$3:$A$5001,"&lt;="&amp;$B223,Base!$N$3:$N$5001,"&lt;&gt;"))))</f>
        <v>7</v>
      </c>
      <c r="G223" s="149">
        <f>IF($A223&gt;$B$9,"",IF(COUNTIFS(Base!$B$3:$B$5001,G$213,Base!$A$3:$A$5001,"&gt;="&amp;$C$7,Base!$A$3:$A$5001,"&lt;="&amp;$B223,Base!$N$3:$N$5001,"&lt;&gt;")=0,"",SUMIFS(Base!$N$3:$N$5001,Base!$B$3:$B$5001,G$213,Base!$A$3:$A$5001,_xlfn.MAXIFS(Base!$A$3:$A$5001,Base!$B$3:$B$5001,G$213,Base!$A$3:$A$5001,"&gt;="&amp;$C$7,Base!$A$3:$A$5001,"&lt;="&amp;$B223,Base!$N$3:$N$5001,"&lt;&gt;"))))</f>
        <v>9</v>
      </c>
    </row>
    <row r="224">
      <c r="A224" s="147">
        <v>11</v>
      </c>
      <c r="B224" s="148">
        <f>$B$22</f>
        <v>46276</v>
      </c>
      <c r="C224" s="149">
        <f>IF($A224&gt;$B$9,"",IF(COUNTIFS(Base!$B$3:$B$5001,C$213,Base!$A$3:$A$5001,"&gt;="&amp;$C$7,Base!$A$3:$A$5001,"&lt;="&amp;$B224,Base!$N$3:$N$5001,"&lt;&gt;")=0,"",SUMIFS(Base!$N$3:$N$5001,Base!$B$3:$B$5001,C$213,Base!$A$3:$A$5001,_xlfn.MAXIFS(Base!$A$3:$A$5001,Base!$B$3:$B$5001,C$213,Base!$A$3:$A$5001,"&gt;="&amp;$C$7,Base!$A$3:$A$5001,"&lt;="&amp;$B224,Base!$N$3:$N$5001,"&lt;&gt;"))))</f>
        <v>9</v>
      </c>
      <c r="D224" s="149">
        <f>IF($A224&gt;$B$9,"",IF(COUNTIFS(Base!$B$3:$B$5001,D$213,Base!$A$3:$A$5001,"&gt;="&amp;$C$7,Base!$A$3:$A$5001,"&lt;="&amp;$B224,Base!$N$3:$N$5001,"&lt;&gt;")=0,"",SUMIFS(Base!$N$3:$N$5001,Base!$B$3:$B$5001,D$213,Base!$A$3:$A$5001,_xlfn.MAXIFS(Base!$A$3:$A$5001,Base!$B$3:$B$5001,D$213,Base!$A$3:$A$5001,"&gt;="&amp;$C$7,Base!$A$3:$A$5001,"&lt;="&amp;$B224,Base!$N$3:$N$5001,"&lt;&gt;"))))</f>
        <v>5</v>
      </c>
      <c r="E224" s="149">
        <f>IF($A224&gt;$B$9,"",IF(COUNTIFS(Base!$B$3:$B$5001,E$213,Base!$A$3:$A$5001,"&gt;="&amp;$C$7,Base!$A$3:$A$5001,"&lt;="&amp;$B224,Base!$N$3:$N$5001,"&lt;&gt;")=0,"",SUMIFS(Base!$N$3:$N$5001,Base!$B$3:$B$5001,E$213,Base!$A$3:$A$5001,_xlfn.MAXIFS(Base!$A$3:$A$5001,Base!$B$3:$B$5001,E$213,Base!$A$3:$A$5001,"&gt;="&amp;$C$7,Base!$A$3:$A$5001,"&lt;="&amp;$B224,Base!$N$3:$N$5001,"&lt;&gt;"))))</f>
        <v>4</v>
      </c>
      <c r="F224" s="149">
        <f>IF($A224&gt;$B$9,"",IF(COUNTIFS(Base!$B$3:$B$5001,F$213,Base!$A$3:$A$5001,"&gt;="&amp;$C$7,Base!$A$3:$A$5001,"&lt;="&amp;$B224,Base!$N$3:$N$5001,"&lt;&gt;")=0,"",SUMIFS(Base!$N$3:$N$5001,Base!$B$3:$B$5001,F$213,Base!$A$3:$A$5001,_xlfn.MAXIFS(Base!$A$3:$A$5001,Base!$B$3:$B$5001,F$213,Base!$A$3:$A$5001,"&gt;="&amp;$C$7,Base!$A$3:$A$5001,"&lt;="&amp;$B224,Base!$N$3:$N$5001,"&lt;&gt;"))))</f>
        <v>7</v>
      </c>
      <c r="G224" s="149">
        <f>IF($A224&gt;$B$9,"",IF(COUNTIFS(Base!$B$3:$B$5001,G$213,Base!$A$3:$A$5001,"&gt;="&amp;$C$7,Base!$A$3:$A$5001,"&lt;="&amp;$B224,Base!$N$3:$N$5001,"&lt;&gt;")=0,"",SUMIFS(Base!$N$3:$N$5001,Base!$B$3:$B$5001,G$213,Base!$A$3:$A$5001,_xlfn.MAXIFS(Base!$A$3:$A$5001,Base!$B$3:$B$5001,G$213,Base!$A$3:$A$5001,"&gt;="&amp;$C$7,Base!$A$3:$A$5001,"&lt;="&amp;$B224,Base!$N$3:$N$5001,"&lt;&gt;"))))</f>
        <v>6</v>
      </c>
    </row>
    <row r="225">
      <c r="A225" s="147">
        <v>12</v>
      </c>
      <c r="B225" s="148">
        <f>$B$23</f>
        <v>46277</v>
      </c>
      <c r="C225" s="149">
        <f>IF($A225&gt;$B$9,"",IF(COUNTIFS(Base!$B$3:$B$5001,C$213,Base!$A$3:$A$5001,"&gt;="&amp;$C$7,Base!$A$3:$A$5001,"&lt;="&amp;$B225,Base!$N$3:$N$5001,"&lt;&gt;")=0,"",SUMIFS(Base!$N$3:$N$5001,Base!$B$3:$B$5001,C$213,Base!$A$3:$A$5001,_xlfn.MAXIFS(Base!$A$3:$A$5001,Base!$B$3:$B$5001,C$213,Base!$A$3:$A$5001,"&gt;="&amp;$C$7,Base!$A$3:$A$5001,"&lt;="&amp;$B225,Base!$N$3:$N$5001,"&lt;&gt;"))))</f>
        <v>6</v>
      </c>
      <c r="D225" s="149">
        <f>IF($A225&gt;$B$9,"",IF(COUNTIFS(Base!$B$3:$B$5001,D$213,Base!$A$3:$A$5001,"&gt;="&amp;$C$7,Base!$A$3:$A$5001,"&lt;="&amp;$B225,Base!$N$3:$N$5001,"&lt;&gt;")=0,"",SUMIFS(Base!$N$3:$N$5001,Base!$B$3:$B$5001,D$213,Base!$A$3:$A$5001,_xlfn.MAXIFS(Base!$A$3:$A$5001,Base!$B$3:$B$5001,D$213,Base!$A$3:$A$5001,"&gt;="&amp;$C$7,Base!$A$3:$A$5001,"&lt;="&amp;$B225,Base!$N$3:$N$5001,"&lt;&gt;"))))</f>
        <v>5</v>
      </c>
      <c r="E225" s="149">
        <f>IF($A225&gt;$B$9,"",IF(COUNTIFS(Base!$B$3:$B$5001,E$213,Base!$A$3:$A$5001,"&gt;="&amp;$C$7,Base!$A$3:$A$5001,"&lt;="&amp;$B225,Base!$N$3:$N$5001,"&lt;&gt;")=0,"",SUMIFS(Base!$N$3:$N$5001,Base!$B$3:$B$5001,E$213,Base!$A$3:$A$5001,_xlfn.MAXIFS(Base!$A$3:$A$5001,Base!$B$3:$B$5001,E$213,Base!$A$3:$A$5001,"&gt;="&amp;$C$7,Base!$A$3:$A$5001,"&lt;="&amp;$B225,Base!$N$3:$N$5001,"&lt;&gt;"))))</f>
        <v>4</v>
      </c>
      <c r="F225" s="149">
        <f>IF($A225&gt;$B$9,"",IF(COUNTIFS(Base!$B$3:$B$5001,F$213,Base!$A$3:$A$5001,"&gt;="&amp;$C$7,Base!$A$3:$A$5001,"&lt;="&amp;$B225,Base!$N$3:$N$5001,"&lt;&gt;")=0,"",SUMIFS(Base!$N$3:$N$5001,Base!$B$3:$B$5001,F$213,Base!$A$3:$A$5001,_xlfn.MAXIFS(Base!$A$3:$A$5001,Base!$B$3:$B$5001,F$213,Base!$A$3:$A$5001,"&gt;="&amp;$C$7,Base!$A$3:$A$5001,"&lt;="&amp;$B225,Base!$N$3:$N$5001,"&lt;&gt;"))))</f>
        <v>7</v>
      </c>
      <c r="G225" s="149">
        <f>IF($A225&gt;$B$9,"",IF(COUNTIFS(Base!$B$3:$B$5001,G$213,Base!$A$3:$A$5001,"&gt;="&amp;$C$7,Base!$A$3:$A$5001,"&lt;="&amp;$B225,Base!$N$3:$N$5001,"&lt;&gt;")=0,"",SUMIFS(Base!$N$3:$N$5001,Base!$B$3:$B$5001,G$213,Base!$A$3:$A$5001,_xlfn.MAXIFS(Base!$A$3:$A$5001,Base!$B$3:$B$5001,G$213,Base!$A$3:$A$5001,"&gt;="&amp;$C$7,Base!$A$3:$A$5001,"&lt;="&amp;$B225,Base!$N$3:$N$5001,"&lt;&gt;"))))</f>
        <v>6</v>
      </c>
    </row>
    <row r="226">
      <c r="A226" s="147">
        <v>13</v>
      </c>
      <c r="B226" s="148">
        <f>$B$24</f>
        <v>46278</v>
      </c>
      <c r="C226" s="149">
        <f>IF($A226&gt;$B$9,"",IF(COUNTIFS(Base!$B$3:$B$5001,C$213,Base!$A$3:$A$5001,"&gt;="&amp;$C$7,Base!$A$3:$A$5001,"&lt;="&amp;$B226,Base!$N$3:$N$5001,"&lt;&gt;")=0,"",SUMIFS(Base!$N$3:$N$5001,Base!$B$3:$B$5001,C$213,Base!$A$3:$A$5001,_xlfn.MAXIFS(Base!$A$3:$A$5001,Base!$B$3:$B$5001,C$213,Base!$A$3:$A$5001,"&gt;="&amp;$C$7,Base!$A$3:$A$5001,"&lt;="&amp;$B226,Base!$N$3:$N$5001,"&lt;&gt;"))))</f>
        <v>6</v>
      </c>
      <c r="D226" s="149">
        <f>IF($A226&gt;$B$9,"",IF(COUNTIFS(Base!$B$3:$B$5001,D$213,Base!$A$3:$A$5001,"&gt;="&amp;$C$7,Base!$A$3:$A$5001,"&lt;="&amp;$B226,Base!$N$3:$N$5001,"&lt;&gt;")=0,"",SUMIFS(Base!$N$3:$N$5001,Base!$B$3:$B$5001,D$213,Base!$A$3:$A$5001,_xlfn.MAXIFS(Base!$A$3:$A$5001,Base!$B$3:$B$5001,D$213,Base!$A$3:$A$5001,"&gt;="&amp;$C$7,Base!$A$3:$A$5001,"&lt;="&amp;$B226,Base!$N$3:$N$5001,"&lt;&gt;"))))</f>
        <v>5</v>
      </c>
      <c r="E226" s="149">
        <f>IF($A226&gt;$B$9,"",IF(COUNTIFS(Base!$B$3:$B$5001,E$213,Base!$A$3:$A$5001,"&gt;="&amp;$C$7,Base!$A$3:$A$5001,"&lt;="&amp;$B226,Base!$N$3:$N$5001,"&lt;&gt;")=0,"",SUMIFS(Base!$N$3:$N$5001,Base!$B$3:$B$5001,E$213,Base!$A$3:$A$5001,_xlfn.MAXIFS(Base!$A$3:$A$5001,Base!$B$3:$B$5001,E$213,Base!$A$3:$A$5001,"&gt;="&amp;$C$7,Base!$A$3:$A$5001,"&lt;="&amp;$B226,Base!$N$3:$N$5001,"&lt;&gt;"))))</f>
        <v>5</v>
      </c>
      <c r="F226" s="149">
        <f>IF($A226&gt;$B$9,"",IF(COUNTIFS(Base!$B$3:$B$5001,F$213,Base!$A$3:$A$5001,"&gt;="&amp;$C$7,Base!$A$3:$A$5001,"&lt;="&amp;$B226,Base!$N$3:$N$5001,"&lt;&gt;")=0,"",SUMIFS(Base!$N$3:$N$5001,Base!$B$3:$B$5001,F$213,Base!$A$3:$A$5001,_xlfn.MAXIFS(Base!$A$3:$A$5001,Base!$B$3:$B$5001,F$213,Base!$A$3:$A$5001,"&gt;="&amp;$C$7,Base!$A$3:$A$5001,"&lt;="&amp;$B226,Base!$N$3:$N$5001,"&lt;&gt;"))))</f>
        <v>5</v>
      </c>
      <c r="G226" s="149">
        <f>IF($A226&gt;$B$9,"",IF(COUNTIFS(Base!$B$3:$B$5001,G$213,Base!$A$3:$A$5001,"&gt;="&amp;$C$7,Base!$A$3:$A$5001,"&lt;="&amp;$B226,Base!$N$3:$N$5001,"&lt;&gt;")=0,"",SUMIFS(Base!$N$3:$N$5001,Base!$B$3:$B$5001,G$213,Base!$A$3:$A$5001,_xlfn.MAXIFS(Base!$A$3:$A$5001,Base!$B$3:$B$5001,G$213,Base!$A$3:$A$5001,"&gt;="&amp;$C$7,Base!$A$3:$A$5001,"&lt;="&amp;$B226,Base!$N$3:$N$5001,"&lt;&gt;"))))</f>
        <v>6</v>
      </c>
    </row>
    <row r="227">
      <c r="A227" s="147">
        <v>14</v>
      </c>
      <c r="B227" s="148">
        <f>$B$25</f>
        <v>46279</v>
      </c>
      <c r="C227" s="149">
        <f>IF($A227&gt;$B$9,"",IF(COUNTIFS(Base!$B$3:$B$5001,C$213,Base!$A$3:$A$5001,"&gt;="&amp;$C$7,Base!$A$3:$A$5001,"&lt;="&amp;$B227,Base!$N$3:$N$5001,"&lt;&gt;")=0,"",SUMIFS(Base!$N$3:$N$5001,Base!$B$3:$B$5001,C$213,Base!$A$3:$A$5001,_xlfn.MAXIFS(Base!$A$3:$A$5001,Base!$B$3:$B$5001,C$213,Base!$A$3:$A$5001,"&gt;="&amp;$C$7,Base!$A$3:$A$5001,"&lt;="&amp;$B227,Base!$N$3:$N$5001,"&lt;&gt;"))))</f>
        <v>5</v>
      </c>
      <c r="D227" s="149">
        <f>IF($A227&gt;$B$9,"",IF(COUNTIFS(Base!$B$3:$B$5001,D$213,Base!$A$3:$A$5001,"&gt;="&amp;$C$7,Base!$A$3:$A$5001,"&lt;="&amp;$B227,Base!$N$3:$N$5001,"&lt;&gt;")=0,"",SUMIFS(Base!$N$3:$N$5001,Base!$B$3:$B$5001,D$213,Base!$A$3:$A$5001,_xlfn.MAXIFS(Base!$A$3:$A$5001,Base!$B$3:$B$5001,D$213,Base!$A$3:$A$5001,"&gt;="&amp;$C$7,Base!$A$3:$A$5001,"&lt;="&amp;$B227,Base!$N$3:$N$5001,"&lt;&gt;"))))</f>
        <v>4</v>
      </c>
      <c r="E227" s="149">
        <f>IF($A227&gt;$B$9,"",IF(COUNTIFS(Base!$B$3:$B$5001,E$213,Base!$A$3:$A$5001,"&gt;="&amp;$C$7,Base!$A$3:$A$5001,"&lt;="&amp;$B227,Base!$N$3:$N$5001,"&lt;&gt;")=0,"",SUMIFS(Base!$N$3:$N$5001,Base!$B$3:$B$5001,E$213,Base!$A$3:$A$5001,_xlfn.MAXIFS(Base!$A$3:$A$5001,Base!$B$3:$B$5001,E$213,Base!$A$3:$A$5001,"&gt;="&amp;$C$7,Base!$A$3:$A$5001,"&lt;="&amp;$B227,Base!$N$3:$N$5001,"&lt;&gt;"))))</f>
        <v>5</v>
      </c>
      <c r="F227" s="149">
        <f>IF($A227&gt;$B$9,"",IF(COUNTIFS(Base!$B$3:$B$5001,F$213,Base!$A$3:$A$5001,"&gt;="&amp;$C$7,Base!$A$3:$A$5001,"&lt;="&amp;$B227,Base!$N$3:$N$5001,"&lt;&gt;")=0,"",SUMIFS(Base!$N$3:$N$5001,Base!$B$3:$B$5001,F$213,Base!$A$3:$A$5001,_xlfn.MAXIFS(Base!$A$3:$A$5001,Base!$B$3:$B$5001,F$213,Base!$A$3:$A$5001,"&gt;="&amp;$C$7,Base!$A$3:$A$5001,"&lt;="&amp;$B227,Base!$N$3:$N$5001,"&lt;&gt;"))))</f>
        <v>8</v>
      </c>
      <c r="G227" s="149">
        <f>IF($A227&gt;$B$9,"",IF(COUNTIFS(Base!$B$3:$B$5001,G$213,Base!$A$3:$A$5001,"&gt;="&amp;$C$7,Base!$A$3:$A$5001,"&lt;="&amp;$B227,Base!$N$3:$N$5001,"&lt;&gt;")=0,"",SUMIFS(Base!$N$3:$N$5001,Base!$B$3:$B$5001,G$213,Base!$A$3:$A$5001,_xlfn.MAXIFS(Base!$A$3:$A$5001,Base!$B$3:$B$5001,G$213,Base!$A$3:$A$5001,"&gt;="&amp;$C$7,Base!$A$3:$A$5001,"&lt;="&amp;$B227,Base!$N$3:$N$5001,"&lt;&gt;"))))</f>
        <v>7</v>
      </c>
    </row>
    <row r="228">
      <c r="A228" s="147">
        <v>15</v>
      </c>
      <c r="B228" s="148">
        <f>$B$26</f>
        <v>46280</v>
      </c>
      <c r="C228" s="149">
        <f>IF($A228&gt;$B$9,"",IF(COUNTIFS(Base!$B$3:$B$5001,C$213,Base!$A$3:$A$5001,"&gt;="&amp;$C$7,Base!$A$3:$A$5001,"&lt;="&amp;$B228,Base!$N$3:$N$5001,"&lt;&gt;")=0,"",SUMIFS(Base!$N$3:$N$5001,Base!$B$3:$B$5001,C$213,Base!$A$3:$A$5001,_xlfn.MAXIFS(Base!$A$3:$A$5001,Base!$B$3:$B$5001,C$213,Base!$A$3:$A$5001,"&gt;="&amp;$C$7,Base!$A$3:$A$5001,"&lt;="&amp;$B228,Base!$N$3:$N$5001,"&lt;&gt;"))))</f>
        <v>4</v>
      </c>
      <c r="D228" s="149">
        <f>IF($A228&gt;$B$9,"",IF(COUNTIFS(Base!$B$3:$B$5001,D$213,Base!$A$3:$A$5001,"&gt;="&amp;$C$7,Base!$A$3:$A$5001,"&lt;="&amp;$B228,Base!$N$3:$N$5001,"&lt;&gt;")=0,"",SUMIFS(Base!$N$3:$N$5001,Base!$B$3:$B$5001,D$213,Base!$A$3:$A$5001,_xlfn.MAXIFS(Base!$A$3:$A$5001,Base!$B$3:$B$5001,D$213,Base!$A$3:$A$5001,"&gt;="&amp;$C$7,Base!$A$3:$A$5001,"&lt;="&amp;$B228,Base!$N$3:$N$5001,"&lt;&gt;"))))</f>
        <v>8</v>
      </c>
      <c r="E228" s="149">
        <f>IF($A228&gt;$B$9,"",IF(COUNTIFS(Base!$B$3:$B$5001,E$213,Base!$A$3:$A$5001,"&gt;="&amp;$C$7,Base!$A$3:$A$5001,"&lt;="&amp;$B228,Base!$N$3:$N$5001,"&lt;&gt;")=0,"",SUMIFS(Base!$N$3:$N$5001,Base!$B$3:$B$5001,E$213,Base!$A$3:$A$5001,_xlfn.MAXIFS(Base!$A$3:$A$5001,Base!$B$3:$B$5001,E$213,Base!$A$3:$A$5001,"&gt;="&amp;$C$7,Base!$A$3:$A$5001,"&lt;="&amp;$B228,Base!$N$3:$N$5001,"&lt;&gt;"))))</f>
        <v>7</v>
      </c>
      <c r="F228" s="149">
        <f>IF($A228&gt;$B$9,"",IF(COUNTIFS(Base!$B$3:$B$5001,F$213,Base!$A$3:$A$5001,"&gt;="&amp;$C$7,Base!$A$3:$A$5001,"&lt;="&amp;$B228,Base!$N$3:$N$5001,"&lt;&gt;")=0,"",SUMIFS(Base!$N$3:$N$5001,Base!$B$3:$B$5001,F$213,Base!$A$3:$A$5001,_xlfn.MAXIFS(Base!$A$3:$A$5001,Base!$B$3:$B$5001,F$213,Base!$A$3:$A$5001,"&gt;="&amp;$C$7,Base!$A$3:$A$5001,"&lt;="&amp;$B228,Base!$N$3:$N$5001,"&lt;&gt;"))))</f>
        <v>5</v>
      </c>
      <c r="G228" s="149">
        <f>IF($A228&gt;$B$9,"",IF(COUNTIFS(Base!$B$3:$B$5001,G$213,Base!$A$3:$A$5001,"&gt;="&amp;$C$7,Base!$A$3:$A$5001,"&lt;="&amp;$B228,Base!$N$3:$N$5001,"&lt;&gt;")=0,"",SUMIFS(Base!$N$3:$N$5001,Base!$B$3:$B$5001,G$213,Base!$A$3:$A$5001,_xlfn.MAXIFS(Base!$A$3:$A$5001,Base!$B$3:$B$5001,G$213,Base!$A$3:$A$5001,"&gt;="&amp;$C$7,Base!$A$3:$A$5001,"&lt;="&amp;$B228,Base!$N$3:$N$5001,"&lt;&gt;"))))</f>
        <v>6</v>
      </c>
    </row>
    <row r="229">
      <c r="A229" s="147">
        <v>16</v>
      </c>
      <c r="B229" s="148">
        <f>$B$27</f>
        <v>46281</v>
      </c>
      <c r="C229" s="149">
        <f>IF($A229&gt;$B$9,"",IF(COUNTIFS(Base!$B$3:$B$5001,C$213,Base!$A$3:$A$5001,"&gt;="&amp;$C$7,Base!$A$3:$A$5001,"&lt;="&amp;$B229,Base!$N$3:$N$5001,"&lt;&gt;")=0,"",SUMIFS(Base!$N$3:$N$5001,Base!$B$3:$B$5001,C$213,Base!$A$3:$A$5001,_xlfn.MAXIFS(Base!$A$3:$A$5001,Base!$B$3:$B$5001,C$213,Base!$A$3:$A$5001,"&gt;="&amp;$C$7,Base!$A$3:$A$5001,"&lt;="&amp;$B229,Base!$N$3:$N$5001,"&lt;&gt;"))))</f>
        <v>5</v>
      </c>
      <c r="D229" s="149">
        <f>IF($A229&gt;$B$9,"",IF(COUNTIFS(Base!$B$3:$B$5001,D$213,Base!$A$3:$A$5001,"&gt;="&amp;$C$7,Base!$A$3:$A$5001,"&lt;="&amp;$B229,Base!$N$3:$N$5001,"&lt;&gt;")=0,"",SUMIFS(Base!$N$3:$N$5001,Base!$B$3:$B$5001,D$213,Base!$A$3:$A$5001,_xlfn.MAXIFS(Base!$A$3:$A$5001,Base!$B$3:$B$5001,D$213,Base!$A$3:$A$5001,"&gt;="&amp;$C$7,Base!$A$3:$A$5001,"&lt;="&amp;$B229,Base!$N$3:$N$5001,"&lt;&gt;"))))</f>
        <v>3</v>
      </c>
      <c r="E229" s="149">
        <f>IF($A229&gt;$B$9,"",IF(COUNTIFS(Base!$B$3:$B$5001,E$213,Base!$A$3:$A$5001,"&gt;="&amp;$C$7,Base!$A$3:$A$5001,"&lt;="&amp;$B229,Base!$N$3:$N$5001,"&lt;&gt;")=0,"",SUMIFS(Base!$N$3:$N$5001,Base!$B$3:$B$5001,E$213,Base!$A$3:$A$5001,_xlfn.MAXIFS(Base!$A$3:$A$5001,Base!$B$3:$B$5001,E$213,Base!$A$3:$A$5001,"&gt;="&amp;$C$7,Base!$A$3:$A$5001,"&lt;="&amp;$B229,Base!$N$3:$N$5001,"&lt;&gt;"))))</f>
        <v>4</v>
      </c>
      <c r="F229" s="149">
        <f>IF($A229&gt;$B$9,"",IF(COUNTIFS(Base!$B$3:$B$5001,F$213,Base!$A$3:$A$5001,"&gt;="&amp;$C$7,Base!$A$3:$A$5001,"&lt;="&amp;$B229,Base!$N$3:$N$5001,"&lt;&gt;")=0,"",SUMIFS(Base!$N$3:$N$5001,Base!$B$3:$B$5001,F$213,Base!$A$3:$A$5001,_xlfn.MAXIFS(Base!$A$3:$A$5001,Base!$B$3:$B$5001,F$213,Base!$A$3:$A$5001,"&gt;="&amp;$C$7,Base!$A$3:$A$5001,"&lt;="&amp;$B229,Base!$N$3:$N$5001,"&lt;&gt;"))))</f>
        <v>3</v>
      </c>
      <c r="G229" s="149">
        <f>IF($A229&gt;$B$9,"",IF(COUNTIFS(Base!$B$3:$B$5001,G$213,Base!$A$3:$A$5001,"&gt;="&amp;$C$7,Base!$A$3:$A$5001,"&lt;="&amp;$B229,Base!$N$3:$N$5001,"&lt;&gt;")=0,"",SUMIFS(Base!$N$3:$N$5001,Base!$B$3:$B$5001,G$213,Base!$A$3:$A$5001,_xlfn.MAXIFS(Base!$A$3:$A$5001,Base!$B$3:$B$5001,G$213,Base!$A$3:$A$5001,"&gt;="&amp;$C$7,Base!$A$3:$A$5001,"&lt;="&amp;$B229,Base!$N$3:$N$5001,"&lt;&gt;"))))</f>
        <v>6</v>
      </c>
    </row>
    <row r="230">
      <c r="A230" s="147">
        <v>17</v>
      </c>
      <c r="B230" s="148">
        <f>$B$28</f>
        <v>46282</v>
      </c>
      <c r="C230" s="149">
        <f>IF($A230&gt;$B$9,"",IF(COUNTIFS(Base!$B$3:$B$5001,C$213,Base!$A$3:$A$5001,"&gt;="&amp;$C$7,Base!$A$3:$A$5001,"&lt;="&amp;$B230,Base!$N$3:$N$5001,"&lt;&gt;")=0,"",SUMIFS(Base!$N$3:$N$5001,Base!$B$3:$B$5001,C$213,Base!$A$3:$A$5001,_xlfn.MAXIFS(Base!$A$3:$A$5001,Base!$B$3:$B$5001,C$213,Base!$A$3:$A$5001,"&gt;="&amp;$C$7,Base!$A$3:$A$5001,"&lt;="&amp;$B230,Base!$N$3:$N$5001,"&lt;&gt;"))))</f>
        <v>5</v>
      </c>
      <c r="D230" s="149">
        <f>IF($A230&gt;$B$9,"",IF(COUNTIFS(Base!$B$3:$B$5001,D$213,Base!$A$3:$A$5001,"&gt;="&amp;$C$7,Base!$A$3:$A$5001,"&lt;="&amp;$B230,Base!$N$3:$N$5001,"&lt;&gt;")=0,"",SUMIFS(Base!$N$3:$N$5001,Base!$B$3:$B$5001,D$213,Base!$A$3:$A$5001,_xlfn.MAXIFS(Base!$A$3:$A$5001,Base!$B$3:$B$5001,D$213,Base!$A$3:$A$5001,"&gt;="&amp;$C$7,Base!$A$3:$A$5001,"&lt;="&amp;$B230,Base!$N$3:$N$5001,"&lt;&gt;"))))</f>
        <v>4</v>
      </c>
      <c r="E230" s="149">
        <f>IF($A230&gt;$B$9,"",IF(COUNTIFS(Base!$B$3:$B$5001,E$213,Base!$A$3:$A$5001,"&gt;="&amp;$C$7,Base!$A$3:$A$5001,"&lt;="&amp;$B230,Base!$N$3:$N$5001,"&lt;&gt;")=0,"",SUMIFS(Base!$N$3:$N$5001,Base!$B$3:$B$5001,E$213,Base!$A$3:$A$5001,_xlfn.MAXIFS(Base!$A$3:$A$5001,Base!$B$3:$B$5001,E$213,Base!$A$3:$A$5001,"&gt;="&amp;$C$7,Base!$A$3:$A$5001,"&lt;="&amp;$B230,Base!$N$3:$N$5001,"&lt;&gt;"))))</f>
        <v>3</v>
      </c>
      <c r="F230" s="149">
        <f>IF($A230&gt;$B$9,"",IF(COUNTIFS(Base!$B$3:$B$5001,F$213,Base!$A$3:$A$5001,"&gt;="&amp;$C$7,Base!$A$3:$A$5001,"&lt;="&amp;$B230,Base!$N$3:$N$5001,"&lt;&gt;")=0,"",SUMIFS(Base!$N$3:$N$5001,Base!$B$3:$B$5001,F$213,Base!$A$3:$A$5001,_xlfn.MAXIFS(Base!$A$3:$A$5001,Base!$B$3:$B$5001,F$213,Base!$A$3:$A$5001,"&gt;="&amp;$C$7,Base!$A$3:$A$5001,"&lt;="&amp;$B230,Base!$N$3:$N$5001,"&lt;&gt;"))))</f>
        <v>4</v>
      </c>
      <c r="G230" s="149">
        <f>IF($A230&gt;$B$9,"",IF(COUNTIFS(Base!$B$3:$B$5001,G$213,Base!$A$3:$A$5001,"&gt;="&amp;$C$7,Base!$A$3:$A$5001,"&lt;="&amp;$B230,Base!$N$3:$N$5001,"&lt;&gt;")=0,"",SUMIFS(Base!$N$3:$N$5001,Base!$B$3:$B$5001,G$213,Base!$A$3:$A$5001,_xlfn.MAXIFS(Base!$A$3:$A$5001,Base!$B$3:$B$5001,G$213,Base!$A$3:$A$5001,"&gt;="&amp;$C$7,Base!$A$3:$A$5001,"&lt;="&amp;$B230,Base!$N$3:$N$5001,"&lt;&gt;"))))</f>
        <v>3</v>
      </c>
    </row>
    <row r="231">
      <c r="A231" s="147">
        <v>18</v>
      </c>
      <c r="B231" s="148">
        <f>$B$29</f>
        <v>46283</v>
      </c>
      <c r="C231" s="149">
        <f>IF($A231&gt;$B$9,"",IF(COUNTIFS(Base!$B$3:$B$5001,C$213,Base!$A$3:$A$5001,"&gt;="&amp;$C$7,Base!$A$3:$A$5001,"&lt;="&amp;$B231,Base!$N$3:$N$5001,"&lt;&gt;")=0,"",SUMIFS(Base!$N$3:$N$5001,Base!$B$3:$B$5001,C$213,Base!$A$3:$A$5001,_xlfn.MAXIFS(Base!$A$3:$A$5001,Base!$B$3:$B$5001,C$213,Base!$A$3:$A$5001,"&gt;="&amp;$C$7,Base!$A$3:$A$5001,"&lt;="&amp;$B231,Base!$N$3:$N$5001,"&lt;&gt;"))))</f>
        <v>6</v>
      </c>
      <c r="D231" s="149">
        <f>IF($A231&gt;$B$9,"",IF(COUNTIFS(Base!$B$3:$B$5001,D$213,Base!$A$3:$A$5001,"&gt;="&amp;$C$7,Base!$A$3:$A$5001,"&lt;="&amp;$B231,Base!$N$3:$N$5001,"&lt;&gt;")=0,"",SUMIFS(Base!$N$3:$N$5001,Base!$B$3:$B$5001,D$213,Base!$A$3:$A$5001,_xlfn.MAXIFS(Base!$A$3:$A$5001,Base!$B$3:$B$5001,D$213,Base!$A$3:$A$5001,"&gt;="&amp;$C$7,Base!$A$3:$A$5001,"&lt;="&amp;$B231,Base!$N$3:$N$5001,"&lt;&gt;"))))</f>
        <v>4</v>
      </c>
      <c r="E231" s="149">
        <f>IF($A231&gt;$B$9,"",IF(COUNTIFS(Base!$B$3:$B$5001,E$213,Base!$A$3:$A$5001,"&gt;="&amp;$C$7,Base!$A$3:$A$5001,"&lt;="&amp;$B231,Base!$N$3:$N$5001,"&lt;&gt;")=0,"",SUMIFS(Base!$N$3:$N$5001,Base!$B$3:$B$5001,E$213,Base!$A$3:$A$5001,_xlfn.MAXIFS(Base!$A$3:$A$5001,Base!$B$3:$B$5001,E$213,Base!$A$3:$A$5001,"&gt;="&amp;$C$7,Base!$A$3:$A$5001,"&lt;="&amp;$B231,Base!$N$3:$N$5001,"&lt;&gt;"))))</f>
        <v>4</v>
      </c>
      <c r="F231" s="149">
        <f>IF($A231&gt;$B$9,"",IF(COUNTIFS(Base!$B$3:$B$5001,F$213,Base!$A$3:$A$5001,"&gt;="&amp;$C$7,Base!$A$3:$A$5001,"&lt;="&amp;$B231,Base!$N$3:$N$5001,"&lt;&gt;")=0,"",SUMIFS(Base!$N$3:$N$5001,Base!$B$3:$B$5001,F$213,Base!$A$3:$A$5001,_xlfn.MAXIFS(Base!$A$3:$A$5001,Base!$B$3:$B$5001,F$213,Base!$A$3:$A$5001,"&gt;="&amp;$C$7,Base!$A$3:$A$5001,"&lt;="&amp;$B231,Base!$N$3:$N$5001,"&lt;&gt;"))))</f>
        <v>6</v>
      </c>
      <c r="G231" s="149">
        <f>IF($A231&gt;$B$9,"",IF(COUNTIFS(Base!$B$3:$B$5001,G$213,Base!$A$3:$A$5001,"&gt;="&amp;$C$7,Base!$A$3:$A$5001,"&lt;="&amp;$B231,Base!$N$3:$N$5001,"&lt;&gt;")=0,"",SUMIFS(Base!$N$3:$N$5001,Base!$B$3:$B$5001,G$213,Base!$A$3:$A$5001,_xlfn.MAXIFS(Base!$A$3:$A$5001,Base!$B$3:$B$5001,G$213,Base!$A$3:$A$5001,"&gt;="&amp;$C$7,Base!$A$3:$A$5001,"&lt;="&amp;$B231,Base!$N$3:$N$5001,"&lt;&gt;"))))</f>
        <v>8</v>
      </c>
    </row>
    <row r="232">
      <c r="A232" s="147">
        <v>19</v>
      </c>
      <c r="B232" s="148">
        <f>$B$30</f>
        <v>46284</v>
      </c>
      <c r="C232" s="149">
        <f>IF($A232&gt;$B$9,"",IF(COUNTIFS(Base!$B$3:$B$5001,C$213,Base!$A$3:$A$5001,"&gt;="&amp;$C$7,Base!$A$3:$A$5001,"&lt;="&amp;$B232,Base!$N$3:$N$5001,"&lt;&gt;")=0,"",SUMIFS(Base!$N$3:$N$5001,Base!$B$3:$B$5001,C$213,Base!$A$3:$A$5001,_xlfn.MAXIFS(Base!$A$3:$A$5001,Base!$B$3:$B$5001,C$213,Base!$A$3:$A$5001,"&gt;="&amp;$C$7,Base!$A$3:$A$5001,"&lt;="&amp;$B232,Base!$N$3:$N$5001,"&lt;&gt;"))))</f>
        <v>6</v>
      </c>
      <c r="D232" s="149">
        <f>IF($A232&gt;$B$9,"",IF(COUNTIFS(Base!$B$3:$B$5001,D$213,Base!$A$3:$A$5001,"&gt;="&amp;$C$7,Base!$A$3:$A$5001,"&lt;="&amp;$B232,Base!$N$3:$N$5001,"&lt;&gt;")=0,"",SUMIFS(Base!$N$3:$N$5001,Base!$B$3:$B$5001,D$213,Base!$A$3:$A$5001,_xlfn.MAXIFS(Base!$A$3:$A$5001,Base!$B$3:$B$5001,D$213,Base!$A$3:$A$5001,"&gt;="&amp;$C$7,Base!$A$3:$A$5001,"&lt;="&amp;$B232,Base!$N$3:$N$5001,"&lt;&gt;"))))</f>
        <v>4</v>
      </c>
      <c r="E232" s="149">
        <f>IF($A232&gt;$B$9,"",IF(COUNTIFS(Base!$B$3:$B$5001,E$213,Base!$A$3:$A$5001,"&gt;="&amp;$C$7,Base!$A$3:$A$5001,"&lt;="&amp;$B232,Base!$N$3:$N$5001,"&lt;&gt;")=0,"",SUMIFS(Base!$N$3:$N$5001,Base!$B$3:$B$5001,E$213,Base!$A$3:$A$5001,_xlfn.MAXIFS(Base!$A$3:$A$5001,Base!$B$3:$B$5001,E$213,Base!$A$3:$A$5001,"&gt;="&amp;$C$7,Base!$A$3:$A$5001,"&lt;="&amp;$B232,Base!$N$3:$N$5001,"&lt;&gt;"))))</f>
        <v>4</v>
      </c>
      <c r="F232" s="149">
        <f>IF($A232&gt;$B$9,"",IF(COUNTIFS(Base!$B$3:$B$5001,F$213,Base!$A$3:$A$5001,"&gt;="&amp;$C$7,Base!$A$3:$A$5001,"&lt;="&amp;$B232,Base!$N$3:$N$5001,"&lt;&gt;")=0,"",SUMIFS(Base!$N$3:$N$5001,Base!$B$3:$B$5001,F$213,Base!$A$3:$A$5001,_xlfn.MAXIFS(Base!$A$3:$A$5001,Base!$B$3:$B$5001,F$213,Base!$A$3:$A$5001,"&gt;="&amp;$C$7,Base!$A$3:$A$5001,"&lt;="&amp;$B232,Base!$N$3:$N$5001,"&lt;&gt;"))))</f>
        <v>6</v>
      </c>
      <c r="G232" s="149">
        <f>IF($A232&gt;$B$9,"",IF(COUNTIFS(Base!$B$3:$B$5001,G$213,Base!$A$3:$A$5001,"&gt;="&amp;$C$7,Base!$A$3:$A$5001,"&lt;="&amp;$B232,Base!$N$3:$N$5001,"&lt;&gt;")=0,"",SUMIFS(Base!$N$3:$N$5001,Base!$B$3:$B$5001,G$213,Base!$A$3:$A$5001,_xlfn.MAXIFS(Base!$A$3:$A$5001,Base!$B$3:$B$5001,G$213,Base!$A$3:$A$5001,"&gt;="&amp;$C$7,Base!$A$3:$A$5001,"&lt;="&amp;$B232,Base!$N$3:$N$5001,"&lt;&gt;"))))</f>
        <v>8</v>
      </c>
    </row>
    <row r="233">
      <c r="A233" s="147">
        <v>20</v>
      </c>
      <c r="B233" s="148">
        <f>$B$31</f>
        <v>46285</v>
      </c>
      <c r="C233" s="149">
        <f>IF($A233&gt;$B$9,"",IF(COUNTIFS(Base!$B$3:$B$5001,C$213,Base!$A$3:$A$5001,"&gt;="&amp;$C$7,Base!$A$3:$A$5001,"&lt;="&amp;$B233,Base!$N$3:$N$5001,"&lt;&gt;")=0,"",SUMIFS(Base!$N$3:$N$5001,Base!$B$3:$B$5001,C$213,Base!$A$3:$A$5001,_xlfn.MAXIFS(Base!$A$3:$A$5001,Base!$B$3:$B$5001,C$213,Base!$A$3:$A$5001,"&gt;="&amp;$C$7,Base!$A$3:$A$5001,"&lt;="&amp;$B233,Base!$N$3:$N$5001,"&lt;&gt;"))))</f>
        <v>6</v>
      </c>
      <c r="D233" s="149">
        <f>IF($A233&gt;$B$9,"",IF(COUNTIFS(Base!$B$3:$B$5001,D$213,Base!$A$3:$A$5001,"&gt;="&amp;$C$7,Base!$A$3:$A$5001,"&lt;="&amp;$B233,Base!$N$3:$N$5001,"&lt;&gt;")=0,"",SUMIFS(Base!$N$3:$N$5001,Base!$B$3:$B$5001,D$213,Base!$A$3:$A$5001,_xlfn.MAXIFS(Base!$A$3:$A$5001,Base!$B$3:$B$5001,D$213,Base!$A$3:$A$5001,"&gt;="&amp;$C$7,Base!$A$3:$A$5001,"&lt;="&amp;$B233,Base!$N$3:$N$5001,"&lt;&gt;"))))</f>
        <v>4</v>
      </c>
      <c r="E233" s="149">
        <f>IF($A233&gt;$B$9,"",IF(COUNTIFS(Base!$B$3:$B$5001,E$213,Base!$A$3:$A$5001,"&gt;="&amp;$C$7,Base!$A$3:$A$5001,"&lt;="&amp;$B233,Base!$N$3:$N$5001,"&lt;&gt;")=0,"",SUMIFS(Base!$N$3:$N$5001,Base!$B$3:$B$5001,E$213,Base!$A$3:$A$5001,_xlfn.MAXIFS(Base!$A$3:$A$5001,Base!$B$3:$B$5001,E$213,Base!$A$3:$A$5001,"&gt;="&amp;$C$7,Base!$A$3:$A$5001,"&lt;="&amp;$B233,Base!$N$3:$N$5001,"&lt;&gt;"))))</f>
        <v>4</v>
      </c>
      <c r="F233" s="149">
        <f>IF($A233&gt;$B$9,"",IF(COUNTIFS(Base!$B$3:$B$5001,F$213,Base!$A$3:$A$5001,"&gt;="&amp;$C$7,Base!$A$3:$A$5001,"&lt;="&amp;$B233,Base!$N$3:$N$5001,"&lt;&gt;")=0,"",SUMIFS(Base!$N$3:$N$5001,Base!$B$3:$B$5001,F$213,Base!$A$3:$A$5001,_xlfn.MAXIFS(Base!$A$3:$A$5001,Base!$B$3:$B$5001,F$213,Base!$A$3:$A$5001,"&gt;="&amp;$C$7,Base!$A$3:$A$5001,"&lt;="&amp;$B233,Base!$N$3:$N$5001,"&lt;&gt;"))))</f>
        <v>6</v>
      </c>
      <c r="G233" s="149">
        <f>IF($A233&gt;$B$9,"",IF(COUNTIFS(Base!$B$3:$B$5001,G$213,Base!$A$3:$A$5001,"&gt;="&amp;$C$7,Base!$A$3:$A$5001,"&lt;="&amp;$B233,Base!$N$3:$N$5001,"&lt;&gt;")=0,"",SUMIFS(Base!$N$3:$N$5001,Base!$B$3:$B$5001,G$213,Base!$A$3:$A$5001,_xlfn.MAXIFS(Base!$A$3:$A$5001,Base!$B$3:$B$5001,G$213,Base!$A$3:$A$5001,"&gt;="&amp;$C$7,Base!$A$3:$A$5001,"&lt;="&amp;$B233,Base!$N$3:$N$5001,"&lt;&gt;"))))</f>
        <v>5</v>
      </c>
    </row>
    <row r="234">
      <c r="A234" s="147">
        <v>21</v>
      </c>
      <c r="B234" s="148">
        <f>$B$32</f>
        <v>46286</v>
      </c>
      <c r="C234" s="149">
        <f>IF($A234&gt;$B$9,"",IF(COUNTIFS(Base!$B$3:$B$5001,C$213,Base!$A$3:$A$5001,"&gt;="&amp;$C$7,Base!$A$3:$A$5001,"&lt;="&amp;$B234,Base!$N$3:$N$5001,"&lt;&gt;")=0,"",SUMIFS(Base!$N$3:$N$5001,Base!$B$3:$B$5001,C$213,Base!$A$3:$A$5001,_xlfn.MAXIFS(Base!$A$3:$A$5001,Base!$B$3:$B$5001,C$213,Base!$A$3:$A$5001,"&gt;="&amp;$C$7,Base!$A$3:$A$5001,"&lt;="&amp;$B234,Base!$N$3:$N$5001,"&lt;&gt;"))))</f>
        <v>7</v>
      </c>
      <c r="D234" s="149">
        <f>IF($A234&gt;$B$9,"",IF(COUNTIFS(Base!$B$3:$B$5001,D$213,Base!$A$3:$A$5001,"&gt;="&amp;$C$7,Base!$A$3:$A$5001,"&lt;="&amp;$B234,Base!$N$3:$N$5001,"&lt;&gt;")=0,"",SUMIFS(Base!$N$3:$N$5001,Base!$B$3:$B$5001,D$213,Base!$A$3:$A$5001,_xlfn.MAXIFS(Base!$A$3:$A$5001,Base!$B$3:$B$5001,D$213,Base!$A$3:$A$5001,"&gt;="&amp;$C$7,Base!$A$3:$A$5001,"&lt;="&amp;$B234,Base!$N$3:$N$5001,"&lt;&gt;"))))</f>
        <v>3</v>
      </c>
      <c r="E234" s="149">
        <f>IF($A234&gt;$B$9,"",IF(COUNTIFS(Base!$B$3:$B$5001,E$213,Base!$A$3:$A$5001,"&gt;="&amp;$C$7,Base!$A$3:$A$5001,"&lt;="&amp;$B234,Base!$N$3:$N$5001,"&lt;&gt;")=0,"",SUMIFS(Base!$N$3:$N$5001,Base!$B$3:$B$5001,E$213,Base!$A$3:$A$5001,_xlfn.MAXIFS(Base!$A$3:$A$5001,Base!$B$3:$B$5001,E$213,Base!$A$3:$A$5001,"&gt;="&amp;$C$7,Base!$A$3:$A$5001,"&lt;="&amp;$B234,Base!$N$3:$N$5001,"&lt;&gt;"))))</f>
        <v>8</v>
      </c>
      <c r="F234" s="149">
        <f>IF($A234&gt;$B$9,"",IF(COUNTIFS(Base!$B$3:$B$5001,F$213,Base!$A$3:$A$5001,"&gt;="&amp;$C$7,Base!$A$3:$A$5001,"&lt;="&amp;$B234,Base!$N$3:$N$5001,"&lt;&gt;")=0,"",SUMIFS(Base!$N$3:$N$5001,Base!$B$3:$B$5001,F$213,Base!$A$3:$A$5001,_xlfn.MAXIFS(Base!$A$3:$A$5001,Base!$B$3:$B$5001,F$213,Base!$A$3:$A$5001,"&gt;="&amp;$C$7,Base!$A$3:$A$5001,"&lt;="&amp;$B234,Base!$N$3:$N$5001,"&lt;&gt;"))))</f>
        <v>5</v>
      </c>
      <c r="G234" s="149">
        <f>IF($A234&gt;$B$9,"",IF(COUNTIFS(Base!$B$3:$B$5001,G$213,Base!$A$3:$A$5001,"&gt;="&amp;$C$7,Base!$A$3:$A$5001,"&lt;="&amp;$B234,Base!$N$3:$N$5001,"&lt;&gt;")=0,"",SUMIFS(Base!$N$3:$N$5001,Base!$B$3:$B$5001,G$213,Base!$A$3:$A$5001,_xlfn.MAXIFS(Base!$A$3:$A$5001,Base!$B$3:$B$5001,G$213,Base!$A$3:$A$5001,"&gt;="&amp;$C$7,Base!$A$3:$A$5001,"&lt;="&amp;$B234,Base!$N$3:$N$5001,"&lt;&gt;"))))</f>
        <v>7</v>
      </c>
    </row>
    <row r="235">
      <c r="A235" s="147">
        <v>22</v>
      </c>
      <c r="B235" s="148">
        <f>$B$33</f>
        <v>46287</v>
      </c>
      <c r="C235" s="149">
        <f>IF($A235&gt;$B$9,"",IF(COUNTIFS(Base!$B$3:$B$5001,C$213,Base!$A$3:$A$5001,"&gt;="&amp;$C$7,Base!$A$3:$A$5001,"&lt;="&amp;$B235,Base!$N$3:$N$5001,"&lt;&gt;")=0,"",SUMIFS(Base!$N$3:$N$5001,Base!$B$3:$B$5001,C$213,Base!$A$3:$A$5001,_xlfn.MAXIFS(Base!$A$3:$A$5001,Base!$B$3:$B$5001,C$213,Base!$A$3:$A$5001,"&gt;="&amp;$C$7,Base!$A$3:$A$5001,"&lt;="&amp;$B235,Base!$N$3:$N$5001,"&lt;&gt;"))))</f>
        <v>9</v>
      </c>
      <c r="D235" s="149">
        <f>IF($A235&gt;$B$9,"",IF(COUNTIFS(Base!$B$3:$B$5001,D$213,Base!$A$3:$A$5001,"&gt;="&amp;$C$7,Base!$A$3:$A$5001,"&lt;="&amp;$B235,Base!$N$3:$N$5001,"&lt;&gt;")=0,"",SUMIFS(Base!$N$3:$N$5001,Base!$B$3:$B$5001,D$213,Base!$A$3:$A$5001,_xlfn.MAXIFS(Base!$A$3:$A$5001,Base!$B$3:$B$5001,D$213,Base!$A$3:$A$5001,"&gt;="&amp;$C$7,Base!$A$3:$A$5001,"&lt;="&amp;$B235,Base!$N$3:$N$5001,"&lt;&gt;"))))</f>
        <v>8</v>
      </c>
      <c r="E235" s="149">
        <f>IF($A235&gt;$B$9,"",IF(COUNTIFS(Base!$B$3:$B$5001,E$213,Base!$A$3:$A$5001,"&gt;="&amp;$C$7,Base!$A$3:$A$5001,"&lt;="&amp;$B235,Base!$N$3:$N$5001,"&lt;&gt;")=0,"",SUMIFS(Base!$N$3:$N$5001,Base!$B$3:$B$5001,E$213,Base!$A$3:$A$5001,_xlfn.MAXIFS(Base!$A$3:$A$5001,Base!$B$3:$B$5001,E$213,Base!$A$3:$A$5001,"&gt;="&amp;$C$7,Base!$A$3:$A$5001,"&lt;="&amp;$B235,Base!$N$3:$N$5001,"&lt;&gt;"))))</f>
        <v>4</v>
      </c>
      <c r="F235" s="149">
        <f>IF($A235&gt;$B$9,"",IF(COUNTIFS(Base!$B$3:$B$5001,F$213,Base!$A$3:$A$5001,"&gt;="&amp;$C$7,Base!$A$3:$A$5001,"&lt;="&amp;$B235,Base!$N$3:$N$5001,"&lt;&gt;")=0,"",SUMIFS(Base!$N$3:$N$5001,Base!$B$3:$B$5001,F$213,Base!$A$3:$A$5001,_xlfn.MAXIFS(Base!$A$3:$A$5001,Base!$B$3:$B$5001,F$213,Base!$A$3:$A$5001,"&gt;="&amp;$C$7,Base!$A$3:$A$5001,"&lt;="&amp;$B235,Base!$N$3:$N$5001,"&lt;&gt;"))))</f>
        <v>8</v>
      </c>
      <c r="G235" s="149">
        <f>IF($A235&gt;$B$9,"",IF(COUNTIFS(Base!$B$3:$B$5001,G$213,Base!$A$3:$A$5001,"&gt;="&amp;$C$7,Base!$A$3:$A$5001,"&lt;="&amp;$B235,Base!$N$3:$N$5001,"&lt;&gt;")=0,"",SUMIFS(Base!$N$3:$N$5001,Base!$B$3:$B$5001,G$213,Base!$A$3:$A$5001,_xlfn.MAXIFS(Base!$A$3:$A$5001,Base!$B$3:$B$5001,G$213,Base!$A$3:$A$5001,"&gt;="&amp;$C$7,Base!$A$3:$A$5001,"&lt;="&amp;$B235,Base!$N$3:$N$5001,"&lt;&gt;"))))</f>
        <v>8</v>
      </c>
    </row>
    <row r="236">
      <c r="A236" s="147">
        <v>23</v>
      </c>
      <c r="B236" s="148">
        <f>$B$34</f>
        <v>46288</v>
      </c>
      <c r="C236" s="149">
        <f>IF($A236&gt;$B$9,"",IF(COUNTIFS(Base!$B$3:$B$5001,C$213,Base!$A$3:$A$5001,"&gt;="&amp;$C$7,Base!$A$3:$A$5001,"&lt;="&amp;$B236,Base!$N$3:$N$5001,"&lt;&gt;")=0,"",SUMIFS(Base!$N$3:$N$5001,Base!$B$3:$B$5001,C$213,Base!$A$3:$A$5001,_xlfn.MAXIFS(Base!$A$3:$A$5001,Base!$B$3:$B$5001,C$213,Base!$A$3:$A$5001,"&gt;="&amp;$C$7,Base!$A$3:$A$5001,"&lt;="&amp;$B236,Base!$N$3:$N$5001,"&lt;&gt;"))))</f>
        <v>5</v>
      </c>
      <c r="D236" s="149">
        <f>IF($A236&gt;$B$9,"",IF(COUNTIFS(Base!$B$3:$B$5001,D$213,Base!$A$3:$A$5001,"&gt;="&amp;$C$7,Base!$A$3:$A$5001,"&lt;="&amp;$B236,Base!$N$3:$N$5001,"&lt;&gt;")=0,"",SUMIFS(Base!$N$3:$N$5001,Base!$B$3:$B$5001,D$213,Base!$A$3:$A$5001,_xlfn.MAXIFS(Base!$A$3:$A$5001,Base!$B$3:$B$5001,D$213,Base!$A$3:$A$5001,"&gt;="&amp;$C$7,Base!$A$3:$A$5001,"&lt;="&amp;$B236,Base!$N$3:$N$5001,"&lt;&gt;"))))</f>
        <v>7</v>
      </c>
      <c r="E236" s="149">
        <f>IF($A236&gt;$B$9,"",IF(COUNTIFS(Base!$B$3:$B$5001,E$213,Base!$A$3:$A$5001,"&gt;="&amp;$C$7,Base!$A$3:$A$5001,"&lt;="&amp;$B236,Base!$N$3:$N$5001,"&lt;&gt;")=0,"",SUMIFS(Base!$N$3:$N$5001,Base!$B$3:$B$5001,E$213,Base!$A$3:$A$5001,_xlfn.MAXIFS(Base!$A$3:$A$5001,Base!$B$3:$B$5001,E$213,Base!$A$3:$A$5001,"&gt;="&amp;$C$7,Base!$A$3:$A$5001,"&lt;="&amp;$B236,Base!$N$3:$N$5001,"&lt;&gt;"))))</f>
        <v>6</v>
      </c>
      <c r="F236" s="149">
        <f>IF($A236&gt;$B$9,"",IF(COUNTIFS(Base!$B$3:$B$5001,F$213,Base!$A$3:$A$5001,"&gt;="&amp;$C$7,Base!$A$3:$A$5001,"&lt;="&amp;$B236,Base!$N$3:$N$5001,"&lt;&gt;")=0,"",SUMIFS(Base!$N$3:$N$5001,Base!$B$3:$B$5001,F$213,Base!$A$3:$A$5001,_xlfn.MAXIFS(Base!$A$3:$A$5001,Base!$B$3:$B$5001,F$213,Base!$A$3:$A$5001,"&gt;="&amp;$C$7,Base!$A$3:$A$5001,"&lt;="&amp;$B236,Base!$N$3:$N$5001,"&lt;&gt;"))))</f>
        <v>7</v>
      </c>
      <c r="G236" s="149">
        <f>IF($A236&gt;$B$9,"",IF(COUNTIFS(Base!$B$3:$B$5001,G$213,Base!$A$3:$A$5001,"&gt;="&amp;$C$7,Base!$A$3:$A$5001,"&lt;="&amp;$B236,Base!$N$3:$N$5001,"&lt;&gt;")=0,"",SUMIFS(Base!$N$3:$N$5001,Base!$B$3:$B$5001,G$213,Base!$A$3:$A$5001,_xlfn.MAXIFS(Base!$A$3:$A$5001,Base!$B$3:$B$5001,G$213,Base!$A$3:$A$5001,"&gt;="&amp;$C$7,Base!$A$3:$A$5001,"&lt;="&amp;$B236,Base!$N$3:$N$5001,"&lt;&gt;"))))</f>
        <v>4</v>
      </c>
    </row>
    <row r="237">
      <c r="A237" s="147">
        <v>24</v>
      </c>
      <c r="B237" s="148">
        <f>$B$35</f>
        <v>46289</v>
      </c>
      <c r="C237" s="149">
        <f>IF($A237&gt;$B$9,"",IF(COUNTIFS(Base!$B$3:$B$5001,C$213,Base!$A$3:$A$5001,"&gt;="&amp;$C$7,Base!$A$3:$A$5001,"&lt;="&amp;$B237,Base!$N$3:$N$5001,"&lt;&gt;")=0,"",SUMIFS(Base!$N$3:$N$5001,Base!$B$3:$B$5001,C$213,Base!$A$3:$A$5001,_xlfn.MAXIFS(Base!$A$3:$A$5001,Base!$B$3:$B$5001,C$213,Base!$A$3:$A$5001,"&gt;="&amp;$C$7,Base!$A$3:$A$5001,"&lt;="&amp;$B237,Base!$N$3:$N$5001,"&lt;&gt;"))))</f>
        <v>7</v>
      </c>
      <c r="D237" s="149">
        <f>IF($A237&gt;$B$9,"",IF(COUNTIFS(Base!$B$3:$B$5001,D$213,Base!$A$3:$A$5001,"&gt;="&amp;$C$7,Base!$A$3:$A$5001,"&lt;="&amp;$B237,Base!$N$3:$N$5001,"&lt;&gt;")=0,"",SUMIFS(Base!$N$3:$N$5001,Base!$B$3:$B$5001,D$213,Base!$A$3:$A$5001,_xlfn.MAXIFS(Base!$A$3:$A$5001,Base!$B$3:$B$5001,D$213,Base!$A$3:$A$5001,"&gt;="&amp;$C$7,Base!$A$3:$A$5001,"&lt;="&amp;$B237,Base!$N$3:$N$5001,"&lt;&gt;"))))</f>
        <v>7</v>
      </c>
      <c r="E237" s="149">
        <f>IF($A237&gt;$B$9,"",IF(COUNTIFS(Base!$B$3:$B$5001,E$213,Base!$A$3:$A$5001,"&gt;="&amp;$C$7,Base!$A$3:$A$5001,"&lt;="&amp;$B237,Base!$N$3:$N$5001,"&lt;&gt;")=0,"",SUMIFS(Base!$N$3:$N$5001,Base!$B$3:$B$5001,E$213,Base!$A$3:$A$5001,_xlfn.MAXIFS(Base!$A$3:$A$5001,Base!$B$3:$B$5001,E$213,Base!$A$3:$A$5001,"&gt;="&amp;$C$7,Base!$A$3:$A$5001,"&lt;="&amp;$B237,Base!$N$3:$N$5001,"&lt;&gt;"))))</f>
        <v>6</v>
      </c>
      <c r="F237" s="149">
        <f>IF($A237&gt;$B$9,"",IF(COUNTIFS(Base!$B$3:$B$5001,F$213,Base!$A$3:$A$5001,"&gt;="&amp;$C$7,Base!$A$3:$A$5001,"&lt;="&amp;$B237,Base!$N$3:$N$5001,"&lt;&gt;")=0,"",SUMIFS(Base!$N$3:$N$5001,Base!$B$3:$B$5001,F$213,Base!$A$3:$A$5001,_xlfn.MAXIFS(Base!$A$3:$A$5001,Base!$B$3:$B$5001,F$213,Base!$A$3:$A$5001,"&gt;="&amp;$C$7,Base!$A$3:$A$5001,"&lt;="&amp;$B237,Base!$N$3:$N$5001,"&lt;&gt;"))))</f>
        <v>7</v>
      </c>
      <c r="G237" s="149">
        <f>IF($A237&gt;$B$9,"",IF(COUNTIFS(Base!$B$3:$B$5001,G$213,Base!$A$3:$A$5001,"&gt;="&amp;$C$7,Base!$A$3:$A$5001,"&lt;="&amp;$B237,Base!$N$3:$N$5001,"&lt;&gt;")=0,"",SUMIFS(Base!$N$3:$N$5001,Base!$B$3:$B$5001,G$213,Base!$A$3:$A$5001,_xlfn.MAXIFS(Base!$A$3:$A$5001,Base!$B$3:$B$5001,G$213,Base!$A$3:$A$5001,"&gt;="&amp;$C$7,Base!$A$3:$A$5001,"&lt;="&amp;$B237,Base!$N$3:$N$5001,"&lt;&gt;"))))</f>
        <v>9</v>
      </c>
    </row>
    <row r="238">
      <c r="A238" s="147">
        <v>25</v>
      </c>
      <c r="B238" s="148">
        <f>$B$36</f>
        <v>46290</v>
      </c>
      <c r="C238" s="149">
        <f>IF($A238&gt;$B$9,"",IF(COUNTIFS(Base!$B$3:$B$5001,C$213,Base!$A$3:$A$5001,"&gt;="&amp;$C$7,Base!$A$3:$A$5001,"&lt;="&amp;$B238,Base!$N$3:$N$5001,"&lt;&gt;")=0,"",SUMIFS(Base!$N$3:$N$5001,Base!$B$3:$B$5001,C$213,Base!$A$3:$A$5001,_xlfn.MAXIFS(Base!$A$3:$A$5001,Base!$B$3:$B$5001,C$213,Base!$A$3:$A$5001,"&gt;="&amp;$C$7,Base!$A$3:$A$5001,"&lt;="&amp;$B238,Base!$N$3:$N$5001,"&lt;&gt;"))))</f>
        <v>9</v>
      </c>
      <c r="D238" s="149">
        <f>IF($A238&gt;$B$9,"",IF(COUNTIFS(Base!$B$3:$B$5001,D$213,Base!$A$3:$A$5001,"&gt;="&amp;$C$7,Base!$A$3:$A$5001,"&lt;="&amp;$B238,Base!$N$3:$N$5001,"&lt;&gt;")=0,"",SUMIFS(Base!$N$3:$N$5001,Base!$B$3:$B$5001,D$213,Base!$A$3:$A$5001,_xlfn.MAXIFS(Base!$A$3:$A$5001,Base!$B$3:$B$5001,D$213,Base!$A$3:$A$5001,"&gt;="&amp;$C$7,Base!$A$3:$A$5001,"&lt;="&amp;$B238,Base!$N$3:$N$5001,"&lt;&gt;"))))</f>
        <v>7</v>
      </c>
      <c r="E238" s="149">
        <f>IF($A238&gt;$B$9,"",IF(COUNTIFS(Base!$B$3:$B$5001,E$213,Base!$A$3:$A$5001,"&gt;="&amp;$C$7,Base!$A$3:$A$5001,"&lt;="&amp;$B238,Base!$N$3:$N$5001,"&lt;&gt;")=0,"",SUMIFS(Base!$N$3:$N$5001,Base!$B$3:$B$5001,E$213,Base!$A$3:$A$5001,_xlfn.MAXIFS(Base!$A$3:$A$5001,Base!$B$3:$B$5001,E$213,Base!$A$3:$A$5001,"&gt;="&amp;$C$7,Base!$A$3:$A$5001,"&lt;="&amp;$B238,Base!$N$3:$N$5001,"&lt;&gt;"))))</f>
        <v>5</v>
      </c>
      <c r="F238" s="149">
        <f>IF($A238&gt;$B$9,"",IF(COUNTIFS(Base!$B$3:$B$5001,F$213,Base!$A$3:$A$5001,"&gt;="&amp;$C$7,Base!$A$3:$A$5001,"&lt;="&amp;$B238,Base!$N$3:$N$5001,"&lt;&gt;")=0,"",SUMIFS(Base!$N$3:$N$5001,Base!$B$3:$B$5001,F$213,Base!$A$3:$A$5001,_xlfn.MAXIFS(Base!$A$3:$A$5001,Base!$B$3:$B$5001,F$213,Base!$A$3:$A$5001,"&gt;="&amp;$C$7,Base!$A$3:$A$5001,"&lt;="&amp;$B238,Base!$N$3:$N$5001,"&lt;&gt;"))))</f>
        <v>5</v>
      </c>
      <c r="G238" s="149">
        <f>IF($A238&gt;$B$9,"",IF(COUNTIFS(Base!$B$3:$B$5001,G$213,Base!$A$3:$A$5001,"&gt;="&amp;$C$7,Base!$A$3:$A$5001,"&lt;="&amp;$B238,Base!$N$3:$N$5001,"&lt;&gt;")=0,"",SUMIFS(Base!$N$3:$N$5001,Base!$B$3:$B$5001,G$213,Base!$A$3:$A$5001,_xlfn.MAXIFS(Base!$A$3:$A$5001,Base!$B$3:$B$5001,G$213,Base!$A$3:$A$5001,"&gt;="&amp;$C$7,Base!$A$3:$A$5001,"&lt;="&amp;$B238,Base!$N$3:$N$5001,"&lt;&gt;"))))</f>
        <v>7</v>
      </c>
    </row>
    <row r="239">
      <c r="A239" s="147">
        <v>26</v>
      </c>
      <c r="B239" s="148">
        <f>$B$37</f>
        <v>46291</v>
      </c>
      <c r="C239" s="149">
        <f>IF($A239&gt;$B$9,"",IF(COUNTIFS(Base!$B$3:$B$5001,C$213,Base!$A$3:$A$5001,"&gt;="&amp;$C$7,Base!$A$3:$A$5001,"&lt;="&amp;$B239,Base!$N$3:$N$5001,"&lt;&gt;")=0,"",SUMIFS(Base!$N$3:$N$5001,Base!$B$3:$B$5001,C$213,Base!$A$3:$A$5001,_xlfn.MAXIFS(Base!$A$3:$A$5001,Base!$B$3:$B$5001,C$213,Base!$A$3:$A$5001,"&gt;="&amp;$C$7,Base!$A$3:$A$5001,"&lt;="&amp;$B239,Base!$N$3:$N$5001,"&lt;&gt;"))))</f>
        <v>5</v>
      </c>
      <c r="D239" s="149">
        <f>IF($A239&gt;$B$9,"",IF(COUNTIFS(Base!$B$3:$B$5001,D$213,Base!$A$3:$A$5001,"&gt;="&amp;$C$7,Base!$A$3:$A$5001,"&lt;="&amp;$B239,Base!$N$3:$N$5001,"&lt;&gt;")=0,"",SUMIFS(Base!$N$3:$N$5001,Base!$B$3:$B$5001,D$213,Base!$A$3:$A$5001,_xlfn.MAXIFS(Base!$A$3:$A$5001,Base!$B$3:$B$5001,D$213,Base!$A$3:$A$5001,"&gt;="&amp;$C$7,Base!$A$3:$A$5001,"&lt;="&amp;$B239,Base!$N$3:$N$5001,"&lt;&gt;"))))</f>
        <v>7</v>
      </c>
      <c r="E239" s="149">
        <f>IF($A239&gt;$B$9,"",IF(COUNTIFS(Base!$B$3:$B$5001,E$213,Base!$A$3:$A$5001,"&gt;="&amp;$C$7,Base!$A$3:$A$5001,"&lt;="&amp;$B239,Base!$N$3:$N$5001,"&lt;&gt;")=0,"",SUMIFS(Base!$N$3:$N$5001,Base!$B$3:$B$5001,E$213,Base!$A$3:$A$5001,_xlfn.MAXIFS(Base!$A$3:$A$5001,Base!$B$3:$B$5001,E$213,Base!$A$3:$A$5001,"&gt;="&amp;$C$7,Base!$A$3:$A$5001,"&lt;="&amp;$B239,Base!$N$3:$N$5001,"&lt;&gt;"))))</f>
        <v>5</v>
      </c>
      <c r="F239" s="149">
        <f>IF($A239&gt;$B$9,"",IF(COUNTIFS(Base!$B$3:$B$5001,F$213,Base!$A$3:$A$5001,"&gt;="&amp;$C$7,Base!$A$3:$A$5001,"&lt;="&amp;$B239,Base!$N$3:$N$5001,"&lt;&gt;")=0,"",SUMIFS(Base!$N$3:$N$5001,Base!$B$3:$B$5001,F$213,Base!$A$3:$A$5001,_xlfn.MAXIFS(Base!$A$3:$A$5001,Base!$B$3:$B$5001,F$213,Base!$A$3:$A$5001,"&gt;="&amp;$C$7,Base!$A$3:$A$5001,"&lt;="&amp;$B239,Base!$N$3:$N$5001,"&lt;&gt;"))))</f>
        <v>5</v>
      </c>
      <c r="G239" s="149">
        <f>IF($A239&gt;$B$9,"",IF(COUNTIFS(Base!$B$3:$B$5001,G$213,Base!$A$3:$A$5001,"&gt;="&amp;$C$7,Base!$A$3:$A$5001,"&lt;="&amp;$B239,Base!$N$3:$N$5001,"&lt;&gt;")=0,"",SUMIFS(Base!$N$3:$N$5001,Base!$B$3:$B$5001,G$213,Base!$A$3:$A$5001,_xlfn.MAXIFS(Base!$A$3:$A$5001,Base!$B$3:$B$5001,G$213,Base!$A$3:$A$5001,"&gt;="&amp;$C$7,Base!$A$3:$A$5001,"&lt;="&amp;$B239,Base!$N$3:$N$5001,"&lt;&gt;"))))</f>
        <v>5</v>
      </c>
    </row>
    <row r="240">
      <c r="A240" s="147">
        <v>27</v>
      </c>
      <c r="B240" s="148">
        <f>$B$38</f>
        <v>46292</v>
      </c>
      <c r="C240" s="149">
        <f>IF($A240&gt;$B$9,"",IF(COUNTIFS(Base!$B$3:$B$5001,C$213,Base!$A$3:$A$5001,"&gt;="&amp;$C$7,Base!$A$3:$A$5001,"&lt;="&amp;$B240,Base!$N$3:$N$5001,"&lt;&gt;")=0,"",SUMIFS(Base!$N$3:$N$5001,Base!$B$3:$B$5001,C$213,Base!$A$3:$A$5001,_xlfn.MAXIFS(Base!$A$3:$A$5001,Base!$B$3:$B$5001,C$213,Base!$A$3:$A$5001,"&gt;="&amp;$C$7,Base!$A$3:$A$5001,"&lt;="&amp;$B240,Base!$N$3:$N$5001,"&lt;&gt;"))))</f>
        <v>9</v>
      </c>
      <c r="D240" s="149">
        <f>IF($A240&gt;$B$9,"",IF(COUNTIFS(Base!$B$3:$B$5001,D$213,Base!$A$3:$A$5001,"&gt;="&amp;$C$7,Base!$A$3:$A$5001,"&lt;="&amp;$B240,Base!$N$3:$N$5001,"&lt;&gt;")=0,"",SUMIFS(Base!$N$3:$N$5001,Base!$B$3:$B$5001,D$213,Base!$A$3:$A$5001,_xlfn.MAXIFS(Base!$A$3:$A$5001,Base!$B$3:$B$5001,D$213,Base!$A$3:$A$5001,"&gt;="&amp;$C$7,Base!$A$3:$A$5001,"&lt;="&amp;$B240,Base!$N$3:$N$5001,"&lt;&gt;"))))</f>
        <v>7</v>
      </c>
      <c r="E240" s="149">
        <f>IF($A240&gt;$B$9,"",IF(COUNTIFS(Base!$B$3:$B$5001,E$213,Base!$A$3:$A$5001,"&gt;="&amp;$C$7,Base!$A$3:$A$5001,"&lt;="&amp;$B240,Base!$N$3:$N$5001,"&lt;&gt;")=0,"",SUMIFS(Base!$N$3:$N$5001,Base!$B$3:$B$5001,E$213,Base!$A$3:$A$5001,_xlfn.MAXIFS(Base!$A$3:$A$5001,Base!$B$3:$B$5001,E$213,Base!$A$3:$A$5001,"&gt;="&amp;$C$7,Base!$A$3:$A$5001,"&lt;="&amp;$B240,Base!$N$3:$N$5001,"&lt;&gt;"))))</f>
        <v>5</v>
      </c>
      <c r="F240" s="149">
        <f>IF($A240&gt;$B$9,"",IF(COUNTIFS(Base!$B$3:$B$5001,F$213,Base!$A$3:$A$5001,"&gt;="&amp;$C$7,Base!$A$3:$A$5001,"&lt;="&amp;$B240,Base!$N$3:$N$5001,"&lt;&gt;")=0,"",SUMIFS(Base!$N$3:$N$5001,Base!$B$3:$B$5001,F$213,Base!$A$3:$A$5001,_xlfn.MAXIFS(Base!$A$3:$A$5001,Base!$B$3:$B$5001,F$213,Base!$A$3:$A$5001,"&gt;="&amp;$C$7,Base!$A$3:$A$5001,"&lt;="&amp;$B240,Base!$N$3:$N$5001,"&lt;&gt;"))))</f>
        <v>5</v>
      </c>
      <c r="G240" s="149">
        <f>IF($A240&gt;$B$9,"",IF(COUNTIFS(Base!$B$3:$B$5001,G$213,Base!$A$3:$A$5001,"&gt;="&amp;$C$7,Base!$A$3:$A$5001,"&lt;="&amp;$B240,Base!$N$3:$N$5001,"&lt;&gt;")=0,"",SUMIFS(Base!$N$3:$N$5001,Base!$B$3:$B$5001,G$213,Base!$A$3:$A$5001,_xlfn.MAXIFS(Base!$A$3:$A$5001,Base!$B$3:$B$5001,G$213,Base!$A$3:$A$5001,"&gt;="&amp;$C$7,Base!$A$3:$A$5001,"&lt;="&amp;$B240,Base!$N$3:$N$5001,"&lt;&gt;"))))</f>
        <v>5</v>
      </c>
    </row>
    <row r="241">
      <c r="A241" s="147">
        <v>28</v>
      </c>
      <c r="B241" s="148">
        <f>$B$39</f>
        <v>46293</v>
      </c>
      <c r="C241" s="149">
        <f>IF($A241&gt;$B$9,"",IF(COUNTIFS(Base!$B$3:$B$5001,C$213,Base!$A$3:$A$5001,"&gt;="&amp;$C$7,Base!$A$3:$A$5001,"&lt;="&amp;$B241,Base!$N$3:$N$5001,"&lt;&gt;")=0,"",SUMIFS(Base!$N$3:$N$5001,Base!$B$3:$B$5001,C$213,Base!$A$3:$A$5001,_xlfn.MAXIFS(Base!$A$3:$A$5001,Base!$B$3:$B$5001,C$213,Base!$A$3:$A$5001,"&gt;="&amp;$C$7,Base!$A$3:$A$5001,"&lt;="&amp;$B241,Base!$N$3:$N$5001,"&lt;&gt;"))))</f>
        <v>7</v>
      </c>
      <c r="D241" s="149">
        <f>IF($A241&gt;$B$9,"",IF(COUNTIFS(Base!$B$3:$B$5001,D$213,Base!$A$3:$A$5001,"&gt;="&amp;$C$7,Base!$A$3:$A$5001,"&lt;="&amp;$B241,Base!$N$3:$N$5001,"&lt;&gt;")=0,"",SUMIFS(Base!$N$3:$N$5001,Base!$B$3:$B$5001,D$213,Base!$A$3:$A$5001,_xlfn.MAXIFS(Base!$A$3:$A$5001,Base!$B$3:$B$5001,D$213,Base!$A$3:$A$5001,"&gt;="&amp;$C$7,Base!$A$3:$A$5001,"&lt;="&amp;$B241,Base!$N$3:$N$5001,"&lt;&gt;"))))</f>
        <v>6</v>
      </c>
      <c r="E241" s="149">
        <f>IF($A241&gt;$B$9,"",IF(COUNTIFS(Base!$B$3:$B$5001,E$213,Base!$A$3:$A$5001,"&gt;="&amp;$C$7,Base!$A$3:$A$5001,"&lt;="&amp;$B241,Base!$N$3:$N$5001,"&lt;&gt;")=0,"",SUMIFS(Base!$N$3:$N$5001,Base!$B$3:$B$5001,E$213,Base!$A$3:$A$5001,_xlfn.MAXIFS(Base!$A$3:$A$5001,Base!$B$3:$B$5001,E$213,Base!$A$3:$A$5001,"&gt;="&amp;$C$7,Base!$A$3:$A$5001,"&lt;="&amp;$B241,Base!$N$3:$N$5001,"&lt;&gt;"))))</f>
        <v>7</v>
      </c>
      <c r="F241" s="149">
        <f>IF($A241&gt;$B$9,"",IF(COUNTIFS(Base!$B$3:$B$5001,F$213,Base!$A$3:$A$5001,"&gt;="&amp;$C$7,Base!$A$3:$A$5001,"&lt;="&amp;$B241,Base!$N$3:$N$5001,"&lt;&gt;")=0,"",SUMIFS(Base!$N$3:$N$5001,Base!$B$3:$B$5001,F$213,Base!$A$3:$A$5001,_xlfn.MAXIFS(Base!$A$3:$A$5001,Base!$B$3:$B$5001,F$213,Base!$A$3:$A$5001,"&gt;="&amp;$C$7,Base!$A$3:$A$5001,"&lt;="&amp;$B241,Base!$N$3:$N$5001,"&lt;&gt;"))))</f>
        <v>4</v>
      </c>
      <c r="G241" s="149">
        <f>IF($A241&gt;$B$9,"",IF(COUNTIFS(Base!$B$3:$B$5001,G$213,Base!$A$3:$A$5001,"&gt;="&amp;$C$7,Base!$A$3:$A$5001,"&lt;="&amp;$B241,Base!$N$3:$N$5001,"&lt;&gt;")=0,"",SUMIFS(Base!$N$3:$N$5001,Base!$B$3:$B$5001,G$213,Base!$A$3:$A$5001,_xlfn.MAXIFS(Base!$A$3:$A$5001,Base!$B$3:$B$5001,G$213,Base!$A$3:$A$5001,"&gt;="&amp;$C$7,Base!$A$3:$A$5001,"&lt;="&amp;$B241,Base!$N$3:$N$5001,"&lt;&gt;"))))</f>
        <v>3</v>
      </c>
    </row>
    <row r="242">
      <c r="A242" s="147">
        <v>29</v>
      </c>
      <c r="B242" s="148">
        <f>$B$40</f>
        <v>46294</v>
      </c>
      <c r="C242" s="149">
        <f>IF($A242&gt;$B$9,"",IF(COUNTIFS(Base!$B$3:$B$5001,C$213,Base!$A$3:$A$5001,"&gt;="&amp;$C$7,Base!$A$3:$A$5001,"&lt;="&amp;$B242,Base!$N$3:$N$5001,"&lt;&gt;")=0,"",SUMIFS(Base!$N$3:$N$5001,Base!$B$3:$B$5001,C$213,Base!$A$3:$A$5001,_xlfn.MAXIFS(Base!$A$3:$A$5001,Base!$B$3:$B$5001,C$213,Base!$A$3:$A$5001,"&gt;="&amp;$C$7,Base!$A$3:$A$5001,"&lt;="&amp;$B242,Base!$N$3:$N$5001,"&lt;&gt;"))))</f>
        <v>5</v>
      </c>
      <c r="D242" s="149">
        <f>IF($A242&gt;$B$9,"",IF(COUNTIFS(Base!$B$3:$B$5001,D$213,Base!$A$3:$A$5001,"&gt;="&amp;$C$7,Base!$A$3:$A$5001,"&lt;="&amp;$B242,Base!$N$3:$N$5001,"&lt;&gt;")=0,"",SUMIFS(Base!$N$3:$N$5001,Base!$B$3:$B$5001,D$213,Base!$A$3:$A$5001,_xlfn.MAXIFS(Base!$A$3:$A$5001,Base!$B$3:$B$5001,D$213,Base!$A$3:$A$5001,"&gt;="&amp;$C$7,Base!$A$3:$A$5001,"&lt;="&amp;$B242,Base!$N$3:$N$5001,"&lt;&gt;"))))</f>
        <v>5</v>
      </c>
      <c r="E242" s="149">
        <f>IF($A242&gt;$B$9,"",IF(COUNTIFS(Base!$B$3:$B$5001,E$213,Base!$A$3:$A$5001,"&gt;="&amp;$C$7,Base!$A$3:$A$5001,"&lt;="&amp;$B242,Base!$N$3:$N$5001,"&lt;&gt;")=0,"",SUMIFS(Base!$N$3:$N$5001,Base!$B$3:$B$5001,E$213,Base!$A$3:$A$5001,_xlfn.MAXIFS(Base!$A$3:$A$5001,Base!$B$3:$B$5001,E$213,Base!$A$3:$A$5001,"&gt;="&amp;$C$7,Base!$A$3:$A$5001,"&lt;="&amp;$B242,Base!$N$3:$N$5001,"&lt;&gt;"))))</f>
        <v>5</v>
      </c>
      <c r="F242" s="149">
        <f>IF($A242&gt;$B$9,"",IF(COUNTIFS(Base!$B$3:$B$5001,F$213,Base!$A$3:$A$5001,"&gt;="&amp;$C$7,Base!$A$3:$A$5001,"&lt;="&amp;$B242,Base!$N$3:$N$5001,"&lt;&gt;")=0,"",SUMIFS(Base!$N$3:$N$5001,Base!$B$3:$B$5001,F$213,Base!$A$3:$A$5001,_xlfn.MAXIFS(Base!$A$3:$A$5001,Base!$B$3:$B$5001,F$213,Base!$A$3:$A$5001,"&gt;="&amp;$C$7,Base!$A$3:$A$5001,"&lt;="&amp;$B242,Base!$N$3:$N$5001,"&lt;&gt;"))))</f>
        <v>8</v>
      </c>
      <c r="G242" s="149">
        <f>IF($A242&gt;$B$9,"",IF(COUNTIFS(Base!$B$3:$B$5001,G$213,Base!$A$3:$A$5001,"&gt;="&amp;$C$7,Base!$A$3:$A$5001,"&lt;="&amp;$B242,Base!$N$3:$N$5001,"&lt;&gt;")=0,"",SUMIFS(Base!$N$3:$N$5001,Base!$B$3:$B$5001,G$213,Base!$A$3:$A$5001,_xlfn.MAXIFS(Base!$A$3:$A$5001,Base!$B$3:$B$5001,G$213,Base!$A$3:$A$5001,"&gt;="&amp;$C$7,Base!$A$3:$A$5001,"&lt;="&amp;$B242,Base!$N$3:$N$5001,"&lt;&gt;"))))</f>
        <v>3</v>
      </c>
    </row>
    <row r="243">
      <c r="A243" s="147">
        <v>30</v>
      </c>
      <c r="B243" s="148">
        <f>$B$41</f>
        <v>46295</v>
      </c>
      <c r="C243" s="149" t="str">
        <f>IF($A243&gt;$B$9,"",IF(COUNTIFS(Base!$B$3:$B$5001,C$213,Base!$A$3:$A$5001,"&gt;="&amp;$C$7,Base!$A$3:$A$5001,"&lt;="&amp;$B243,Base!$N$3:$N$5001,"&lt;&gt;")=0,"",SUMIFS(Base!$N$3:$N$5001,Base!$B$3:$B$5001,C$213,Base!$A$3:$A$5001,_xlfn.MAXIFS(Base!$A$3:$A$5001,Base!$B$3:$B$5001,C$213,Base!$A$3:$A$5001,"&gt;="&amp;$C$7,Base!$A$3:$A$5001,"&lt;="&amp;$B243,Base!$N$3:$N$5001,"&lt;&gt;"))))</f>
        <v/>
      </c>
      <c r="D243" s="149" t="str">
        <f>IF($A243&gt;$B$9,"",IF(COUNTIFS(Base!$B$3:$B$5001,D$213,Base!$A$3:$A$5001,"&gt;="&amp;$C$7,Base!$A$3:$A$5001,"&lt;="&amp;$B243,Base!$N$3:$N$5001,"&lt;&gt;")=0,"",SUMIFS(Base!$N$3:$N$5001,Base!$B$3:$B$5001,D$213,Base!$A$3:$A$5001,_xlfn.MAXIFS(Base!$A$3:$A$5001,Base!$B$3:$B$5001,D$213,Base!$A$3:$A$5001,"&gt;="&amp;$C$7,Base!$A$3:$A$5001,"&lt;="&amp;$B243,Base!$N$3:$N$5001,"&lt;&gt;"))))</f>
        <v/>
      </c>
      <c r="E243" s="149" t="str">
        <f>IF($A243&gt;$B$9,"",IF(COUNTIFS(Base!$B$3:$B$5001,E$213,Base!$A$3:$A$5001,"&gt;="&amp;$C$7,Base!$A$3:$A$5001,"&lt;="&amp;$B243,Base!$N$3:$N$5001,"&lt;&gt;")=0,"",SUMIFS(Base!$N$3:$N$5001,Base!$B$3:$B$5001,E$213,Base!$A$3:$A$5001,_xlfn.MAXIFS(Base!$A$3:$A$5001,Base!$B$3:$B$5001,E$213,Base!$A$3:$A$5001,"&gt;="&amp;$C$7,Base!$A$3:$A$5001,"&lt;="&amp;$B243,Base!$N$3:$N$5001,"&lt;&gt;"))))</f>
        <v/>
      </c>
      <c r="F243" s="149" t="str">
        <f>IF($A243&gt;$B$9,"",IF(COUNTIFS(Base!$B$3:$B$5001,F$213,Base!$A$3:$A$5001,"&gt;="&amp;$C$7,Base!$A$3:$A$5001,"&lt;="&amp;$B243,Base!$N$3:$N$5001,"&lt;&gt;")=0,"",SUMIFS(Base!$N$3:$N$5001,Base!$B$3:$B$5001,F$213,Base!$A$3:$A$5001,_xlfn.MAXIFS(Base!$A$3:$A$5001,Base!$B$3:$B$5001,F$213,Base!$A$3:$A$5001,"&gt;="&amp;$C$7,Base!$A$3:$A$5001,"&lt;="&amp;$B243,Base!$N$3:$N$5001,"&lt;&gt;"))))</f>
        <v/>
      </c>
      <c r="G243" s="149" t="str">
        <f>IF($A243&gt;$B$9,"",IF(COUNTIFS(Base!$B$3:$B$5001,G$213,Base!$A$3:$A$5001,"&gt;="&amp;$C$7,Base!$A$3:$A$5001,"&lt;="&amp;$B243,Base!$N$3:$N$5001,"&lt;&gt;")=0,"",SUMIFS(Base!$N$3:$N$5001,Base!$B$3:$B$5001,G$213,Base!$A$3:$A$5001,_xlfn.MAXIFS(Base!$A$3:$A$5001,Base!$B$3:$B$5001,G$213,Base!$A$3:$A$5001,"&gt;="&amp;$C$7,Base!$A$3:$A$5001,"&lt;="&amp;$B243,Base!$N$3:$N$5001,"&lt;&gt;"))))</f>
        <v/>
      </c>
    </row>
    <row r="244">
      <c r="A244" s="147">
        <v>31</v>
      </c>
      <c r="B244" s="148" t="str">
        <f>$B$42</f>
        <v/>
      </c>
      <c r="C244" s="149" t="str">
        <f>IF($A244&gt;$B$9,"",IF(COUNTIFS(Base!$B$3:$B$5001,C$213,Base!$A$3:$A$5001,"&gt;="&amp;$C$7,Base!$A$3:$A$5001,"&lt;="&amp;$B244,Base!$N$3:$N$5001,"&lt;&gt;")=0,"",SUMIFS(Base!$N$3:$N$5001,Base!$B$3:$B$5001,C$213,Base!$A$3:$A$5001,_xlfn.MAXIFS(Base!$A$3:$A$5001,Base!$B$3:$B$5001,C$213,Base!$A$3:$A$5001,"&gt;="&amp;$C$7,Base!$A$3:$A$5001,"&lt;="&amp;$B244,Base!$N$3:$N$5001,"&lt;&gt;"))))</f>
        <v/>
      </c>
      <c r="D244" s="149" t="str">
        <f>IF($A244&gt;$B$9,"",IF(COUNTIFS(Base!$B$3:$B$5001,D$213,Base!$A$3:$A$5001,"&gt;="&amp;$C$7,Base!$A$3:$A$5001,"&lt;="&amp;$B244,Base!$N$3:$N$5001,"&lt;&gt;")=0,"",SUMIFS(Base!$N$3:$N$5001,Base!$B$3:$B$5001,D$213,Base!$A$3:$A$5001,_xlfn.MAXIFS(Base!$A$3:$A$5001,Base!$B$3:$B$5001,D$213,Base!$A$3:$A$5001,"&gt;="&amp;$C$7,Base!$A$3:$A$5001,"&lt;="&amp;$B244,Base!$N$3:$N$5001,"&lt;&gt;"))))</f>
        <v/>
      </c>
      <c r="E244" s="149" t="str">
        <f>IF($A244&gt;$B$9,"",IF(COUNTIFS(Base!$B$3:$B$5001,E$213,Base!$A$3:$A$5001,"&gt;="&amp;$C$7,Base!$A$3:$A$5001,"&lt;="&amp;$B244,Base!$N$3:$N$5001,"&lt;&gt;")=0,"",SUMIFS(Base!$N$3:$N$5001,Base!$B$3:$B$5001,E$213,Base!$A$3:$A$5001,_xlfn.MAXIFS(Base!$A$3:$A$5001,Base!$B$3:$B$5001,E$213,Base!$A$3:$A$5001,"&gt;="&amp;$C$7,Base!$A$3:$A$5001,"&lt;="&amp;$B244,Base!$N$3:$N$5001,"&lt;&gt;"))))</f>
        <v/>
      </c>
      <c r="F244" s="149" t="str">
        <f>IF($A244&gt;$B$9,"",IF(COUNTIFS(Base!$B$3:$B$5001,F$213,Base!$A$3:$A$5001,"&gt;="&amp;$C$7,Base!$A$3:$A$5001,"&lt;="&amp;$B244,Base!$N$3:$N$5001,"&lt;&gt;")=0,"",SUMIFS(Base!$N$3:$N$5001,Base!$B$3:$B$5001,F$213,Base!$A$3:$A$5001,_xlfn.MAXIFS(Base!$A$3:$A$5001,Base!$B$3:$B$5001,F$213,Base!$A$3:$A$5001,"&gt;="&amp;$C$7,Base!$A$3:$A$5001,"&lt;="&amp;$B244,Base!$N$3:$N$5001,"&lt;&gt;"))))</f>
        <v/>
      </c>
      <c r="G244" s="149" t="str">
        <f>IF($A244&gt;$B$9,"",IF(COUNTIFS(Base!$B$3:$B$5001,G$213,Base!$A$3:$A$5001,"&gt;="&amp;$C$7,Base!$A$3:$A$5001,"&lt;="&amp;$B244,Base!$N$3:$N$5001,"&lt;&gt;")=0,"",SUMIFS(Base!$N$3:$N$5001,Base!$B$3:$B$5001,G$213,Base!$A$3:$A$5001,_xlfn.MAXIFS(Base!$A$3:$A$5001,Base!$B$3:$B$5001,G$213,Base!$A$3:$A$5001,"&gt;="&amp;$C$7,Base!$A$3:$A$5001,"&lt;="&amp;$B244,Base!$N$3:$N$5001,"&lt;&gt;"))))</f>
        <v/>
      </c>
    </row>
    <row r="245">
      <c r="A245" s="150" t="inlineStr">
        <is>
          <t xml:space="preserve">Mês anterior (último)</t>
        </is>
      </c>
      <c r="C245" s="151">
        <f>IF(COUNTIFS(Base!$B$3:$B$5001,C$213,Base!$A$3:$A$5001,"&gt;="&amp;$C$8,Base!$A$3:$A$5001,"&lt;="&amp;$D$8,Base!$N$3:$N$5001,"&lt;&gt;")=0,"",SUMIFS(Base!$N$3:$N$5001,Base!$B$3:$B$5001,C$213,Base!$A$3:$A$5001,_xlfn.MAXIFS(Base!$A$3:$A$5001,Base!$B$3:$B$5001,C$213,Base!$A$3:$A$5001,"&gt;="&amp;$C$8,Base!$A$3:$A$5001,"&lt;="&amp;$D$8,Base!$N$3:$N$5001,"&lt;&gt;")))</f>
        <v>4</v>
      </c>
      <c r="D245" s="151">
        <f>IF(COUNTIFS(Base!$B$3:$B$5001,D$213,Base!$A$3:$A$5001,"&gt;="&amp;$C$8,Base!$A$3:$A$5001,"&lt;="&amp;$D$8,Base!$N$3:$N$5001,"&lt;&gt;")=0,"",SUMIFS(Base!$N$3:$N$5001,Base!$B$3:$B$5001,D$213,Base!$A$3:$A$5001,_xlfn.MAXIFS(Base!$A$3:$A$5001,Base!$B$3:$B$5001,D$213,Base!$A$3:$A$5001,"&gt;="&amp;$C$8,Base!$A$3:$A$5001,"&lt;="&amp;$D$8,Base!$N$3:$N$5001,"&lt;&gt;")))</f>
        <v>4</v>
      </c>
      <c r="E245" s="151">
        <f>IF(COUNTIFS(Base!$B$3:$B$5001,E$213,Base!$A$3:$A$5001,"&gt;="&amp;$C$8,Base!$A$3:$A$5001,"&lt;="&amp;$D$8,Base!$N$3:$N$5001,"&lt;&gt;")=0,"",SUMIFS(Base!$N$3:$N$5001,Base!$B$3:$B$5001,E$213,Base!$A$3:$A$5001,_xlfn.MAXIFS(Base!$A$3:$A$5001,Base!$B$3:$B$5001,E$213,Base!$A$3:$A$5001,"&gt;="&amp;$C$8,Base!$A$3:$A$5001,"&lt;="&amp;$D$8,Base!$N$3:$N$5001,"&lt;&gt;")))</f>
        <v>5</v>
      </c>
      <c r="F245" s="151">
        <f>IF(COUNTIFS(Base!$B$3:$B$5001,F$213,Base!$A$3:$A$5001,"&gt;="&amp;$C$8,Base!$A$3:$A$5001,"&lt;="&amp;$D$8,Base!$N$3:$N$5001,"&lt;&gt;")=0,"",SUMIFS(Base!$N$3:$N$5001,Base!$B$3:$B$5001,F$213,Base!$A$3:$A$5001,_xlfn.MAXIFS(Base!$A$3:$A$5001,Base!$B$3:$B$5001,F$213,Base!$A$3:$A$5001,"&gt;="&amp;$C$8,Base!$A$3:$A$5001,"&lt;="&amp;$D$8,Base!$N$3:$N$5001,"&lt;&gt;")))</f>
        <v>7</v>
      </c>
      <c r="G245" s="151">
        <f>IF(COUNTIFS(Base!$B$3:$B$5001,G$213,Base!$A$3:$A$5001,"&gt;="&amp;$C$8,Base!$A$3:$A$5001,"&lt;="&amp;$D$8,Base!$N$3:$N$5001,"&lt;&gt;")=0,"",SUMIFS(Base!$N$3:$N$5001,Base!$B$3:$B$5001,G$213,Base!$A$3:$A$5001,_xlfn.MAXIFS(Base!$A$3:$A$5001,Base!$B$3:$B$5001,G$213,Base!$A$3:$A$5001,"&gt;="&amp;$C$8,Base!$A$3:$A$5001,"&lt;="&amp;$D$8,Base!$N$3:$N$5001,"&lt;&gt;")))</f>
        <v>6</v>
      </c>
    </row>
  </sheetData>
  <pageMargins left="0.25" right="0.25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U241"/>
  <sheetViews>
    <sheetView showGridLines="0" zoomScale="100" zoomScaleNormal="100" workbookViewId="0">
      <pane xSplit="2" ySplit="2" topLeftCell="C3" activePane="bottomRight" state="frozen"/>
      <selection pane="bottomRight" activeCell="A242" sqref="A242"/>
    </sheetView>
  </sheetViews>
  <sheetFormatPr defaultRowHeight="15"/>
  <cols>
    <col min="1" max="1" width="11" customWidth="1"/>
    <col min="2" max="2" width="18" customWidth="1"/>
    <col min="3" max="3" width="11" customWidth="1"/>
    <col min="4" max="4" width="11" customWidth="1"/>
    <col min="5" max="5" width="12" customWidth="1"/>
    <col min="6" max="6" width="11" customWidth="1"/>
    <col min="7" max="7" width="11" customWidth="1"/>
    <col min="8" max="8" width="12" customWidth="1"/>
    <col min="9" max="9" width="10" customWidth="1"/>
    <col min="10" max="10" width="9" customWidth="1"/>
    <col min="11" max="11" width="9" customWidth="1"/>
    <col min="12" max="12" width="11" customWidth="1"/>
    <col min="13" max="13" width="11" customWidth="1"/>
    <col min="14" max="14" width="9" customWidth="1"/>
    <col min="15" max="15" width="8" customWidth="1"/>
    <col min="16" max="16" width="8" customWidth="1"/>
    <col min="17" max="17" width="8" customWidth="1"/>
    <col min="18" max="18" width="8" customWidth="1"/>
    <col min="19" max="19" width="12" customWidth="1"/>
    <col min="20" max="20" width="3" customWidth="1"/>
    <col min="21" max="21" width="95" customWidth="1"/>
  </cols>
  <sheetData>
    <row r="1" ht="20" customHeight="1">
      <c r="A1" s="459" t="inlineStr">
        <is>
          <t xml:space="preserve">REGISTRO</t>
        </is>
      </c>
      <c r="B1" s="459"/>
      <c r="C1" s="460" t="inlineStr">
        <is>
          <t xml:space="preserve">IN · RECEBIMENTO</t>
        </is>
      </c>
      <c r="D1" s="460"/>
      <c r="E1" s="460"/>
      <c r="F1" s="461" t="inlineStr">
        <is>
          <t xml:space="preserve">OUT · EXPEDIÇÃO</t>
        </is>
      </c>
      <c r="G1" s="461"/>
      <c r="H1" s="461"/>
      <c r="I1" s="462" t="inlineStr">
        <is>
          <t xml:space="preserve">NC · NÃO CONFORMIDADES</t>
        </is>
      </c>
      <c r="J1" s="462"/>
      <c r="K1" s="462"/>
      <c r="L1" s="463" t="inlineStr">
        <is>
          <t xml:space="preserve">OCUPAÇÃO (P.P)</t>
        </is>
      </c>
      <c r="M1" s="463"/>
      <c r="N1" s="464" t="inlineStr">
        <is>
          <t xml:space="preserve">GENTE</t>
        </is>
      </c>
      <c r="O1" s="464"/>
      <c r="P1" s="464"/>
      <c r="Q1" s="464"/>
      <c r="R1" s="464"/>
      <c r="S1" s="465" t="inlineStr">
        <is>
          <t xml:space="preserve">CONTRATO</t>
        </is>
      </c>
    </row>
    <row r="2" ht="42" customHeight="1">
      <c r="A2" s="121" t="inlineStr">
        <is>
          <t xml:space="preserve">Data</t>
        </is>
      </c>
      <c r="B2" s="121" t="inlineStr">
        <is>
          <t xml:space="preserve">Cliente</t>
        </is>
      </c>
      <c r="C2" s="121" t="inlineStr">
        <is>
          <t xml:space="preserve">IN Veículos Recebidos</t>
        </is>
      </c>
      <c r="D2" s="121" t="inlineStr">
        <is>
          <t xml:space="preserve">IN Pallets Movimentados</t>
        </is>
      </c>
      <c r="E2" s="121" t="inlineStr">
        <is>
          <t xml:space="preserve">IN Toneladas Movimentadas</t>
        </is>
      </c>
      <c r="F2" s="121" t="inlineStr">
        <is>
          <t xml:space="preserve">OUT Veículos Expedidos</t>
        </is>
      </c>
      <c r="G2" s="121" t="inlineStr">
        <is>
          <t xml:space="preserve">OUT Pallets Movimentados</t>
        </is>
      </c>
      <c r="H2" s="121" t="inlineStr">
        <is>
          <t xml:space="preserve">OUT Toneladas Movimentadas</t>
        </is>
      </c>
      <c r="I2" s="121" t="inlineStr">
        <is>
          <t xml:space="preserve">NC Incidentes</t>
        </is>
      </c>
      <c r="J2" s="121" t="inlineStr">
        <is>
          <t xml:space="preserve">NC No show</t>
        </is>
      </c>
      <c r="K2" s="121" t="inlineStr">
        <is>
          <t xml:space="preserve">NC Backlog</t>
        </is>
      </c>
      <c r="L2" s="121" t="inlineStr">
        <is>
          <t xml:space="preserve">Posições Disponíveis</t>
        </is>
      </c>
      <c r="M2" s="121" t="inlineStr">
        <is>
          <t xml:space="preserve">Posições Ocupadas</t>
        </is>
      </c>
      <c r="N2" s="121" t="inlineStr">
        <is>
          <t xml:space="preserve">Efetivo Op.</t>
        </is>
      </c>
      <c r="O2" s="121" t="inlineStr">
        <is>
          <t xml:space="preserve">Falta</t>
        </is>
      </c>
      <c r="P2" s="121" t="inlineStr">
        <is>
          <t xml:space="preserve">Folga</t>
        </is>
      </c>
      <c r="Q2" s="121" t="inlineStr">
        <is>
          <t xml:space="preserve">Férias</t>
        </is>
      </c>
      <c r="R2" s="121" t="inlineStr">
        <is>
          <t xml:space="preserve">Desligamento</t>
        </is>
      </c>
      <c r="S2" s="121" t="inlineStr">
        <is>
          <t xml:space="preserve">Modalidade</t>
        </is>
      </c>
      <c r="U2" s="466" t="inlineStr">
        <is>
          <t xml:space="preserve">COMO PREENCHER A BASE</t>
        </is>
      </c>
    </row>
    <row r="3">
      <c r="A3" s="122">
        <v>46235</v>
      </c>
      <c r="B3" s="123" t="inlineStr">
        <is>
          <t xml:space="preserve">Mondelez</t>
        </is>
      </c>
      <c r="C3" s="124">
        <v>0</v>
      </c>
      <c r="D3" s="124">
        <v>0</v>
      </c>
      <c r="E3" s="125">
        <v>0</v>
      </c>
      <c r="F3" s="124">
        <v>1</v>
      </c>
      <c r="G3" s="124">
        <v>18</v>
      </c>
      <c r="H3" s="125">
        <v>6.36</v>
      </c>
      <c r="I3" s="124">
        <v>0</v>
      </c>
      <c r="J3" s="124"/>
      <c r="K3" s="124"/>
      <c r="L3" s="124"/>
      <c r="M3" s="124">
        <v>317</v>
      </c>
      <c r="N3" s="124">
        <v>7</v>
      </c>
      <c r="O3" s="124"/>
      <c r="P3" s="124"/>
      <c r="Q3" s="124"/>
      <c r="R3" s="124"/>
      <c r="S3" s="126" t="inlineStr">
        <is>
          <t xml:space="preserve">Spot</t>
        </is>
      </c>
      <c r="U3" s="467" t="inlineStr">
        <is>
          <t xml:space="preserve">• Uma linha por dia e por cliente.</t>
        </is>
      </c>
    </row>
    <row r="4">
      <c r="A4" s="122">
        <v>46236</v>
      </c>
      <c r="B4" s="123" t="inlineStr">
        <is>
          <t xml:space="preserve">Barry Callebaut</t>
        </is>
      </c>
      <c r="C4" s="124">
        <v>4</v>
      </c>
      <c r="D4" s="124">
        <v>104</v>
      </c>
      <c r="E4" s="125">
        <v>92.86</v>
      </c>
      <c r="F4" s="124">
        <v>0</v>
      </c>
      <c r="G4" s="124">
        <v>0</v>
      </c>
      <c r="H4" s="125">
        <v>0</v>
      </c>
      <c r="I4" s="124">
        <v>0</v>
      </c>
      <c r="J4" s="124"/>
      <c r="K4" s="124"/>
      <c r="L4" s="124">
        <v>1950</v>
      </c>
      <c r="M4" s="124">
        <v>1329</v>
      </c>
      <c r="N4" s="124">
        <v>3</v>
      </c>
      <c r="O4" s="124"/>
      <c r="P4" s="124"/>
      <c r="Q4" s="124"/>
      <c r="R4" s="124"/>
      <c r="S4" s="126" t="inlineStr">
        <is>
          <t xml:space="preserve">Contrato</t>
        </is>
      </c>
      <c r="U4" s="467" t="inlineStr">
        <is>
          <t xml:space="preserve">• Digite na primeira linha vazia logo abaixo da tabela: ela cresce sozinha e leva formato, listas e validações.</t>
        </is>
      </c>
    </row>
    <row r="5">
      <c r="A5" s="122">
        <v>46236</v>
      </c>
      <c r="B5" s="123" t="inlineStr">
        <is>
          <t xml:space="preserve">Gm</t>
        </is>
      </c>
      <c r="C5" s="124">
        <v>1</v>
      </c>
      <c r="D5" s="124">
        <v>23</v>
      </c>
      <c r="E5" s="125">
        <v>17.72</v>
      </c>
      <c r="F5" s="124">
        <v>11</v>
      </c>
      <c r="G5" s="124">
        <v>198</v>
      </c>
      <c r="H5" s="125">
        <v>88.98</v>
      </c>
      <c r="I5" s="124">
        <v>0</v>
      </c>
      <c r="J5" s="124"/>
      <c r="K5" s="124"/>
      <c r="L5" s="124">
        <v>800</v>
      </c>
      <c r="M5" s="124">
        <v>772</v>
      </c>
      <c r="N5" s="124">
        <v>5</v>
      </c>
      <c r="O5" s="124"/>
      <c r="P5" s="124"/>
      <c r="Q5" s="124"/>
      <c r="R5" s="124"/>
      <c r="S5" s="126" t="inlineStr">
        <is>
          <t xml:space="preserve">Contrato</t>
        </is>
      </c>
      <c r="U5" s="467" t="inlineStr">
        <is>
          <t xml:space="preserve">• Data: dd/mm/aaaa.   Cliente e Modalidade: escolha na lista (setinha da célula).</t>
        </is>
      </c>
    </row>
    <row r="6">
      <c r="A6" s="122">
        <v>46237</v>
      </c>
      <c r="B6" s="123" t="inlineStr">
        <is>
          <t xml:space="preserve">Barry Callebaut</t>
        </is>
      </c>
      <c r="C6" s="124">
        <v>6</v>
      </c>
      <c r="D6" s="124">
        <v>162</v>
      </c>
      <c r="E6" s="125">
        <v>123.95</v>
      </c>
      <c r="F6" s="124">
        <v>5</v>
      </c>
      <c r="G6" s="124">
        <v>90</v>
      </c>
      <c r="H6" s="125">
        <v>84.58</v>
      </c>
      <c r="I6" s="124">
        <v>0</v>
      </c>
      <c r="J6" s="124"/>
      <c r="K6" s="124"/>
      <c r="L6" s="124">
        <v>1950</v>
      </c>
      <c r="M6" s="124">
        <v>1615</v>
      </c>
      <c r="N6" s="124">
        <v>7</v>
      </c>
      <c r="O6" s="124"/>
      <c r="P6" s="124"/>
      <c r="Q6" s="124"/>
      <c r="R6" s="124"/>
      <c r="S6" s="126" t="inlineStr">
        <is>
          <t xml:space="preserve">Contrato</t>
        </is>
      </c>
      <c r="U6" s="467" t="inlineStr">
        <is>
          <t xml:space="preserve">• Números: só 0 ou maior. Toneladas aceitam casas decimais.</t>
        </is>
      </c>
    </row>
    <row r="7">
      <c r="A7" s="122">
        <v>46237</v>
      </c>
      <c r="B7" s="123" t="inlineStr">
        <is>
          <t xml:space="preserve">Gm</t>
        </is>
      </c>
      <c r="C7" s="124">
        <v>9</v>
      </c>
      <c r="D7" s="124">
        <v>234</v>
      </c>
      <c r="E7" s="125">
        <v>119.42</v>
      </c>
      <c r="F7" s="124">
        <v>7</v>
      </c>
      <c r="G7" s="124">
        <v>126</v>
      </c>
      <c r="H7" s="125">
        <v>86.84</v>
      </c>
      <c r="I7" s="124">
        <v>0</v>
      </c>
      <c r="J7" s="124"/>
      <c r="K7" s="124"/>
      <c r="L7" s="124">
        <v>800</v>
      </c>
      <c r="M7" s="124">
        <v>611</v>
      </c>
      <c r="N7" s="124">
        <v>8</v>
      </c>
      <c r="O7" s="124"/>
      <c r="P7" s="124"/>
      <c r="Q7" s="124"/>
      <c r="R7" s="124"/>
      <c r="S7" s="126" t="inlineStr">
        <is>
          <t xml:space="preserve">Contrato</t>
        </is>
      </c>
      <c r="U7" s="467" t="inlineStr">
        <is>
          <t xml:space="preserve">• Deixe em branco o que não foi medido (não digite 0 se não houve registro).</t>
        </is>
      </c>
    </row>
    <row r="8">
      <c r="A8" s="122">
        <v>46237</v>
      </c>
      <c r="B8" s="123" t="inlineStr">
        <is>
          <t xml:space="preserve">Mondelez</t>
        </is>
      </c>
      <c r="C8" s="124">
        <v>1</v>
      </c>
      <c r="D8" s="124">
        <v>25</v>
      </c>
      <c r="E8" s="125">
        <v>15.27</v>
      </c>
      <c r="F8" s="124">
        <v>6</v>
      </c>
      <c r="G8" s="124">
        <v>108</v>
      </c>
      <c r="H8" s="125">
        <v>80.23</v>
      </c>
      <c r="I8" s="124">
        <v>0</v>
      </c>
      <c r="J8" s="124"/>
      <c r="K8" s="124"/>
      <c r="L8" s="124"/>
      <c r="M8" s="124">
        <v>260</v>
      </c>
      <c r="N8" s="124">
        <v>4</v>
      </c>
      <c r="O8" s="124"/>
      <c r="P8" s="124"/>
      <c r="Q8" s="124"/>
      <c r="R8" s="124"/>
      <c r="S8" s="126" t="inlineStr">
        <is>
          <t xml:space="preserve">Spot</t>
        </is>
      </c>
      <c r="U8" s="468" t="inlineStr">
        <is>
          <t xml:space="preserve">SOMA NO MÊS</t>
        </is>
      </c>
    </row>
    <row r="9">
      <c r="A9" s="122">
        <v>46237</v>
      </c>
      <c r="B9" s="123" t="inlineStr">
        <is>
          <t xml:space="preserve">Nestlé</t>
        </is>
      </c>
      <c r="C9" s="124">
        <v>3</v>
      </c>
      <c r="D9" s="124">
        <v>72</v>
      </c>
      <c r="E9" s="125">
        <v>30.68</v>
      </c>
      <c r="F9" s="124">
        <v>5</v>
      </c>
      <c r="G9" s="124">
        <v>90</v>
      </c>
      <c r="H9" s="125">
        <v>46.6</v>
      </c>
      <c r="I9" s="124">
        <v>0</v>
      </c>
      <c r="J9" s="124"/>
      <c r="K9" s="124"/>
      <c r="L9" s="124">
        <v>1400</v>
      </c>
      <c r="M9" s="124">
        <v>774</v>
      </c>
      <c r="N9" s="124">
        <v>7</v>
      </c>
      <c r="O9" s="124"/>
      <c r="P9" s="124"/>
      <c r="Q9" s="124"/>
      <c r="R9" s="124"/>
      <c r="S9" s="126" t="inlineStr">
        <is>
          <t xml:space="preserve">Contrato</t>
        </is>
      </c>
      <c r="U9" s="467" t="inlineStr">
        <is>
          <t xml:space="preserve">• Veículos, pallets, toneladas, incidentes, no show, falta, folga, férias e desligamento: valor do dia.</t>
        </is>
      </c>
    </row>
    <row r="10">
      <c r="A10" s="122">
        <v>46237</v>
      </c>
      <c r="B10" s="123" t="inlineStr">
        <is>
          <t xml:space="preserve">PMB</t>
        </is>
      </c>
      <c r="C10" s="124">
        <v>5</v>
      </c>
      <c r="D10" s="124">
        <v>135</v>
      </c>
      <c r="E10" s="125">
        <v>89.58</v>
      </c>
      <c r="F10" s="124">
        <v>4</v>
      </c>
      <c r="G10" s="124">
        <v>72</v>
      </c>
      <c r="H10" s="125">
        <v>23.64</v>
      </c>
      <c r="I10" s="124">
        <v>0</v>
      </c>
      <c r="J10" s="124"/>
      <c r="K10" s="124"/>
      <c r="L10" s="124"/>
      <c r="M10" s="124">
        <v>258</v>
      </c>
      <c r="N10" s="124">
        <v>3</v>
      </c>
      <c r="O10" s="124"/>
      <c r="P10" s="124"/>
      <c r="Q10" s="124"/>
      <c r="R10" s="124"/>
      <c r="S10" s="126" t="inlineStr">
        <is>
          <t xml:space="preserve">Cross</t>
        </is>
      </c>
      <c r="U10" s="468" t="inlineStr">
        <is>
          <t xml:space="preserve">ÚLTIMO VALOR DO MÊS</t>
        </is>
      </c>
    </row>
    <row r="11">
      <c r="A11" s="122">
        <v>46238</v>
      </c>
      <c r="B11" s="123" t="inlineStr">
        <is>
          <t xml:space="preserve">Barry Callebaut</t>
        </is>
      </c>
      <c r="C11" s="124">
        <v>4</v>
      </c>
      <c r="D11" s="124">
        <v>92</v>
      </c>
      <c r="E11" s="125">
        <v>43.76</v>
      </c>
      <c r="F11" s="124">
        <v>7</v>
      </c>
      <c r="G11" s="124">
        <v>126</v>
      </c>
      <c r="H11" s="125">
        <v>82.16</v>
      </c>
      <c r="I11" s="124">
        <v>0</v>
      </c>
      <c r="J11" s="124"/>
      <c r="K11" s="124"/>
      <c r="L11" s="124">
        <v>1950</v>
      </c>
      <c r="M11" s="124">
        <v>1462</v>
      </c>
      <c r="N11" s="124">
        <v>6</v>
      </c>
      <c r="O11" s="124"/>
      <c r="P11" s="124"/>
      <c r="Q11" s="124"/>
      <c r="R11" s="124"/>
      <c r="S11" s="126" t="inlineStr">
        <is>
          <t xml:space="preserve">Contrato</t>
        </is>
      </c>
      <c r="U11" s="467" t="inlineStr">
        <is>
          <t xml:space="preserve">• Backlog, posições disponíveis/ocupadas e efetivo: posição do dia (os painéis usam o último lançado).</t>
        </is>
      </c>
    </row>
    <row r="12">
      <c r="A12" s="122">
        <v>46238</v>
      </c>
      <c r="B12" s="123" t="inlineStr">
        <is>
          <t xml:space="preserve">Gm</t>
        </is>
      </c>
      <c r="C12" s="124">
        <v>6</v>
      </c>
      <c r="D12" s="124">
        <v>126</v>
      </c>
      <c r="E12" s="125">
        <v>89.91</v>
      </c>
      <c r="F12" s="124">
        <v>0</v>
      </c>
      <c r="G12" s="124">
        <v>0</v>
      </c>
      <c r="H12" s="125">
        <v>0</v>
      </c>
      <c r="I12" s="124">
        <v>0</v>
      </c>
      <c r="J12" s="124"/>
      <c r="K12" s="124"/>
      <c r="L12" s="124">
        <v>800</v>
      </c>
      <c r="M12" s="124">
        <v>556</v>
      </c>
      <c r="N12" s="124">
        <v>6</v>
      </c>
      <c r="O12" s="124"/>
      <c r="P12" s="124"/>
      <c r="Q12" s="124"/>
      <c r="R12" s="124"/>
      <c r="S12" s="126" t="inlineStr">
        <is>
          <t xml:space="preserve">Contrato</t>
        </is>
      </c>
      <c r="U12" s="468" t="inlineStr">
        <is>
          <t xml:space="preserve">ALERTAS</t>
        </is>
      </c>
    </row>
    <row r="13">
      <c r="A13" s="122">
        <v>46238</v>
      </c>
      <c r="B13" s="123" t="inlineStr">
        <is>
          <t xml:space="preserve">Mondelez</t>
        </is>
      </c>
      <c r="C13" s="124">
        <v>3</v>
      </c>
      <c r="D13" s="124">
        <v>66</v>
      </c>
      <c r="E13" s="125">
        <v>30.73</v>
      </c>
      <c r="F13" s="124">
        <v>0</v>
      </c>
      <c r="G13" s="124">
        <v>0</v>
      </c>
      <c r="H13" s="125">
        <v>0</v>
      </c>
      <c r="I13" s="124">
        <v>0</v>
      </c>
      <c r="J13" s="124"/>
      <c r="K13" s="124"/>
      <c r="L13" s="124"/>
      <c r="M13" s="124">
        <v>174</v>
      </c>
      <c r="N13" s="124">
        <v>4</v>
      </c>
      <c r="O13" s="124"/>
      <c r="P13" s="124"/>
      <c r="Q13" s="124"/>
      <c r="R13" s="124"/>
      <c r="S13" s="126" t="inlineStr">
        <is>
          <t xml:space="preserve">Spot</t>
        </is>
      </c>
      <c r="U13" s="467" t="inlineStr">
        <is>
          <t xml:space="preserve">• Vermelho: mesma data e cliente lançados duas vezes.</t>
        </is>
      </c>
    </row>
    <row r="14">
      <c r="A14" s="122">
        <v>46238</v>
      </c>
      <c r="B14" s="123" t="inlineStr">
        <is>
          <t xml:space="preserve">Nestlé</t>
        </is>
      </c>
      <c r="C14" s="124">
        <v>4</v>
      </c>
      <c r="D14" s="124">
        <v>104</v>
      </c>
      <c r="E14" s="125">
        <v>89</v>
      </c>
      <c r="F14" s="124">
        <v>11</v>
      </c>
      <c r="G14" s="124">
        <v>198</v>
      </c>
      <c r="H14" s="125">
        <v>114.2</v>
      </c>
      <c r="I14" s="124">
        <v>0</v>
      </c>
      <c r="J14" s="124"/>
      <c r="K14" s="124"/>
      <c r="L14" s="124">
        <v>1400</v>
      </c>
      <c r="M14" s="124">
        <v>1089</v>
      </c>
      <c r="N14" s="124">
        <v>9</v>
      </c>
      <c r="O14" s="124"/>
      <c r="P14" s="124"/>
      <c r="Q14" s="124"/>
      <c r="R14" s="124"/>
      <c r="S14" s="126" t="inlineStr">
        <is>
          <t xml:space="preserve">Contrato</t>
        </is>
      </c>
      <c r="U14" s="467" t="inlineStr">
        <is>
          <t xml:space="preserve">• Amarelo: linha incompleta (data sem cliente ou o contrário) ou posições ocupadas maiores que as disponíveis.</t>
        </is>
      </c>
    </row>
    <row r="15">
      <c r="A15" s="122">
        <v>46238</v>
      </c>
      <c r="B15" s="123" t="inlineStr">
        <is>
          <t xml:space="preserve">PMB</t>
        </is>
      </c>
      <c r="C15" s="124">
        <v>6</v>
      </c>
      <c r="D15" s="124">
        <v>150</v>
      </c>
      <c r="E15" s="125">
        <v>87.23</v>
      </c>
      <c r="F15" s="124">
        <v>8</v>
      </c>
      <c r="G15" s="124">
        <v>144</v>
      </c>
      <c r="H15" s="125">
        <v>133.6</v>
      </c>
      <c r="I15" s="124">
        <v>0</v>
      </c>
      <c r="J15" s="124"/>
      <c r="K15" s="124"/>
      <c r="L15" s="124"/>
      <c r="M15" s="124">
        <v>386</v>
      </c>
      <c r="N15" s="124">
        <v>4</v>
      </c>
      <c r="O15" s="124"/>
      <c r="P15" s="124"/>
      <c r="Q15" s="124"/>
      <c r="R15" s="124"/>
      <c r="S15" s="126" t="inlineStr">
        <is>
          <t xml:space="preserve">Cross</t>
        </is>
      </c>
      <c r="U15" s="467" t="inlineStr">
        <is>
          <t xml:space="preserve">• Monitoramento, Indicadores e Quadro leem esta aba automaticamente.</t>
        </is>
      </c>
    </row>
    <row r="16">
      <c r="A16" s="122">
        <v>46239</v>
      </c>
      <c r="B16" s="123" t="inlineStr">
        <is>
          <t xml:space="preserve">Barry Callebaut</t>
        </is>
      </c>
      <c r="C16" s="124">
        <v>5</v>
      </c>
      <c r="D16" s="124">
        <v>105</v>
      </c>
      <c r="E16" s="125">
        <v>90.05</v>
      </c>
      <c r="F16" s="124">
        <v>8</v>
      </c>
      <c r="G16" s="124">
        <v>144</v>
      </c>
      <c r="H16" s="125">
        <v>83.63</v>
      </c>
      <c r="I16" s="124">
        <v>0</v>
      </c>
      <c r="J16" s="124"/>
      <c r="K16" s="124"/>
      <c r="L16" s="124">
        <v>1950</v>
      </c>
      <c r="M16" s="124">
        <v>926</v>
      </c>
      <c r="N16" s="124">
        <v>3</v>
      </c>
      <c r="O16" s="124"/>
      <c r="P16" s="124"/>
      <c r="Q16" s="124"/>
      <c r="R16" s="124"/>
      <c r="S16" s="126" t="inlineStr">
        <is>
          <t xml:space="preserve">Contrato</t>
        </is>
      </c>
    </row>
    <row r="17">
      <c r="A17" s="122">
        <v>46239</v>
      </c>
      <c r="B17" s="123" t="inlineStr">
        <is>
          <t xml:space="preserve">Gm</t>
        </is>
      </c>
      <c r="C17" s="124">
        <v>4</v>
      </c>
      <c r="D17" s="124">
        <v>88</v>
      </c>
      <c r="E17" s="125">
        <v>58</v>
      </c>
      <c r="F17" s="124">
        <v>8</v>
      </c>
      <c r="G17" s="124">
        <v>144</v>
      </c>
      <c r="H17" s="125">
        <v>137.38</v>
      </c>
      <c r="I17" s="124">
        <v>0</v>
      </c>
      <c r="J17" s="124"/>
      <c r="K17" s="124"/>
      <c r="L17" s="124">
        <v>800</v>
      </c>
      <c r="M17" s="124">
        <v>599</v>
      </c>
      <c r="N17" s="124">
        <v>5</v>
      </c>
      <c r="O17" s="124"/>
      <c r="P17" s="124"/>
      <c r="Q17" s="124"/>
      <c r="R17" s="124"/>
      <c r="S17" s="126" t="inlineStr">
        <is>
          <t xml:space="preserve">Contrato</t>
        </is>
      </c>
    </row>
    <row r="18">
      <c r="A18" s="122">
        <v>46239</v>
      </c>
      <c r="B18" s="123" t="inlineStr">
        <is>
          <t xml:space="preserve">Mondelez</t>
        </is>
      </c>
      <c r="C18" s="124">
        <v>7</v>
      </c>
      <c r="D18" s="124">
        <v>168</v>
      </c>
      <c r="E18" s="125">
        <v>113.44</v>
      </c>
      <c r="F18" s="124">
        <v>11</v>
      </c>
      <c r="G18" s="124">
        <v>198</v>
      </c>
      <c r="H18" s="125">
        <v>191.76</v>
      </c>
      <c r="I18" s="124">
        <v>0</v>
      </c>
      <c r="J18" s="124"/>
      <c r="K18" s="124"/>
      <c r="L18" s="124"/>
      <c r="M18" s="124">
        <v>182</v>
      </c>
      <c r="N18" s="124">
        <v>3</v>
      </c>
      <c r="O18" s="124"/>
      <c r="P18" s="124"/>
      <c r="Q18" s="124"/>
      <c r="R18" s="124"/>
      <c r="S18" s="126" t="inlineStr">
        <is>
          <t xml:space="preserve">Spot</t>
        </is>
      </c>
    </row>
    <row r="19">
      <c r="A19" s="122">
        <v>46239</v>
      </c>
      <c r="B19" s="123" t="inlineStr">
        <is>
          <t xml:space="preserve">Nestlé</t>
        </is>
      </c>
      <c r="C19" s="124">
        <v>1</v>
      </c>
      <c r="D19" s="124">
        <v>26</v>
      </c>
      <c r="E19" s="125">
        <v>22.11</v>
      </c>
      <c r="F19" s="124">
        <v>5</v>
      </c>
      <c r="G19" s="124">
        <v>90</v>
      </c>
      <c r="H19" s="125">
        <v>60.56</v>
      </c>
      <c r="I19" s="124">
        <v>0</v>
      </c>
      <c r="J19" s="124"/>
      <c r="K19" s="124"/>
      <c r="L19" s="124">
        <v>1400</v>
      </c>
      <c r="M19" s="124">
        <v>818</v>
      </c>
      <c r="N19" s="124">
        <v>4</v>
      </c>
      <c r="O19" s="124"/>
      <c r="P19" s="124"/>
      <c r="Q19" s="124"/>
      <c r="R19" s="124"/>
      <c r="S19" s="126" t="inlineStr">
        <is>
          <t xml:space="preserve">Contrato</t>
        </is>
      </c>
    </row>
    <row r="20">
      <c r="A20" s="122">
        <v>46239</v>
      </c>
      <c r="B20" s="123" t="inlineStr">
        <is>
          <t xml:space="preserve">PMB</t>
        </is>
      </c>
      <c r="C20" s="124">
        <v>8</v>
      </c>
      <c r="D20" s="124">
        <v>224</v>
      </c>
      <c r="E20" s="125">
        <v>96.63</v>
      </c>
      <c r="F20" s="124">
        <v>8</v>
      </c>
      <c r="G20" s="124">
        <v>144</v>
      </c>
      <c r="H20" s="125">
        <v>157.42</v>
      </c>
      <c r="I20" s="124">
        <v>0</v>
      </c>
      <c r="J20" s="124"/>
      <c r="K20" s="124"/>
      <c r="L20" s="124"/>
      <c r="M20" s="124">
        <v>146</v>
      </c>
      <c r="N20" s="124">
        <v>5</v>
      </c>
      <c r="O20" s="124"/>
      <c r="P20" s="124"/>
      <c r="Q20" s="124"/>
      <c r="R20" s="124"/>
      <c r="S20" s="126" t="inlineStr">
        <is>
          <t xml:space="preserve">Cross</t>
        </is>
      </c>
    </row>
    <row r="21">
      <c r="A21" s="122">
        <v>46240</v>
      </c>
      <c r="B21" s="123" t="inlineStr">
        <is>
          <t xml:space="preserve">Barry Callebaut</t>
        </is>
      </c>
      <c r="C21" s="124">
        <v>3</v>
      </c>
      <c r="D21" s="124">
        <v>69</v>
      </c>
      <c r="E21" s="125">
        <v>63.82</v>
      </c>
      <c r="F21" s="124">
        <v>5</v>
      </c>
      <c r="G21" s="124">
        <v>90</v>
      </c>
      <c r="H21" s="125">
        <v>99.22</v>
      </c>
      <c r="I21" s="124">
        <v>0</v>
      </c>
      <c r="J21" s="124"/>
      <c r="K21" s="124"/>
      <c r="L21" s="124">
        <v>1950</v>
      </c>
      <c r="M21" s="124">
        <v>1709</v>
      </c>
      <c r="N21" s="124">
        <v>4</v>
      </c>
      <c r="O21" s="124"/>
      <c r="P21" s="124"/>
      <c r="Q21" s="124"/>
      <c r="R21" s="124"/>
      <c r="S21" s="126" t="inlineStr">
        <is>
          <t xml:space="preserve">Contrato</t>
        </is>
      </c>
    </row>
    <row r="22">
      <c r="A22" s="122">
        <v>46240</v>
      </c>
      <c r="B22" s="123" t="inlineStr">
        <is>
          <t xml:space="preserve">Gm</t>
        </is>
      </c>
      <c r="C22" s="124">
        <v>1</v>
      </c>
      <c r="D22" s="124">
        <v>21</v>
      </c>
      <c r="E22" s="125">
        <v>15.95</v>
      </c>
      <c r="F22" s="124">
        <v>2</v>
      </c>
      <c r="G22" s="124">
        <v>36</v>
      </c>
      <c r="H22" s="125">
        <v>23.96</v>
      </c>
      <c r="I22" s="124">
        <v>0</v>
      </c>
      <c r="J22" s="124"/>
      <c r="K22" s="124"/>
      <c r="L22" s="124">
        <v>800</v>
      </c>
      <c r="M22" s="124">
        <v>574</v>
      </c>
      <c r="N22" s="124">
        <v>8</v>
      </c>
      <c r="O22" s="124"/>
      <c r="P22" s="124"/>
      <c r="Q22" s="124"/>
      <c r="R22" s="124"/>
      <c r="S22" s="126" t="inlineStr">
        <is>
          <t xml:space="preserve">Contrato</t>
        </is>
      </c>
    </row>
    <row r="23">
      <c r="A23" s="122">
        <v>46240</v>
      </c>
      <c r="B23" s="123" t="inlineStr">
        <is>
          <t xml:space="preserve">Mondelez</t>
        </is>
      </c>
      <c r="C23" s="124">
        <v>5</v>
      </c>
      <c r="D23" s="124">
        <v>115</v>
      </c>
      <c r="E23" s="125">
        <v>61.53</v>
      </c>
      <c r="F23" s="124">
        <v>3</v>
      </c>
      <c r="G23" s="124">
        <v>54</v>
      </c>
      <c r="H23" s="125">
        <v>42.46</v>
      </c>
      <c r="I23" s="124">
        <v>0</v>
      </c>
      <c r="J23" s="124"/>
      <c r="K23" s="124"/>
      <c r="L23" s="124"/>
      <c r="M23" s="124">
        <v>100</v>
      </c>
      <c r="N23" s="124">
        <v>6</v>
      </c>
      <c r="O23" s="124"/>
      <c r="P23" s="124"/>
      <c r="Q23" s="124"/>
      <c r="R23" s="124"/>
      <c r="S23" s="126" t="inlineStr">
        <is>
          <t xml:space="preserve">Spot</t>
        </is>
      </c>
    </row>
    <row r="24">
      <c r="A24" s="122">
        <v>46240</v>
      </c>
      <c r="B24" s="123" t="inlineStr">
        <is>
          <t xml:space="preserve">Nestlé</t>
        </is>
      </c>
      <c r="C24" s="124">
        <v>4</v>
      </c>
      <c r="D24" s="124">
        <v>92</v>
      </c>
      <c r="E24" s="125">
        <v>64.33</v>
      </c>
      <c r="F24" s="124">
        <v>5</v>
      </c>
      <c r="G24" s="124">
        <v>90</v>
      </c>
      <c r="H24" s="125">
        <v>95.28</v>
      </c>
      <c r="I24" s="124">
        <v>0</v>
      </c>
      <c r="J24" s="124"/>
      <c r="K24" s="124"/>
      <c r="L24" s="124">
        <v>1400</v>
      </c>
      <c r="M24" s="124">
        <v>1057</v>
      </c>
      <c r="N24" s="124">
        <v>8</v>
      </c>
      <c r="O24" s="124"/>
      <c r="P24" s="124"/>
      <c r="Q24" s="124"/>
      <c r="R24" s="124"/>
      <c r="S24" s="126" t="inlineStr">
        <is>
          <t xml:space="preserve">Contrato</t>
        </is>
      </c>
    </row>
    <row r="25">
      <c r="A25" s="122">
        <v>46240</v>
      </c>
      <c r="B25" s="123" t="inlineStr">
        <is>
          <t xml:space="preserve">PMB</t>
        </is>
      </c>
      <c r="C25" s="124">
        <v>7</v>
      </c>
      <c r="D25" s="124">
        <v>147</v>
      </c>
      <c r="E25" s="125">
        <v>146.96</v>
      </c>
      <c r="F25" s="124">
        <v>6</v>
      </c>
      <c r="G25" s="124">
        <v>108</v>
      </c>
      <c r="H25" s="125">
        <v>69.05</v>
      </c>
      <c r="I25" s="124">
        <v>0</v>
      </c>
      <c r="J25" s="124"/>
      <c r="K25" s="124"/>
      <c r="L25" s="124"/>
      <c r="M25" s="124">
        <v>270</v>
      </c>
      <c r="N25" s="124">
        <v>9</v>
      </c>
      <c r="O25" s="124"/>
      <c r="P25" s="124"/>
      <c r="Q25" s="124"/>
      <c r="R25" s="124"/>
      <c r="S25" s="126" t="inlineStr">
        <is>
          <t xml:space="preserve">Cross</t>
        </is>
      </c>
    </row>
    <row r="26">
      <c r="A26" s="122">
        <v>46241</v>
      </c>
      <c r="B26" s="123" t="inlineStr">
        <is>
          <t xml:space="preserve">Barry Callebaut</t>
        </is>
      </c>
      <c r="C26" s="124">
        <v>9</v>
      </c>
      <c r="D26" s="124">
        <v>243</v>
      </c>
      <c r="E26" s="125">
        <v>192.58</v>
      </c>
      <c r="F26" s="124">
        <v>2</v>
      </c>
      <c r="G26" s="124">
        <v>36</v>
      </c>
      <c r="H26" s="125">
        <v>13.93</v>
      </c>
      <c r="I26" s="124">
        <v>0</v>
      </c>
      <c r="J26" s="124"/>
      <c r="K26" s="124"/>
      <c r="L26" s="124">
        <v>1950</v>
      </c>
      <c r="M26" s="124">
        <v>914</v>
      </c>
      <c r="N26" s="124">
        <v>8</v>
      </c>
      <c r="O26" s="124"/>
      <c r="P26" s="124"/>
      <c r="Q26" s="124"/>
      <c r="R26" s="124"/>
      <c r="S26" s="126" t="inlineStr">
        <is>
          <t xml:space="preserve">Contrato</t>
        </is>
      </c>
    </row>
    <row r="27">
      <c r="A27" s="122">
        <v>46241</v>
      </c>
      <c r="B27" s="123" t="inlineStr">
        <is>
          <t xml:space="preserve">Gm</t>
        </is>
      </c>
      <c r="C27" s="124">
        <v>2</v>
      </c>
      <c r="D27" s="124">
        <v>42</v>
      </c>
      <c r="E27" s="125">
        <v>32.2</v>
      </c>
      <c r="F27" s="124">
        <v>10</v>
      </c>
      <c r="G27" s="124">
        <v>180</v>
      </c>
      <c r="H27" s="125">
        <v>134.04</v>
      </c>
      <c r="I27" s="124">
        <v>0</v>
      </c>
      <c r="J27" s="124"/>
      <c r="K27" s="124"/>
      <c r="L27" s="124">
        <v>800</v>
      </c>
      <c r="M27" s="124">
        <v>627</v>
      </c>
      <c r="N27" s="124">
        <v>7</v>
      </c>
      <c r="O27" s="124"/>
      <c r="P27" s="124"/>
      <c r="Q27" s="124"/>
      <c r="R27" s="124"/>
      <c r="S27" s="126" t="inlineStr">
        <is>
          <t xml:space="preserve">Contrato</t>
        </is>
      </c>
    </row>
    <row r="28">
      <c r="A28" s="122">
        <v>46241</v>
      </c>
      <c r="B28" s="123" t="inlineStr">
        <is>
          <t xml:space="preserve">Mondelez</t>
        </is>
      </c>
      <c r="C28" s="124">
        <v>3</v>
      </c>
      <c r="D28" s="124">
        <v>75</v>
      </c>
      <c r="E28" s="125">
        <v>49.55</v>
      </c>
      <c r="F28" s="124">
        <v>2</v>
      </c>
      <c r="G28" s="124">
        <v>36</v>
      </c>
      <c r="H28" s="125">
        <v>23.74</v>
      </c>
      <c r="I28" s="124">
        <v>0</v>
      </c>
      <c r="J28" s="124"/>
      <c r="K28" s="124"/>
      <c r="L28" s="124"/>
      <c r="M28" s="124">
        <v>398</v>
      </c>
      <c r="N28" s="124">
        <v>5</v>
      </c>
      <c r="O28" s="124"/>
      <c r="P28" s="124"/>
      <c r="Q28" s="124"/>
      <c r="R28" s="124"/>
      <c r="S28" s="126" t="inlineStr">
        <is>
          <t xml:space="preserve">Spot</t>
        </is>
      </c>
    </row>
    <row r="29">
      <c r="A29" s="122">
        <v>46241</v>
      </c>
      <c r="B29" s="123" t="inlineStr">
        <is>
          <t xml:space="preserve">Nestlé</t>
        </is>
      </c>
      <c r="C29" s="124">
        <v>1</v>
      </c>
      <c r="D29" s="124">
        <v>22</v>
      </c>
      <c r="E29" s="125">
        <v>16.9</v>
      </c>
      <c r="F29" s="124">
        <v>3</v>
      </c>
      <c r="G29" s="124">
        <v>54</v>
      </c>
      <c r="H29" s="125">
        <v>24.5</v>
      </c>
      <c r="I29" s="124">
        <v>0</v>
      </c>
      <c r="J29" s="124"/>
      <c r="K29" s="124"/>
      <c r="L29" s="124">
        <v>1400</v>
      </c>
      <c r="M29" s="124">
        <v>957</v>
      </c>
      <c r="N29" s="124">
        <v>6</v>
      </c>
      <c r="O29" s="124"/>
      <c r="P29" s="124"/>
      <c r="Q29" s="124"/>
      <c r="R29" s="124"/>
      <c r="S29" s="126" t="inlineStr">
        <is>
          <t xml:space="preserve">Contrato</t>
        </is>
      </c>
    </row>
    <row r="30">
      <c r="A30" s="122">
        <v>46241</v>
      </c>
      <c r="B30" s="123" t="inlineStr">
        <is>
          <t xml:space="preserve">PMB</t>
        </is>
      </c>
      <c r="C30" s="124">
        <v>8</v>
      </c>
      <c r="D30" s="124">
        <v>224</v>
      </c>
      <c r="E30" s="125">
        <v>171.26</v>
      </c>
      <c r="F30" s="124">
        <v>8</v>
      </c>
      <c r="G30" s="124">
        <v>144</v>
      </c>
      <c r="H30" s="125">
        <v>113.03</v>
      </c>
      <c r="I30" s="124">
        <v>0</v>
      </c>
      <c r="J30" s="124"/>
      <c r="K30" s="124"/>
      <c r="L30" s="124"/>
      <c r="M30" s="124">
        <v>176</v>
      </c>
      <c r="N30" s="124">
        <v>4</v>
      </c>
      <c r="O30" s="124"/>
      <c r="P30" s="124"/>
      <c r="Q30" s="124"/>
      <c r="R30" s="124"/>
      <c r="S30" s="126" t="inlineStr">
        <is>
          <t xml:space="preserve">Cross</t>
        </is>
      </c>
    </row>
    <row r="31">
      <c r="A31" s="122">
        <v>46243</v>
      </c>
      <c r="B31" s="123" t="inlineStr">
        <is>
          <t xml:space="preserve">Barry Callebaut</t>
        </is>
      </c>
      <c r="C31" s="124">
        <v>0</v>
      </c>
      <c r="D31" s="124">
        <v>0</v>
      </c>
      <c r="E31" s="125">
        <v>0</v>
      </c>
      <c r="F31" s="124">
        <v>11</v>
      </c>
      <c r="G31" s="124">
        <v>198</v>
      </c>
      <c r="H31" s="125">
        <v>138.85</v>
      </c>
      <c r="I31" s="124">
        <v>0</v>
      </c>
      <c r="J31" s="124"/>
      <c r="K31" s="124"/>
      <c r="L31" s="124">
        <v>1950</v>
      </c>
      <c r="M31" s="124">
        <v>1726</v>
      </c>
      <c r="N31" s="124">
        <v>7</v>
      </c>
      <c r="O31" s="124"/>
      <c r="P31" s="124"/>
      <c r="Q31" s="124"/>
      <c r="R31" s="124"/>
      <c r="S31" s="126" t="inlineStr">
        <is>
          <t xml:space="preserve">Contrato</t>
        </is>
      </c>
    </row>
    <row r="32">
      <c r="A32" s="122">
        <v>46243</v>
      </c>
      <c r="B32" s="123" t="inlineStr">
        <is>
          <t xml:space="preserve">Mondelez</t>
        </is>
      </c>
      <c r="C32" s="124">
        <v>4</v>
      </c>
      <c r="D32" s="124">
        <v>92</v>
      </c>
      <c r="E32" s="125">
        <v>91.37</v>
      </c>
      <c r="F32" s="124">
        <v>6</v>
      </c>
      <c r="G32" s="124">
        <v>108</v>
      </c>
      <c r="H32" s="125">
        <v>36.53</v>
      </c>
      <c r="I32" s="124">
        <v>0</v>
      </c>
      <c r="J32" s="124"/>
      <c r="K32" s="124"/>
      <c r="L32" s="124"/>
      <c r="M32" s="124">
        <v>223</v>
      </c>
      <c r="N32" s="124">
        <v>9</v>
      </c>
      <c r="O32" s="124"/>
      <c r="P32" s="124"/>
      <c r="Q32" s="124"/>
      <c r="R32" s="124"/>
      <c r="S32" s="126" t="inlineStr">
        <is>
          <t xml:space="preserve">Spot</t>
        </is>
      </c>
    </row>
    <row r="33">
      <c r="A33" s="122">
        <v>46244</v>
      </c>
      <c r="B33" s="123" t="inlineStr">
        <is>
          <t xml:space="preserve">Barry Callebaut</t>
        </is>
      </c>
      <c r="C33" s="124">
        <v>4</v>
      </c>
      <c r="D33" s="124">
        <v>88</v>
      </c>
      <c r="E33" s="125">
        <v>83.04</v>
      </c>
      <c r="F33" s="124">
        <v>5</v>
      </c>
      <c r="G33" s="124">
        <v>90</v>
      </c>
      <c r="H33" s="125">
        <v>91.21</v>
      </c>
      <c r="I33" s="124">
        <v>0</v>
      </c>
      <c r="J33" s="124"/>
      <c r="K33" s="124"/>
      <c r="L33" s="124">
        <v>1950</v>
      </c>
      <c r="M33" s="124">
        <v>1890</v>
      </c>
      <c r="N33" s="124">
        <v>8</v>
      </c>
      <c r="O33" s="124"/>
      <c r="P33" s="124"/>
      <c r="Q33" s="124"/>
      <c r="R33" s="124"/>
      <c r="S33" s="126" t="inlineStr">
        <is>
          <t xml:space="preserve">Contrato</t>
        </is>
      </c>
    </row>
    <row r="34">
      <c r="A34" s="122">
        <v>46244</v>
      </c>
      <c r="B34" s="123" t="inlineStr">
        <is>
          <t xml:space="preserve">Gm</t>
        </is>
      </c>
      <c r="C34" s="124">
        <v>4</v>
      </c>
      <c r="D34" s="124">
        <v>96</v>
      </c>
      <c r="E34" s="125">
        <v>85.19</v>
      </c>
      <c r="F34" s="124">
        <v>8</v>
      </c>
      <c r="G34" s="124">
        <v>144</v>
      </c>
      <c r="H34" s="125">
        <v>73.49</v>
      </c>
      <c r="I34" s="124">
        <v>0</v>
      </c>
      <c r="J34" s="124"/>
      <c r="K34" s="124"/>
      <c r="L34" s="124">
        <v>800</v>
      </c>
      <c r="M34" s="124">
        <v>593</v>
      </c>
      <c r="N34" s="124">
        <v>6</v>
      </c>
      <c r="O34" s="124"/>
      <c r="P34" s="124"/>
      <c r="Q34" s="124"/>
      <c r="R34" s="124"/>
      <c r="S34" s="126" t="inlineStr">
        <is>
          <t xml:space="preserve">Contrato</t>
        </is>
      </c>
    </row>
    <row r="35">
      <c r="A35" s="122">
        <v>46244</v>
      </c>
      <c r="B35" s="123" t="inlineStr">
        <is>
          <t xml:space="preserve">Mondelez</t>
        </is>
      </c>
      <c r="C35" s="124">
        <v>6</v>
      </c>
      <c r="D35" s="124">
        <v>156</v>
      </c>
      <c r="E35" s="125">
        <v>90.34</v>
      </c>
      <c r="F35" s="124">
        <v>1</v>
      </c>
      <c r="G35" s="124">
        <v>18</v>
      </c>
      <c r="H35" s="125">
        <v>11.88</v>
      </c>
      <c r="I35" s="124">
        <v>0</v>
      </c>
      <c r="J35" s="124"/>
      <c r="K35" s="124"/>
      <c r="L35" s="124"/>
      <c r="M35" s="124">
        <v>109</v>
      </c>
      <c r="N35" s="124">
        <v>4</v>
      </c>
      <c r="O35" s="124"/>
      <c r="P35" s="124"/>
      <c r="Q35" s="124"/>
      <c r="R35" s="124"/>
      <c r="S35" s="126" t="inlineStr">
        <is>
          <t xml:space="preserve">Spot</t>
        </is>
      </c>
    </row>
    <row r="36">
      <c r="A36" s="122">
        <v>46244</v>
      </c>
      <c r="B36" s="123" t="inlineStr">
        <is>
          <t xml:space="preserve">Nestlé</t>
        </is>
      </c>
      <c r="C36" s="124">
        <v>7</v>
      </c>
      <c r="D36" s="124">
        <v>147</v>
      </c>
      <c r="E36" s="125">
        <v>86.06</v>
      </c>
      <c r="F36" s="124">
        <v>2</v>
      </c>
      <c r="G36" s="124">
        <v>36</v>
      </c>
      <c r="H36" s="125">
        <v>34.97</v>
      </c>
      <c r="I36" s="124">
        <v>0</v>
      </c>
      <c r="J36" s="124"/>
      <c r="K36" s="124"/>
      <c r="L36" s="124">
        <v>1400</v>
      </c>
      <c r="M36" s="124">
        <v>865</v>
      </c>
      <c r="N36" s="124">
        <v>6</v>
      </c>
      <c r="O36" s="124"/>
      <c r="P36" s="124"/>
      <c r="Q36" s="124"/>
      <c r="R36" s="124"/>
      <c r="S36" s="126" t="inlineStr">
        <is>
          <t xml:space="preserve">Contrato</t>
        </is>
      </c>
    </row>
    <row r="37">
      <c r="A37" s="122">
        <v>46244</v>
      </c>
      <c r="B37" s="123" t="inlineStr">
        <is>
          <t xml:space="preserve">PMB</t>
        </is>
      </c>
      <c r="C37" s="124">
        <v>6</v>
      </c>
      <c r="D37" s="124">
        <v>144</v>
      </c>
      <c r="E37" s="125">
        <v>100.57</v>
      </c>
      <c r="F37" s="124">
        <v>1</v>
      </c>
      <c r="G37" s="124">
        <v>18</v>
      </c>
      <c r="H37" s="125">
        <v>9.08</v>
      </c>
      <c r="I37" s="124">
        <v>0</v>
      </c>
      <c r="J37" s="124"/>
      <c r="K37" s="124"/>
      <c r="L37" s="124"/>
      <c r="M37" s="124">
        <v>192</v>
      </c>
      <c r="N37" s="124">
        <v>7</v>
      </c>
      <c r="O37" s="124"/>
      <c r="P37" s="124"/>
      <c r="Q37" s="124"/>
      <c r="R37" s="124"/>
      <c r="S37" s="126" t="inlineStr">
        <is>
          <t xml:space="preserve">Cross</t>
        </is>
      </c>
    </row>
    <row r="38">
      <c r="A38" s="122">
        <v>46245</v>
      </c>
      <c r="B38" s="123" t="inlineStr">
        <is>
          <t xml:space="preserve">Barry Callebaut</t>
        </is>
      </c>
      <c r="C38" s="124">
        <v>6</v>
      </c>
      <c r="D38" s="124">
        <v>144</v>
      </c>
      <c r="E38" s="125">
        <v>134.58</v>
      </c>
      <c r="F38" s="124">
        <v>12</v>
      </c>
      <c r="G38" s="124">
        <v>216</v>
      </c>
      <c r="H38" s="125">
        <v>169.47</v>
      </c>
      <c r="I38" s="124">
        <v>0</v>
      </c>
      <c r="J38" s="124"/>
      <c r="K38" s="124"/>
      <c r="L38" s="124">
        <v>1950</v>
      </c>
      <c r="M38" s="124">
        <v>1127</v>
      </c>
      <c r="N38" s="124">
        <v>3</v>
      </c>
      <c r="O38" s="124"/>
      <c r="P38" s="124"/>
      <c r="Q38" s="124"/>
      <c r="R38" s="124"/>
      <c r="S38" s="126" t="inlineStr">
        <is>
          <t xml:space="preserve">Contrato</t>
        </is>
      </c>
    </row>
    <row r="39">
      <c r="A39" s="122">
        <v>46245</v>
      </c>
      <c r="B39" s="123" t="inlineStr">
        <is>
          <t xml:space="preserve">Gm</t>
        </is>
      </c>
      <c r="C39" s="124">
        <v>8</v>
      </c>
      <c r="D39" s="124">
        <v>184</v>
      </c>
      <c r="E39" s="125">
        <v>133.71</v>
      </c>
      <c r="F39" s="124">
        <v>10</v>
      </c>
      <c r="G39" s="124">
        <v>180</v>
      </c>
      <c r="H39" s="125">
        <v>175.19</v>
      </c>
      <c r="I39" s="124">
        <v>0</v>
      </c>
      <c r="J39" s="124"/>
      <c r="K39" s="124"/>
      <c r="L39" s="124">
        <v>800</v>
      </c>
      <c r="M39" s="124">
        <v>701</v>
      </c>
      <c r="N39" s="124">
        <v>6</v>
      </c>
      <c r="O39" s="124"/>
      <c r="P39" s="124"/>
      <c r="Q39" s="124"/>
      <c r="R39" s="124"/>
      <c r="S39" s="126" t="inlineStr">
        <is>
          <t xml:space="preserve">Contrato</t>
        </is>
      </c>
    </row>
    <row r="40">
      <c r="A40" s="122">
        <v>46245</v>
      </c>
      <c r="B40" s="123" t="inlineStr">
        <is>
          <t xml:space="preserve">Mondelez</t>
        </is>
      </c>
      <c r="C40" s="124">
        <v>2</v>
      </c>
      <c r="D40" s="124">
        <v>46</v>
      </c>
      <c r="E40" s="125">
        <v>33.81</v>
      </c>
      <c r="F40" s="124">
        <v>4</v>
      </c>
      <c r="G40" s="124">
        <v>72</v>
      </c>
      <c r="H40" s="125">
        <v>38.72</v>
      </c>
      <c r="I40" s="124">
        <v>0</v>
      </c>
      <c r="J40" s="124"/>
      <c r="K40" s="124"/>
      <c r="L40" s="124"/>
      <c r="M40" s="124">
        <v>256</v>
      </c>
      <c r="N40" s="124">
        <v>3</v>
      </c>
      <c r="O40" s="124"/>
      <c r="P40" s="124"/>
      <c r="Q40" s="124"/>
      <c r="R40" s="124"/>
      <c r="S40" s="126" t="inlineStr">
        <is>
          <t xml:space="preserve">Spot</t>
        </is>
      </c>
    </row>
    <row r="41">
      <c r="A41" s="122">
        <v>46245</v>
      </c>
      <c r="B41" s="123" t="inlineStr">
        <is>
          <t xml:space="preserve">Nestlé</t>
        </is>
      </c>
      <c r="C41" s="124">
        <v>1</v>
      </c>
      <c r="D41" s="124">
        <v>21</v>
      </c>
      <c r="E41" s="125">
        <v>12.97</v>
      </c>
      <c r="F41" s="124">
        <v>8</v>
      </c>
      <c r="G41" s="124">
        <v>144</v>
      </c>
      <c r="H41" s="125">
        <v>149.85</v>
      </c>
      <c r="I41" s="124">
        <v>1</v>
      </c>
      <c r="J41" s="124"/>
      <c r="K41" s="124"/>
      <c r="L41" s="124">
        <v>1400</v>
      </c>
      <c r="M41" s="124">
        <v>1336</v>
      </c>
      <c r="N41" s="124">
        <v>6</v>
      </c>
      <c r="O41" s="124"/>
      <c r="P41" s="124"/>
      <c r="Q41" s="124"/>
      <c r="R41" s="124"/>
      <c r="S41" s="126" t="inlineStr">
        <is>
          <t xml:space="preserve">Contrato</t>
        </is>
      </c>
    </row>
    <row r="42">
      <c r="A42" s="122">
        <v>46245</v>
      </c>
      <c r="B42" s="123" t="inlineStr">
        <is>
          <t xml:space="preserve">PMB</t>
        </is>
      </c>
      <c r="C42" s="124">
        <v>8</v>
      </c>
      <c r="D42" s="124">
        <v>224</v>
      </c>
      <c r="E42" s="125">
        <v>106.8</v>
      </c>
      <c r="F42" s="124">
        <v>5</v>
      </c>
      <c r="G42" s="124">
        <v>90</v>
      </c>
      <c r="H42" s="125">
        <v>26.38</v>
      </c>
      <c r="I42" s="124">
        <v>0</v>
      </c>
      <c r="J42" s="124"/>
      <c r="K42" s="124"/>
      <c r="L42" s="124"/>
      <c r="M42" s="124">
        <v>358</v>
      </c>
      <c r="N42" s="124">
        <v>8</v>
      </c>
      <c r="O42" s="124"/>
      <c r="P42" s="124"/>
      <c r="Q42" s="124"/>
      <c r="R42" s="124"/>
      <c r="S42" s="126" t="inlineStr">
        <is>
          <t xml:space="preserve">Cross</t>
        </is>
      </c>
    </row>
    <row r="43">
      <c r="A43" s="122">
        <v>46246</v>
      </c>
      <c r="B43" s="123" t="inlineStr">
        <is>
          <t xml:space="preserve">Barry Callebaut</t>
        </is>
      </c>
      <c r="C43" s="124">
        <v>8</v>
      </c>
      <c r="D43" s="124">
        <v>184</v>
      </c>
      <c r="E43" s="125">
        <v>108.93</v>
      </c>
      <c r="F43" s="124">
        <v>11</v>
      </c>
      <c r="G43" s="124">
        <v>198</v>
      </c>
      <c r="H43" s="125">
        <v>78.05</v>
      </c>
      <c r="I43" s="124">
        <v>0</v>
      </c>
      <c r="J43" s="124"/>
      <c r="K43" s="124"/>
      <c r="L43" s="124">
        <v>1950</v>
      </c>
      <c r="M43" s="124">
        <v>1255</v>
      </c>
      <c r="N43" s="124">
        <v>4</v>
      </c>
      <c r="O43" s="124"/>
      <c r="P43" s="124"/>
      <c r="Q43" s="124"/>
      <c r="R43" s="124"/>
      <c r="S43" s="126" t="inlineStr">
        <is>
          <t xml:space="preserve">Contrato</t>
        </is>
      </c>
    </row>
    <row r="44">
      <c r="A44" s="122">
        <v>46246</v>
      </c>
      <c r="B44" s="123" t="inlineStr">
        <is>
          <t xml:space="preserve">Gm</t>
        </is>
      </c>
      <c r="C44" s="124">
        <v>3</v>
      </c>
      <c r="D44" s="124">
        <v>63</v>
      </c>
      <c r="E44" s="125">
        <v>61.93</v>
      </c>
      <c r="F44" s="124">
        <v>2</v>
      </c>
      <c r="G44" s="124">
        <v>36</v>
      </c>
      <c r="H44" s="125">
        <v>10.67</v>
      </c>
      <c r="I44" s="124">
        <v>0</v>
      </c>
      <c r="J44" s="124"/>
      <c r="K44" s="124"/>
      <c r="L44" s="124">
        <v>800</v>
      </c>
      <c r="M44" s="124">
        <v>655</v>
      </c>
      <c r="N44" s="124">
        <v>5</v>
      </c>
      <c r="O44" s="124"/>
      <c r="P44" s="124"/>
      <c r="Q44" s="124"/>
      <c r="R44" s="124"/>
      <c r="S44" s="126" t="inlineStr">
        <is>
          <t xml:space="preserve">Contrato</t>
        </is>
      </c>
    </row>
    <row r="45">
      <c r="A45" s="122">
        <v>46246</v>
      </c>
      <c r="B45" s="123" t="inlineStr">
        <is>
          <t xml:space="preserve">Mondelez</t>
        </is>
      </c>
      <c r="C45" s="124">
        <v>8</v>
      </c>
      <c r="D45" s="124">
        <v>192</v>
      </c>
      <c r="E45" s="125">
        <v>143.85</v>
      </c>
      <c r="F45" s="124">
        <v>2</v>
      </c>
      <c r="G45" s="124">
        <v>36</v>
      </c>
      <c r="H45" s="125">
        <v>20.92</v>
      </c>
      <c r="I45" s="124">
        <v>0</v>
      </c>
      <c r="J45" s="124"/>
      <c r="K45" s="124"/>
      <c r="L45" s="124"/>
      <c r="M45" s="124">
        <v>268</v>
      </c>
      <c r="N45" s="124">
        <v>3</v>
      </c>
      <c r="O45" s="124"/>
      <c r="P45" s="124"/>
      <c r="Q45" s="124"/>
      <c r="R45" s="124"/>
      <c r="S45" s="126" t="inlineStr">
        <is>
          <t xml:space="preserve">Spot</t>
        </is>
      </c>
    </row>
    <row r="46">
      <c r="A46" s="122">
        <v>46246</v>
      </c>
      <c r="B46" s="123" t="inlineStr">
        <is>
          <t xml:space="preserve">Nestlé</t>
        </is>
      </c>
      <c r="C46" s="124">
        <v>0</v>
      </c>
      <c r="D46" s="124">
        <v>0</v>
      </c>
      <c r="E46" s="125">
        <v>0</v>
      </c>
      <c r="F46" s="124">
        <v>4</v>
      </c>
      <c r="G46" s="124">
        <v>72</v>
      </c>
      <c r="H46" s="125">
        <v>23.32</v>
      </c>
      <c r="I46" s="124">
        <v>0</v>
      </c>
      <c r="J46" s="124"/>
      <c r="K46" s="124"/>
      <c r="L46" s="124">
        <v>1400</v>
      </c>
      <c r="M46" s="124">
        <v>1090</v>
      </c>
      <c r="N46" s="124">
        <v>3</v>
      </c>
      <c r="O46" s="124"/>
      <c r="P46" s="124"/>
      <c r="Q46" s="124"/>
      <c r="R46" s="124"/>
      <c r="S46" s="126" t="inlineStr">
        <is>
          <t xml:space="preserve">Contrato</t>
        </is>
      </c>
    </row>
    <row r="47">
      <c r="A47" s="122">
        <v>46246</v>
      </c>
      <c r="B47" s="123" t="inlineStr">
        <is>
          <t xml:space="preserve">PMB</t>
        </is>
      </c>
      <c r="C47" s="124">
        <v>8</v>
      </c>
      <c r="D47" s="124">
        <v>192</v>
      </c>
      <c r="E47" s="125">
        <v>101.33</v>
      </c>
      <c r="F47" s="124">
        <v>0</v>
      </c>
      <c r="G47" s="124">
        <v>0</v>
      </c>
      <c r="H47" s="125">
        <v>0</v>
      </c>
      <c r="I47" s="124">
        <v>0</v>
      </c>
      <c r="J47" s="124"/>
      <c r="K47" s="124"/>
      <c r="L47" s="124"/>
      <c r="M47" s="124">
        <v>202</v>
      </c>
      <c r="N47" s="124">
        <v>4</v>
      </c>
      <c r="O47" s="124"/>
      <c r="P47" s="124"/>
      <c r="Q47" s="124"/>
      <c r="R47" s="124"/>
      <c r="S47" s="126" t="inlineStr">
        <is>
          <t xml:space="preserve">Cross</t>
        </is>
      </c>
    </row>
    <row r="48">
      <c r="A48" s="122">
        <v>46247</v>
      </c>
      <c r="B48" s="123" t="inlineStr">
        <is>
          <t xml:space="preserve">Barry Callebaut</t>
        </is>
      </c>
      <c r="C48" s="124">
        <v>3</v>
      </c>
      <c r="D48" s="124">
        <v>84</v>
      </c>
      <c r="E48" s="125">
        <v>30.8</v>
      </c>
      <c r="F48" s="124">
        <v>10</v>
      </c>
      <c r="G48" s="124">
        <v>180</v>
      </c>
      <c r="H48" s="125">
        <v>167.61</v>
      </c>
      <c r="I48" s="124">
        <v>0</v>
      </c>
      <c r="J48" s="124"/>
      <c r="K48" s="124"/>
      <c r="L48" s="124">
        <v>1950</v>
      </c>
      <c r="M48" s="124">
        <v>1510</v>
      </c>
      <c r="N48" s="124">
        <v>9</v>
      </c>
      <c r="O48" s="124"/>
      <c r="P48" s="124"/>
      <c r="Q48" s="124"/>
      <c r="R48" s="124"/>
      <c r="S48" s="126" t="inlineStr">
        <is>
          <t xml:space="preserve">Contrato</t>
        </is>
      </c>
    </row>
    <row r="49">
      <c r="A49" s="122">
        <v>46247</v>
      </c>
      <c r="B49" s="123" t="inlineStr">
        <is>
          <t xml:space="preserve">Gm</t>
        </is>
      </c>
      <c r="C49" s="124">
        <v>7</v>
      </c>
      <c r="D49" s="124">
        <v>147</v>
      </c>
      <c r="E49" s="125">
        <v>63.35</v>
      </c>
      <c r="F49" s="124">
        <v>8</v>
      </c>
      <c r="G49" s="124">
        <v>144</v>
      </c>
      <c r="H49" s="125">
        <v>129.49</v>
      </c>
      <c r="I49" s="124">
        <v>0</v>
      </c>
      <c r="J49" s="124"/>
      <c r="K49" s="124"/>
      <c r="L49" s="124">
        <v>800</v>
      </c>
      <c r="M49" s="124">
        <v>742</v>
      </c>
      <c r="N49" s="124">
        <v>8</v>
      </c>
      <c r="O49" s="124"/>
      <c r="P49" s="124"/>
      <c r="Q49" s="124"/>
      <c r="R49" s="124"/>
      <c r="S49" s="126" t="inlineStr">
        <is>
          <t xml:space="preserve">Contrato</t>
        </is>
      </c>
    </row>
    <row r="50">
      <c r="A50" s="122">
        <v>46247</v>
      </c>
      <c r="B50" s="123" t="inlineStr">
        <is>
          <t xml:space="preserve">Mondelez</t>
        </is>
      </c>
      <c r="C50" s="124">
        <v>6</v>
      </c>
      <c r="D50" s="124">
        <v>168</v>
      </c>
      <c r="E50" s="125">
        <v>66.54</v>
      </c>
      <c r="F50" s="124">
        <v>12</v>
      </c>
      <c r="G50" s="124">
        <v>216</v>
      </c>
      <c r="H50" s="125">
        <v>220.71</v>
      </c>
      <c r="I50" s="124">
        <v>0</v>
      </c>
      <c r="J50" s="124"/>
      <c r="K50" s="124"/>
      <c r="L50" s="124"/>
      <c r="M50" s="124">
        <v>217</v>
      </c>
      <c r="N50" s="124">
        <v>9</v>
      </c>
      <c r="O50" s="124"/>
      <c r="P50" s="124"/>
      <c r="Q50" s="124"/>
      <c r="R50" s="124"/>
      <c r="S50" s="126" t="inlineStr">
        <is>
          <t xml:space="preserve">Spot</t>
        </is>
      </c>
    </row>
    <row r="51">
      <c r="A51" s="122">
        <v>46247</v>
      </c>
      <c r="B51" s="123" t="inlineStr">
        <is>
          <t xml:space="preserve">Nestlé</t>
        </is>
      </c>
      <c r="C51" s="124">
        <v>6</v>
      </c>
      <c r="D51" s="124">
        <v>162</v>
      </c>
      <c r="E51" s="125">
        <v>122.79</v>
      </c>
      <c r="F51" s="124">
        <v>9</v>
      </c>
      <c r="G51" s="124">
        <v>162</v>
      </c>
      <c r="H51" s="125">
        <v>50.91</v>
      </c>
      <c r="I51" s="124">
        <v>0</v>
      </c>
      <c r="J51" s="124"/>
      <c r="K51" s="124"/>
      <c r="L51" s="124">
        <v>1400</v>
      </c>
      <c r="M51" s="124">
        <v>1225</v>
      </c>
      <c r="N51" s="124">
        <v>4</v>
      </c>
      <c r="O51" s="124"/>
      <c r="P51" s="124"/>
      <c r="Q51" s="124"/>
      <c r="R51" s="124"/>
      <c r="S51" s="126" t="inlineStr">
        <is>
          <t xml:space="preserve">Contrato</t>
        </is>
      </c>
    </row>
    <row r="52">
      <c r="A52" s="122">
        <v>46247</v>
      </c>
      <c r="B52" s="123" t="inlineStr">
        <is>
          <t xml:space="preserve">PMB</t>
        </is>
      </c>
      <c r="C52" s="124">
        <v>1</v>
      </c>
      <c r="D52" s="124">
        <v>25</v>
      </c>
      <c r="E52" s="125">
        <v>9.63</v>
      </c>
      <c r="F52" s="124">
        <v>7</v>
      </c>
      <c r="G52" s="124">
        <v>126</v>
      </c>
      <c r="H52" s="125">
        <v>90.8</v>
      </c>
      <c r="I52" s="124">
        <v>0</v>
      </c>
      <c r="J52" s="124"/>
      <c r="K52" s="124"/>
      <c r="L52" s="124"/>
      <c r="M52" s="124">
        <v>225</v>
      </c>
      <c r="N52" s="124">
        <v>3</v>
      </c>
      <c r="O52" s="124"/>
      <c r="P52" s="124"/>
      <c r="Q52" s="124"/>
      <c r="R52" s="124"/>
      <c r="S52" s="126" t="inlineStr">
        <is>
          <t xml:space="preserve">Cross</t>
        </is>
      </c>
    </row>
    <row r="53">
      <c r="A53" s="122">
        <v>46248</v>
      </c>
      <c r="B53" s="123" t="inlineStr">
        <is>
          <t xml:space="preserve">Barry Callebaut</t>
        </is>
      </c>
      <c r="C53" s="124">
        <v>4</v>
      </c>
      <c r="D53" s="124">
        <v>96</v>
      </c>
      <c r="E53" s="125">
        <v>84.55</v>
      </c>
      <c r="F53" s="124">
        <v>3</v>
      </c>
      <c r="G53" s="124">
        <v>54</v>
      </c>
      <c r="H53" s="125">
        <v>44.25</v>
      </c>
      <c r="I53" s="124">
        <v>0</v>
      </c>
      <c r="J53" s="124"/>
      <c r="K53" s="124"/>
      <c r="L53" s="124">
        <v>1950</v>
      </c>
      <c r="M53" s="124">
        <v>1371</v>
      </c>
      <c r="N53" s="124">
        <v>4</v>
      </c>
      <c r="O53" s="124"/>
      <c r="P53" s="124"/>
      <c r="Q53" s="124"/>
      <c r="R53" s="124"/>
      <c r="S53" s="126" t="inlineStr">
        <is>
          <t xml:space="preserve">Contrato</t>
        </is>
      </c>
    </row>
    <row r="54">
      <c r="A54" s="122">
        <v>46248</v>
      </c>
      <c r="B54" s="123" t="inlineStr">
        <is>
          <t xml:space="preserve">Gm</t>
        </is>
      </c>
      <c r="C54" s="124">
        <v>0</v>
      </c>
      <c r="D54" s="124">
        <v>0</v>
      </c>
      <c r="E54" s="125">
        <v>0</v>
      </c>
      <c r="F54" s="124">
        <v>6</v>
      </c>
      <c r="G54" s="124">
        <v>108</v>
      </c>
      <c r="H54" s="125">
        <v>38.13</v>
      </c>
      <c r="I54" s="124">
        <v>0</v>
      </c>
      <c r="J54" s="124"/>
      <c r="K54" s="124"/>
      <c r="L54" s="124">
        <v>800</v>
      </c>
      <c r="M54" s="124">
        <v>768</v>
      </c>
      <c r="N54" s="124">
        <v>6</v>
      </c>
      <c r="O54" s="124"/>
      <c r="P54" s="124"/>
      <c r="Q54" s="124"/>
      <c r="R54" s="124"/>
      <c r="S54" s="126" t="inlineStr">
        <is>
          <t xml:space="preserve">Contrato</t>
        </is>
      </c>
    </row>
    <row r="55">
      <c r="A55" s="122">
        <v>46248</v>
      </c>
      <c r="B55" s="123" t="inlineStr">
        <is>
          <t xml:space="preserve">Mondelez</t>
        </is>
      </c>
      <c r="C55" s="124">
        <v>1</v>
      </c>
      <c r="D55" s="124">
        <v>24</v>
      </c>
      <c r="E55" s="125">
        <v>11.21</v>
      </c>
      <c r="F55" s="124">
        <v>4</v>
      </c>
      <c r="G55" s="124">
        <v>72</v>
      </c>
      <c r="H55" s="125">
        <v>49.15</v>
      </c>
      <c r="I55" s="124">
        <v>0</v>
      </c>
      <c r="J55" s="124"/>
      <c r="K55" s="124"/>
      <c r="L55" s="124"/>
      <c r="M55" s="124">
        <v>150</v>
      </c>
      <c r="N55" s="124">
        <v>8</v>
      </c>
      <c r="O55" s="124"/>
      <c r="P55" s="124"/>
      <c r="Q55" s="124"/>
      <c r="R55" s="124"/>
      <c r="S55" s="126" t="inlineStr">
        <is>
          <t xml:space="preserve">Spot</t>
        </is>
      </c>
    </row>
    <row r="56">
      <c r="A56" s="122">
        <v>46248</v>
      </c>
      <c r="B56" s="123" t="inlineStr">
        <is>
          <t xml:space="preserve">Nestlé</t>
        </is>
      </c>
      <c r="C56" s="124">
        <v>7</v>
      </c>
      <c r="D56" s="124">
        <v>147</v>
      </c>
      <c r="E56" s="125">
        <v>151.78</v>
      </c>
      <c r="F56" s="124">
        <v>4</v>
      </c>
      <c r="G56" s="124">
        <v>72</v>
      </c>
      <c r="H56" s="125">
        <v>57.02</v>
      </c>
      <c r="I56" s="124">
        <v>0</v>
      </c>
      <c r="J56" s="124"/>
      <c r="K56" s="124"/>
      <c r="L56" s="124">
        <v>1400</v>
      </c>
      <c r="M56" s="124">
        <v>903</v>
      </c>
      <c r="N56" s="124">
        <v>6</v>
      </c>
      <c r="O56" s="124"/>
      <c r="P56" s="124"/>
      <c r="Q56" s="124"/>
      <c r="R56" s="124"/>
      <c r="S56" s="126" t="inlineStr">
        <is>
          <t xml:space="preserve">Contrato</t>
        </is>
      </c>
    </row>
    <row r="57">
      <c r="A57" s="122">
        <v>46248</v>
      </c>
      <c r="B57" s="123" t="inlineStr">
        <is>
          <t xml:space="preserve">PMB</t>
        </is>
      </c>
      <c r="C57" s="124">
        <v>3</v>
      </c>
      <c r="D57" s="124">
        <v>84</v>
      </c>
      <c r="E57" s="125">
        <v>40.09</v>
      </c>
      <c r="F57" s="124">
        <v>7</v>
      </c>
      <c r="G57" s="124">
        <v>126</v>
      </c>
      <c r="H57" s="125">
        <v>137.7</v>
      </c>
      <c r="I57" s="124">
        <v>0</v>
      </c>
      <c r="J57" s="124"/>
      <c r="K57" s="124"/>
      <c r="L57" s="124"/>
      <c r="M57" s="124">
        <v>342</v>
      </c>
      <c r="N57" s="124">
        <v>5</v>
      </c>
      <c r="O57" s="124"/>
      <c r="P57" s="124"/>
      <c r="Q57" s="124"/>
      <c r="R57" s="124"/>
      <c r="S57" s="126" t="inlineStr">
        <is>
          <t xml:space="preserve">Cross</t>
        </is>
      </c>
    </row>
    <row r="58">
      <c r="A58" s="122">
        <v>46249</v>
      </c>
      <c r="B58" s="123" t="inlineStr">
        <is>
          <t xml:space="preserve">Gm</t>
        </is>
      </c>
      <c r="C58" s="124">
        <v>3</v>
      </c>
      <c r="D58" s="124">
        <v>63</v>
      </c>
      <c r="E58" s="125">
        <v>43.92</v>
      </c>
      <c r="F58" s="124">
        <v>5</v>
      </c>
      <c r="G58" s="124">
        <v>90</v>
      </c>
      <c r="H58" s="125">
        <v>94.48</v>
      </c>
      <c r="I58" s="124">
        <v>0</v>
      </c>
      <c r="J58" s="124"/>
      <c r="K58" s="124"/>
      <c r="L58" s="124">
        <v>800</v>
      </c>
      <c r="M58" s="124">
        <v>506</v>
      </c>
      <c r="N58" s="124">
        <v>9</v>
      </c>
      <c r="O58" s="124"/>
      <c r="P58" s="124"/>
      <c r="Q58" s="124"/>
      <c r="R58" s="124"/>
      <c r="S58" s="126" t="inlineStr">
        <is>
          <t xml:space="preserve">Contrato</t>
        </is>
      </c>
    </row>
    <row r="59">
      <c r="A59" s="122">
        <v>46249</v>
      </c>
      <c r="B59" s="123" t="inlineStr">
        <is>
          <t xml:space="preserve">Mondelez</t>
        </is>
      </c>
      <c r="C59" s="124">
        <v>4</v>
      </c>
      <c r="D59" s="124">
        <v>100</v>
      </c>
      <c r="E59" s="125">
        <v>89.21</v>
      </c>
      <c r="F59" s="124">
        <v>7</v>
      </c>
      <c r="G59" s="124">
        <v>126</v>
      </c>
      <c r="H59" s="125">
        <v>134.75</v>
      </c>
      <c r="I59" s="124">
        <v>0</v>
      </c>
      <c r="J59" s="124"/>
      <c r="K59" s="124"/>
      <c r="L59" s="124"/>
      <c r="M59" s="124">
        <v>330</v>
      </c>
      <c r="N59" s="124">
        <v>4</v>
      </c>
      <c r="O59" s="124"/>
      <c r="P59" s="124"/>
      <c r="Q59" s="124"/>
      <c r="R59" s="124"/>
      <c r="S59" s="126" t="inlineStr">
        <is>
          <t xml:space="preserve">Spot</t>
        </is>
      </c>
    </row>
    <row r="60">
      <c r="A60" s="122">
        <v>46250</v>
      </c>
      <c r="B60" s="123" t="inlineStr">
        <is>
          <t xml:space="preserve">Barry Callebaut</t>
        </is>
      </c>
      <c r="C60" s="124">
        <v>2</v>
      </c>
      <c r="D60" s="124">
        <v>42</v>
      </c>
      <c r="E60" s="125">
        <v>25.6</v>
      </c>
      <c r="F60" s="124">
        <v>9</v>
      </c>
      <c r="G60" s="124">
        <v>162</v>
      </c>
      <c r="H60" s="125">
        <v>169.93</v>
      </c>
      <c r="I60" s="124">
        <v>0</v>
      </c>
      <c r="J60" s="124"/>
      <c r="K60" s="124"/>
      <c r="L60" s="124">
        <v>1950</v>
      </c>
      <c r="M60" s="124">
        <v>1673</v>
      </c>
      <c r="N60" s="124">
        <v>6</v>
      </c>
      <c r="O60" s="124"/>
      <c r="P60" s="124"/>
      <c r="Q60" s="124"/>
      <c r="R60" s="124"/>
      <c r="S60" s="126" t="inlineStr">
        <is>
          <t xml:space="preserve">Contrato</t>
        </is>
      </c>
    </row>
    <row r="61">
      <c r="A61" s="122">
        <v>46250</v>
      </c>
      <c r="B61" s="123" t="inlineStr">
        <is>
          <t xml:space="preserve">Gm</t>
        </is>
      </c>
      <c r="C61" s="124">
        <v>2</v>
      </c>
      <c r="D61" s="124">
        <v>48</v>
      </c>
      <c r="E61" s="125">
        <v>25.48</v>
      </c>
      <c r="F61" s="124">
        <v>3</v>
      </c>
      <c r="G61" s="124">
        <v>54</v>
      </c>
      <c r="H61" s="125">
        <v>51.54</v>
      </c>
      <c r="I61" s="124">
        <v>0</v>
      </c>
      <c r="J61" s="124"/>
      <c r="K61" s="124"/>
      <c r="L61" s="124">
        <v>800</v>
      </c>
      <c r="M61" s="124">
        <v>704</v>
      </c>
      <c r="N61" s="124">
        <v>6</v>
      </c>
      <c r="O61" s="124"/>
      <c r="P61" s="124"/>
      <c r="Q61" s="124"/>
      <c r="R61" s="124"/>
      <c r="S61" s="126" t="inlineStr">
        <is>
          <t xml:space="preserve">Contrato</t>
        </is>
      </c>
    </row>
    <row r="62">
      <c r="A62" s="122">
        <v>46251</v>
      </c>
      <c r="B62" s="123" t="inlineStr">
        <is>
          <t xml:space="preserve">Barry Callebaut</t>
        </is>
      </c>
      <c r="C62" s="124">
        <v>8</v>
      </c>
      <c r="D62" s="124">
        <v>168</v>
      </c>
      <c r="E62" s="125">
        <v>137.91</v>
      </c>
      <c r="F62" s="124">
        <v>6</v>
      </c>
      <c r="G62" s="124">
        <v>108</v>
      </c>
      <c r="H62" s="125">
        <v>97.74</v>
      </c>
      <c r="I62" s="124">
        <v>0</v>
      </c>
      <c r="J62" s="124"/>
      <c r="K62" s="124"/>
      <c r="L62" s="124">
        <v>1950</v>
      </c>
      <c r="M62" s="124">
        <v>1559</v>
      </c>
      <c r="N62" s="124">
        <v>3</v>
      </c>
      <c r="O62" s="124"/>
      <c r="P62" s="124"/>
      <c r="Q62" s="124"/>
      <c r="R62" s="124"/>
      <c r="S62" s="126" t="inlineStr">
        <is>
          <t xml:space="preserve">Contrato</t>
        </is>
      </c>
    </row>
    <row r="63">
      <c r="A63" s="122">
        <v>46251</v>
      </c>
      <c r="B63" s="123" t="inlineStr">
        <is>
          <t xml:space="preserve">Gm</t>
        </is>
      </c>
      <c r="C63" s="124">
        <v>5</v>
      </c>
      <c r="D63" s="124">
        <v>115</v>
      </c>
      <c r="E63" s="125">
        <v>72.62</v>
      </c>
      <c r="F63" s="124">
        <v>6</v>
      </c>
      <c r="G63" s="124">
        <v>108</v>
      </c>
      <c r="H63" s="125">
        <v>48.9</v>
      </c>
      <c r="I63" s="124">
        <v>0</v>
      </c>
      <c r="J63" s="124"/>
      <c r="K63" s="124"/>
      <c r="L63" s="124">
        <v>800</v>
      </c>
      <c r="M63" s="124">
        <v>638</v>
      </c>
      <c r="N63" s="124">
        <v>3</v>
      </c>
      <c r="O63" s="124"/>
      <c r="P63" s="124"/>
      <c r="Q63" s="124"/>
      <c r="R63" s="124"/>
      <c r="S63" s="126" t="inlineStr">
        <is>
          <t xml:space="preserve">Contrato</t>
        </is>
      </c>
    </row>
    <row r="64">
      <c r="A64" s="122">
        <v>46251</v>
      </c>
      <c r="B64" s="123" t="inlineStr">
        <is>
          <t xml:space="preserve">Mondelez</t>
        </is>
      </c>
      <c r="C64" s="124">
        <v>6</v>
      </c>
      <c r="D64" s="124">
        <v>168</v>
      </c>
      <c r="E64" s="125">
        <v>81.08</v>
      </c>
      <c r="F64" s="124">
        <v>2</v>
      </c>
      <c r="G64" s="124">
        <v>36</v>
      </c>
      <c r="H64" s="125">
        <v>37.18</v>
      </c>
      <c r="I64" s="124">
        <v>0</v>
      </c>
      <c r="J64" s="124"/>
      <c r="K64" s="124"/>
      <c r="L64" s="124"/>
      <c r="M64" s="124">
        <v>354</v>
      </c>
      <c r="N64" s="124">
        <v>8</v>
      </c>
      <c r="O64" s="124"/>
      <c r="P64" s="124"/>
      <c r="Q64" s="124"/>
      <c r="R64" s="124"/>
      <c r="S64" s="126" t="inlineStr">
        <is>
          <t xml:space="preserve">Spot</t>
        </is>
      </c>
    </row>
    <row r="65">
      <c r="A65" s="122">
        <v>46251</v>
      </c>
      <c r="B65" s="123" t="inlineStr">
        <is>
          <t xml:space="preserve">Nestlé</t>
        </is>
      </c>
      <c r="C65" s="124">
        <v>4</v>
      </c>
      <c r="D65" s="124">
        <v>112</v>
      </c>
      <c r="E65" s="125">
        <v>65.13</v>
      </c>
      <c r="F65" s="124">
        <v>6</v>
      </c>
      <c r="G65" s="124">
        <v>108</v>
      </c>
      <c r="H65" s="125">
        <v>56.8</v>
      </c>
      <c r="I65" s="124">
        <v>0</v>
      </c>
      <c r="J65" s="124"/>
      <c r="K65" s="124"/>
      <c r="L65" s="124">
        <v>1400</v>
      </c>
      <c r="M65" s="124">
        <v>966</v>
      </c>
      <c r="N65" s="124">
        <v>4</v>
      </c>
      <c r="O65" s="124"/>
      <c r="P65" s="124"/>
      <c r="Q65" s="124"/>
      <c r="R65" s="124"/>
      <c r="S65" s="126" t="inlineStr">
        <is>
          <t xml:space="preserve">Contrato</t>
        </is>
      </c>
    </row>
    <row r="66">
      <c r="A66" s="122">
        <v>46251</v>
      </c>
      <c r="B66" s="123" t="inlineStr">
        <is>
          <t xml:space="preserve">PMB</t>
        </is>
      </c>
      <c r="C66" s="124">
        <v>8</v>
      </c>
      <c r="D66" s="124">
        <v>200</v>
      </c>
      <c r="E66" s="125">
        <v>126.36</v>
      </c>
      <c r="F66" s="124">
        <v>2</v>
      </c>
      <c r="G66" s="124">
        <v>36</v>
      </c>
      <c r="H66" s="125">
        <v>20.26</v>
      </c>
      <c r="I66" s="124">
        <v>0</v>
      </c>
      <c r="J66" s="124"/>
      <c r="K66" s="124"/>
      <c r="L66" s="124"/>
      <c r="M66" s="124">
        <v>146</v>
      </c>
      <c r="N66" s="124">
        <v>9</v>
      </c>
      <c r="O66" s="124"/>
      <c r="P66" s="124"/>
      <c r="Q66" s="124"/>
      <c r="R66" s="124"/>
      <c r="S66" s="126" t="inlineStr">
        <is>
          <t xml:space="preserve">Cross</t>
        </is>
      </c>
    </row>
    <row r="67">
      <c r="A67" s="122">
        <v>46252</v>
      </c>
      <c r="B67" s="123" t="inlineStr">
        <is>
          <t xml:space="preserve">Barry Callebaut</t>
        </is>
      </c>
      <c r="C67" s="124">
        <v>5</v>
      </c>
      <c r="D67" s="124">
        <v>135</v>
      </c>
      <c r="E67" s="125">
        <v>101.41</v>
      </c>
      <c r="F67" s="124">
        <v>5</v>
      </c>
      <c r="G67" s="124">
        <v>90</v>
      </c>
      <c r="H67" s="125">
        <v>62.75</v>
      </c>
      <c r="I67" s="124">
        <v>0</v>
      </c>
      <c r="J67" s="124"/>
      <c r="K67" s="124"/>
      <c r="L67" s="124">
        <v>1950</v>
      </c>
      <c r="M67" s="124">
        <v>1544</v>
      </c>
      <c r="N67" s="124">
        <v>5</v>
      </c>
      <c r="O67" s="124"/>
      <c r="P67" s="124"/>
      <c r="Q67" s="124"/>
      <c r="R67" s="124"/>
      <c r="S67" s="126" t="inlineStr">
        <is>
          <t xml:space="preserve">Contrato</t>
        </is>
      </c>
    </row>
    <row r="68">
      <c r="A68" s="122">
        <v>46252</v>
      </c>
      <c r="B68" s="123" t="inlineStr">
        <is>
          <t xml:space="preserve">Gm</t>
        </is>
      </c>
      <c r="C68" s="124">
        <v>3</v>
      </c>
      <c r="D68" s="124">
        <v>72</v>
      </c>
      <c r="E68" s="125">
        <v>68.4</v>
      </c>
      <c r="F68" s="124">
        <v>8</v>
      </c>
      <c r="G68" s="124">
        <v>144</v>
      </c>
      <c r="H68" s="125">
        <v>51.93</v>
      </c>
      <c r="I68" s="124">
        <v>0</v>
      </c>
      <c r="J68" s="124"/>
      <c r="K68" s="124"/>
      <c r="L68" s="124">
        <v>800</v>
      </c>
      <c r="M68" s="124">
        <v>653</v>
      </c>
      <c r="N68" s="124">
        <v>4</v>
      </c>
      <c r="O68" s="124"/>
      <c r="P68" s="124"/>
      <c r="Q68" s="124"/>
      <c r="R68" s="124"/>
      <c r="S68" s="126" t="inlineStr">
        <is>
          <t xml:space="preserve">Contrato</t>
        </is>
      </c>
    </row>
    <row r="69">
      <c r="A69" s="122">
        <v>46252</v>
      </c>
      <c r="B69" s="123" t="inlineStr">
        <is>
          <t xml:space="preserve">Mondelez</t>
        </is>
      </c>
      <c r="C69" s="124">
        <v>2</v>
      </c>
      <c r="D69" s="124">
        <v>54</v>
      </c>
      <c r="E69" s="125">
        <v>30.76</v>
      </c>
      <c r="F69" s="124">
        <v>1</v>
      </c>
      <c r="G69" s="124">
        <v>18</v>
      </c>
      <c r="H69" s="125">
        <v>19.58</v>
      </c>
      <c r="I69" s="124">
        <v>0</v>
      </c>
      <c r="J69" s="124"/>
      <c r="K69" s="124"/>
      <c r="L69" s="124"/>
      <c r="M69" s="124">
        <v>227</v>
      </c>
      <c r="N69" s="124">
        <v>7</v>
      </c>
      <c r="O69" s="124"/>
      <c r="P69" s="124"/>
      <c r="Q69" s="124"/>
      <c r="R69" s="124"/>
      <c r="S69" s="126" t="inlineStr">
        <is>
          <t xml:space="preserve">Spot</t>
        </is>
      </c>
    </row>
    <row r="70">
      <c r="A70" s="122">
        <v>46252</v>
      </c>
      <c r="B70" s="123" t="inlineStr">
        <is>
          <t xml:space="preserve">Nestlé</t>
        </is>
      </c>
      <c r="C70" s="124">
        <v>3</v>
      </c>
      <c r="D70" s="124">
        <v>69</v>
      </c>
      <c r="E70" s="125">
        <v>31.17</v>
      </c>
      <c r="F70" s="124">
        <v>7</v>
      </c>
      <c r="G70" s="124">
        <v>126</v>
      </c>
      <c r="H70" s="125">
        <v>67.76</v>
      </c>
      <c r="I70" s="124">
        <v>0</v>
      </c>
      <c r="J70" s="124"/>
      <c r="K70" s="124"/>
      <c r="L70" s="124">
        <v>1400</v>
      </c>
      <c r="M70" s="124">
        <v>722</v>
      </c>
      <c r="N70" s="124">
        <v>6</v>
      </c>
      <c r="O70" s="124"/>
      <c r="P70" s="124"/>
      <c r="Q70" s="124"/>
      <c r="R70" s="124"/>
      <c r="S70" s="126" t="inlineStr">
        <is>
          <t xml:space="preserve">Contrato</t>
        </is>
      </c>
    </row>
    <row r="71">
      <c r="A71" s="122">
        <v>46252</v>
      </c>
      <c r="B71" s="123" t="inlineStr">
        <is>
          <t xml:space="preserve">PMB</t>
        </is>
      </c>
      <c r="C71" s="124">
        <v>1</v>
      </c>
      <c r="D71" s="124">
        <v>28</v>
      </c>
      <c r="E71" s="125">
        <v>11.32</v>
      </c>
      <c r="F71" s="124">
        <v>11</v>
      </c>
      <c r="G71" s="124">
        <v>198</v>
      </c>
      <c r="H71" s="125">
        <v>61.53</v>
      </c>
      <c r="I71" s="124">
        <v>0</v>
      </c>
      <c r="J71" s="124"/>
      <c r="K71" s="124"/>
      <c r="L71" s="124"/>
      <c r="M71" s="124">
        <v>164</v>
      </c>
      <c r="N71" s="124">
        <v>8</v>
      </c>
      <c r="O71" s="124"/>
      <c r="P71" s="124"/>
      <c r="Q71" s="124"/>
      <c r="R71" s="124"/>
      <c r="S71" s="126" t="inlineStr">
        <is>
          <t xml:space="preserve">Cross</t>
        </is>
      </c>
    </row>
    <row r="72">
      <c r="A72" s="122">
        <v>46253</v>
      </c>
      <c r="B72" s="123" t="inlineStr">
        <is>
          <t xml:space="preserve">Barry Callebaut</t>
        </is>
      </c>
      <c r="C72" s="124">
        <v>8</v>
      </c>
      <c r="D72" s="124">
        <v>184</v>
      </c>
      <c r="E72" s="125">
        <v>185.22</v>
      </c>
      <c r="F72" s="124">
        <v>12</v>
      </c>
      <c r="G72" s="124">
        <v>216</v>
      </c>
      <c r="H72" s="125">
        <v>61.88</v>
      </c>
      <c r="I72" s="124">
        <v>0</v>
      </c>
      <c r="J72" s="124"/>
      <c r="K72" s="124"/>
      <c r="L72" s="124">
        <v>1950</v>
      </c>
      <c r="M72" s="124">
        <v>1208</v>
      </c>
      <c r="N72" s="124">
        <v>6</v>
      </c>
      <c r="O72" s="124"/>
      <c r="P72" s="124"/>
      <c r="Q72" s="124"/>
      <c r="R72" s="124"/>
      <c r="S72" s="126" t="inlineStr">
        <is>
          <t xml:space="preserve">Contrato</t>
        </is>
      </c>
    </row>
    <row r="73">
      <c r="A73" s="122">
        <v>46253</v>
      </c>
      <c r="B73" s="123" t="inlineStr">
        <is>
          <t xml:space="preserve">Gm</t>
        </is>
      </c>
      <c r="C73" s="124">
        <v>1</v>
      </c>
      <c r="D73" s="124">
        <v>23</v>
      </c>
      <c r="E73" s="125">
        <v>16.44</v>
      </c>
      <c r="F73" s="124">
        <v>3</v>
      </c>
      <c r="G73" s="124">
        <v>54</v>
      </c>
      <c r="H73" s="125">
        <v>49.22</v>
      </c>
      <c r="I73" s="124">
        <v>0</v>
      </c>
      <c r="J73" s="124"/>
      <c r="K73" s="124"/>
      <c r="L73" s="124">
        <v>800</v>
      </c>
      <c r="M73" s="124">
        <v>651</v>
      </c>
      <c r="N73" s="124">
        <v>5</v>
      </c>
      <c r="O73" s="124"/>
      <c r="P73" s="124"/>
      <c r="Q73" s="124"/>
      <c r="R73" s="124"/>
      <c r="S73" s="126" t="inlineStr">
        <is>
          <t xml:space="preserve">Contrato</t>
        </is>
      </c>
    </row>
    <row r="74">
      <c r="A74" s="122">
        <v>46253</v>
      </c>
      <c r="B74" s="123" t="inlineStr">
        <is>
          <t xml:space="preserve">Mondelez</t>
        </is>
      </c>
      <c r="C74" s="124">
        <v>0</v>
      </c>
      <c r="D74" s="124">
        <v>0</v>
      </c>
      <c r="E74" s="125">
        <v>0</v>
      </c>
      <c r="F74" s="124">
        <v>7</v>
      </c>
      <c r="G74" s="124">
        <v>126</v>
      </c>
      <c r="H74" s="125">
        <v>105.07</v>
      </c>
      <c r="I74" s="124">
        <v>1</v>
      </c>
      <c r="J74" s="124"/>
      <c r="K74" s="124"/>
      <c r="L74" s="124"/>
      <c r="M74" s="124">
        <v>289</v>
      </c>
      <c r="N74" s="124">
        <v>3</v>
      </c>
      <c r="O74" s="124"/>
      <c r="P74" s="124"/>
      <c r="Q74" s="124"/>
      <c r="R74" s="124"/>
      <c r="S74" s="126" t="inlineStr">
        <is>
          <t xml:space="preserve">Spot</t>
        </is>
      </c>
    </row>
    <row r="75">
      <c r="A75" s="122">
        <v>46253</v>
      </c>
      <c r="B75" s="123" t="inlineStr">
        <is>
          <t xml:space="preserve">Nestlé</t>
        </is>
      </c>
      <c r="C75" s="124">
        <v>7</v>
      </c>
      <c r="D75" s="124">
        <v>175</v>
      </c>
      <c r="E75" s="125">
        <v>92.25</v>
      </c>
      <c r="F75" s="124">
        <v>3</v>
      </c>
      <c r="G75" s="124">
        <v>54</v>
      </c>
      <c r="H75" s="125">
        <v>25.56</v>
      </c>
      <c r="I75" s="124">
        <v>0</v>
      </c>
      <c r="J75" s="124"/>
      <c r="K75" s="124"/>
      <c r="L75" s="124">
        <v>1400</v>
      </c>
      <c r="M75" s="124">
        <v>952</v>
      </c>
      <c r="N75" s="124">
        <v>8</v>
      </c>
      <c r="O75" s="124"/>
      <c r="P75" s="124"/>
      <c r="Q75" s="124"/>
      <c r="R75" s="124"/>
      <c r="S75" s="126" t="inlineStr">
        <is>
          <t xml:space="preserve">Contrato</t>
        </is>
      </c>
    </row>
    <row r="76">
      <c r="A76" s="122">
        <v>46253</v>
      </c>
      <c r="B76" s="123" t="inlineStr">
        <is>
          <t xml:space="preserve">PMB</t>
        </is>
      </c>
      <c r="C76" s="124">
        <v>3</v>
      </c>
      <c r="D76" s="124">
        <v>75</v>
      </c>
      <c r="E76" s="125">
        <v>28.53</v>
      </c>
      <c r="F76" s="124">
        <v>10</v>
      </c>
      <c r="G76" s="124">
        <v>180</v>
      </c>
      <c r="H76" s="125">
        <v>93.82</v>
      </c>
      <c r="I76" s="124">
        <v>0</v>
      </c>
      <c r="J76" s="124"/>
      <c r="K76" s="124"/>
      <c r="L76" s="124"/>
      <c r="M76" s="124">
        <v>358</v>
      </c>
      <c r="N76" s="124">
        <v>8</v>
      </c>
      <c r="O76" s="124"/>
      <c r="P76" s="124"/>
      <c r="Q76" s="124"/>
      <c r="R76" s="124"/>
      <c r="S76" s="126" t="inlineStr">
        <is>
          <t xml:space="preserve">Cross</t>
        </is>
      </c>
    </row>
    <row r="77">
      <c r="A77" s="122">
        <v>46254</v>
      </c>
      <c r="B77" s="123" t="inlineStr">
        <is>
          <t xml:space="preserve">Barry Callebaut</t>
        </is>
      </c>
      <c r="C77" s="124">
        <v>1</v>
      </c>
      <c r="D77" s="124">
        <v>27</v>
      </c>
      <c r="E77" s="125">
        <v>23.28</v>
      </c>
      <c r="F77" s="124">
        <v>3</v>
      </c>
      <c r="G77" s="124">
        <v>54</v>
      </c>
      <c r="H77" s="125">
        <v>55.97</v>
      </c>
      <c r="I77" s="124">
        <v>0</v>
      </c>
      <c r="J77" s="124"/>
      <c r="K77" s="124"/>
      <c r="L77" s="124">
        <v>1950</v>
      </c>
      <c r="M77" s="124">
        <v>957</v>
      </c>
      <c r="N77" s="124">
        <v>7</v>
      </c>
      <c r="O77" s="124"/>
      <c r="P77" s="124"/>
      <c r="Q77" s="124"/>
      <c r="R77" s="124"/>
      <c r="S77" s="126" t="inlineStr">
        <is>
          <t xml:space="preserve">Contrato</t>
        </is>
      </c>
    </row>
    <row r="78">
      <c r="A78" s="122">
        <v>46254</v>
      </c>
      <c r="B78" s="123" t="inlineStr">
        <is>
          <t xml:space="preserve">Gm</t>
        </is>
      </c>
      <c r="C78" s="124">
        <v>5</v>
      </c>
      <c r="D78" s="124">
        <v>105</v>
      </c>
      <c r="E78" s="125">
        <v>116.66</v>
      </c>
      <c r="F78" s="124">
        <v>3</v>
      </c>
      <c r="G78" s="124">
        <v>54</v>
      </c>
      <c r="H78" s="125">
        <v>28.89</v>
      </c>
      <c r="I78" s="124">
        <v>0</v>
      </c>
      <c r="J78" s="124"/>
      <c r="K78" s="124"/>
      <c r="L78" s="124">
        <v>800</v>
      </c>
      <c r="M78" s="124">
        <v>721</v>
      </c>
      <c r="N78" s="124">
        <v>7</v>
      </c>
      <c r="O78" s="124"/>
      <c r="P78" s="124"/>
      <c r="Q78" s="124"/>
      <c r="R78" s="124"/>
      <c r="S78" s="126" t="inlineStr">
        <is>
          <t xml:space="preserve">Contrato</t>
        </is>
      </c>
    </row>
    <row r="79">
      <c r="A79" s="122">
        <v>46254</v>
      </c>
      <c r="B79" s="123" t="inlineStr">
        <is>
          <t xml:space="preserve">Mondelez</t>
        </is>
      </c>
      <c r="C79" s="124">
        <v>2</v>
      </c>
      <c r="D79" s="124">
        <v>50</v>
      </c>
      <c r="E79" s="125">
        <v>31.49</v>
      </c>
      <c r="F79" s="124">
        <v>1</v>
      </c>
      <c r="G79" s="124">
        <v>18</v>
      </c>
      <c r="H79" s="125">
        <v>14.79</v>
      </c>
      <c r="I79" s="124">
        <v>0</v>
      </c>
      <c r="J79" s="124"/>
      <c r="K79" s="124"/>
      <c r="L79" s="124"/>
      <c r="M79" s="124">
        <v>368</v>
      </c>
      <c r="N79" s="124">
        <v>8</v>
      </c>
      <c r="O79" s="124"/>
      <c r="P79" s="124"/>
      <c r="Q79" s="124"/>
      <c r="R79" s="124"/>
      <c r="S79" s="126" t="inlineStr">
        <is>
          <t xml:space="preserve">Spot</t>
        </is>
      </c>
    </row>
    <row r="80">
      <c r="A80" s="122">
        <v>46254</v>
      </c>
      <c r="B80" s="123" t="inlineStr">
        <is>
          <t xml:space="preserve">Nestlé</t>
        </is>
      </c>
      <c r="C80" s="124">
        <v>9</v>
      </c>
      <c r="D80" s="124">
        <v>234</v>
      </c>
      <c r="E80" s="125">
        <v>100.76</v>
      </c>
      <c r="F80" s="124">
        <v>9</v>
      </c>
      <c r="G80" s="124">
        <v>162</v>
      </c>
      <c r="H80" s="125">
        <v>52</v>
      </c>
      <c r="I80" s="124">
        <v>0</v>
      </c>
      <c r="J80" s="124"/>
      <c r="K80" s="124"/>
      <c r="L80" s="124">
        <v>1400</v>
      </c>
      <c r="M80" s="124">
        <v>761</v>
      </c>
      <c r="N80" s="124">
        <v>3</v>
      </c>
      <c r="O80" s="124"/>
      <c r="P80" s="124"/>
      <c r="Q80" s="124"/>
      <c r="R80" s="124"/>
      <c r="S80" s="126" t="inlineStr">
        <is>
          <t xml:space="preserve">Contrato</t>
        </is>
      </c>
    </row>
    <row r="81">
      <c r="A81" s="122">
        <v>46254</v>
      </c>
      <c r="B81" s="123" t="inlineStr">
        <is>
          <t xml:space="preserve">PMB</t>
        </is>
      </c>
      <c r="C81" s="124">
        <v>7</v>
      </c>
      <c r="D81" s="124">
        <v>182</v>
      </c>
      <c r="E81" s="125">
        <v>95.74</v>
      </c>
      <c r="F81" s="124">
        <v>5</v>
      </c>
      <c r="G81" s="124">
        <v>90</v>
      </c>
      <c r="H81" s="125">
        <v>30.87</v>
      </c>
      <c r="I81" s="124">
        <v>0</v>
      </c>
      <c r="J81" s="124"/>
      <c r="K81" s="124"/>
      <c r="L81" s="124"/>
      <c r="M81" s="124">
        <v>141</v>
      </c>
      <c r="N81" s="124">
        <v>9</v>
      </c>
      <c r="O81" s="124"/>
      <c r="P81" s="124"/>
      <c r="Q81" s="124"/>
      <c r="R81" s="124"/>
      <c r="S81" s="126" t="inlineStr">
        <is>
          <t xml:space="preserve">Cross</t>
        </is>
      </c>
    </row>
    <row r="82">
      <c r="A82" s="122">
        <v>46255</v>
      </c>
      <c r="B82" s="123" t="inlineStr">
        <is>
          <t xml:space="preserve">Barry Callebaut</t>
        </is>
      </c>
      <c r="C82" s="124">
        <v>1</v>
      </c>
      <c r="D82" s="124">
        <v>27</v>
      </c>
      <c r="E82" s="125">
        <v>9.74</v>
      </c>
      <c r="F82" s="124">
        <v>7</v>
      </c>
      <c r="G82" s="124">
        <v>126</v>
      </c>
      <c r="H82" s="125">
        <v>73.25</v>
      </c>
      <c r="I82" s="124">
        <v>0</v>
      </c>
      <c r="J82" s="124"/>
      <c r="K82" s="124"/>
      <c r="L82" s="124">
        <v>1950</v>
      </c>
      <c r="M82" s="124">
        <v>1818</v>
      </c>
      <c r="N82" s="124">
        <v>4</v>
      </c>
      <c r="O82" s="124"/>
      <c r="P82" s="124"/>
      <c r="Q82" s="124"/>
      <c r="R82" s="124"/>
      <c r="S82" s="126" t="inlineStr">
        <is>
          <t xml:space="preserve">Contrato</t>
        </is>
      </c>
    </row>
    <row r="83">
      <c r="A83" s="122">
        <v>46255</v>
      </c>
      <c r="B83" s="123" t="inlineStr">
        <is>
          <t xml:space="preserve">Gm</t>
        </is>
      </c>
      <c r="C83" s="124">
        <v>4</v>
      </c>
      <c r="D83" s="124">
        <v>88</v>
      </c>
      <c r="E83" s="125">
        <v>84.89</v>
      </c>
      <c r="F83" s="124">
        <v>12</v>
      </c>
      <c r="G83" s="124">
        <v>216</v>
      </c>
      <c r="H83" s="125">
        <v>169.31</v>
      </c>
      <c r="I83" s="124">
        <v>0</v>
      </c>
      <c r="J83" s="124"/>
      <c r="K83" s="124"/>
      <c r="L83" s="124">
        <v>800</v>
      </c>
      <c r="M83" s="124">
        <v>667</v>
      </c>
      <c r="N83" s="124">
        <v>6</v>
      </c>
      <c r="O83" s="124"/>
      <c r="P83" s="124"/>
      <c r="Q83" s="124"/>
      <c r="R83" s="124"/>
      <c r="S83" s="126" t="inlineStr">
        <is>
          <t xml:space="preserve">Contrato</t>
        </is>
      </c>
    </row>
    <row r="84">
      <c r="A84" s="122">
        <v>46255</v>
      </c>
      <c r="B84" s="123" t="inlineStr">
        <is>
          <t xml:space="preserve">Mondelez</t>
        </is>
      </c>
      <c r="C84" s="124">
        <v>1</v>
      </c>
      <c r="D84" s="124">
        <v>21</v>
      </c>
      <c r="E84" s="125">
        <v>12.86</v>
      </c>
      <c r="F84" s="124">
        <v>4</v>
      </c>
      <c r="G84" s="124">
        <v>72</v>
      </c>
      <c r="H84" s="125">
        <v>64.79</v>
      </c>
      <c r="I84" s="124">
        <v>0</v>
      </c>
      <c r="J84" s="124"/>
      <c r="K84" s="124"/>
      <c r="L84" s="124"/>
      <c r="M84" s="124">
        <v>262</v>
      </c>
      <c r="N84" s="124">
        <v>7</v>
      </c>
      <c r="O84" s="124"/>
      <c r="P84" s="124"/>
      <c r="Q84" s="124"/>
      <c r="R84" s="124"/>
      <c r="S84" s="126" t="inlineStr">
        <is>
          <t xml:space="preserve">Spot</t>
        </is>
      </c>
    </row>
    <row r="85">
      <c r="A85" s="122">
        <v>46255</v>
      </c>
      <c r="B85" s="123" t="inlineStr">
        <is>
          <t xml:space="preserve">Nestlé</t>
        </is>
      </c>
      <c r="C85" s="124">
        <v>7</v>
      </c>
      <c r="D85" s="124">
        <v>182</v>
      </c>
      <c r="E85" s="125">
        <v>66.18</v>
      </c>
      <c r="F85" s="124">
        <v>12</v>
      </c>
      <c r="G85" s="124">
        <v>216</v>
      </c>
      <c r="H85" s="125">
        <v>127.6</v>
      </c>
      <c r="I85" s="124">
        <v>0</v>
      </c>
      <c r="J85" s="124"/>
      <c r="K85" s="124"/>
      <c r="L85" s="124">
        <v>1400</v>
      </c>
      <c r="M85" s="124">
        <v>1175</v>
      </c>
      <c r="N85" s="124">
        <v>4</v>
      </c>
      <c r="O85" s="124"/>
      <c r="P85" s="124"/>
      <c r="Q85" s="124"/>
      <c r="R85" s="124"/>
      <c r="S85" s="126" t="inlineStr">
        <is>
          <t xml:space="preserve">Contrato</t>
        </is>
      </c>
    </row>
    <row r="86">
      <c r="A86" s="122">
        <v>46255</v>
      </c>
      <c r="B86" s="123" t="inlineStr">
        <is>
          <t xml:space="preserve">PMB</t>
        </is>
      </c>
      <c r="C86" s="124">
        <v>4</v>
      </c>
      <c r="D86" s="124">
        <v>84</v>
      </c>
      <c r="E86" s="125">
        <v>36.23</v>
      </c>
      <c r="F86" s="124">
        <v>1</v>
      </c>
      <c r="G86" s="124">
        <v>18</v>
      </c>
      <c r="H86" s="125">
        <v>19.31</v>
      </c>
      <c r="I86" s="124">
        <v>0</v>
      </c>
      <c r="J86" s="124"/>
      <c r="K86" s="124"/>
      <c r="L86" s="124"/>
      <c r="M86" s="124">
        <v>297</v>
      </c>
      <c r="N86" s="124">
        <v>3</v>
      </c>
      <c r="O86" s="124"/>
      <c r="P86" s="124"/>
      <c r="Q86" s="124"/>
      <c r="R86" s="124"/>
      <c r="S86" s="126" t="inlineStr">
        <is>
          <t xml:space="preserve">Cross</t>
        </is>
      </c>
    </row>
    <row r="87">
      <c r="A87" s="122">
        <v>46256</v>
      </c>
      <c r="B87" s="123" t="inlineStr">
        <is>
          <t xml:space="preserve">Barry Callebaut</t>
        </is>
      </c>
      <c r="C87" s="124">
        <v>3</v>
      </c>
      <c r="D87" s="124">
        <v>63</v>
      </c>
      <c r="E87" s="125">
        <v>43.28</v>
      </c>
      <c r="F87" s="124">
        <v>12</v>
      </c>
      <c r="G87" s="124">
        <v>216</v>
      </c>
      <c r="H87" s="125">
        <v>133.4</v>
      </c>
      <c r="I87" s="124">
        <v>0</v>
      </c>
      <c r="J87" s="124"/>
      <c r="K87" s="124"/>
      <c r="L87" s="124">
        <v>1950</v>
      </c>
      <c r="M87" s="124">
        <v>1565</v>
      </c>
      <c r="N87" s="124">
        <v>7</v>
      </c>
      <c r="O87" s="124"/>
      <c r="P87" s="124"/>
      <c r="Q87" s="124"/>
      <c r="R87" s="124"/>
      <c r="S87" s="126" t="inlineStr">
        <is>
          <t xml:space="preserve">Contrato</t>
        </is>
      </c>
    </row>
    <row r="88">
      <c r="A88" s="122">
        <v>46256</v>
      </c>
      <c r="B88" s="123" t="inlineStr">
        <is>
          <t xml:space="preserve">Gm</t>
        </is>
      </c>
      <c r="C88" s="124">
        <v>0</v>
      </c>
      <c r="D88" s="124">
        <v>0</v>
      </c>
      <c r="E88" s="125">
        <v>0</v>
      </c>
      <c r="F88" s="124">
        <v>7</v>
      </c>
      <c r="G88" s="124">
        <v>126</v>
      </c>
      <c r="H88" s="125">
        <v>78.77</v>
      </c>
      <c r="I88" s="124">
        <v>0</v>
      </c>
      <c r="J88" s="124"/>
      <c r="K88" s="124"/>
      <c r="L88" s="124">
        <v>800</v>
      </c>
      <c r="M88" s="124">
        <v>620</v>
      </c>
      <c r="N88" s="124">
        <v>4</v>
      </c>
      <c r="O88" s="124"/>
      <c r="P88" s="124"/>
      <c r="Q88" s="124"/>
      <c r="R88" s="124"/>
      <c r="S88" s="126" t="inlineStr">
        <is>
          <t xml:space="preserve">Contrato</t>
        </is>
      </c>
    </row>
    <row r="89">
      <c r="A89" s="122">
        <v>46257</v>
      </c>
      <c r="B89" s="123" t="inlineStr">
        <is>
          <t xml:space="preserve">Barry Callebaut</t>
        </is>
      </c>
      <c r="C89" s="124">
        <v>0</v>
      </c>
      <c r="D89" s="124">
        <v>0</v>
      </c>
      <c r="E89" s="125">
        <v>0</v>
      </c>
      <c r="F89" s="124">
        <v>4</v>
      </c>
      <c r="G89" s="124">
        <v>72</v>
      </c>
      <c r="H89" s="125">
        <v>64.28</v>
      </c>
      <c r="I89" s="124">
        <v>0</v>
      </c>
      <c r="J89" s="124"/>
      <c r="K89" s="124"/>
      <c r="L89" s="124">
        <v>1950</v>
      </c>
      <c r="M89" s="124">
        <v>1103</v>
      </c>
      <c r="N89" s="124">
        <v>5</v>
      </c>
      <c r="O89" s="124"/>
      <c r="P89" s="124"/>
      <c r="Q89" s="124"/>
      <c r="R89" s="124"/>
      <c r="S89" s="126" t="inlineStr">
        <is>
          <t xml:space="preserve">Contrato</t>
        </is>
      </c>
    </row>
    <row r="90">
      <c r="A90" s="122">
        <v>46258</v>
      </c>
      <c r="B90" s="123" t="inlineStr">
        <is>
          <t xml:space="preserve">Barry Callebaut</t>
        </is>
      </c>
      <c r="C90" s="124">
        <v>9</v>
      </c>
      <c r="D90" s="124">
        <v>189</v>
      </c>
      <c r="E90" s="125">
        <v>106.41</v>
      </c>
      <c r="F90" s="124">
        <v>3</v>
      </c>
      <c r="G90" s="124">
        <v>54</v>
      </c>
      <c r="H90" s="125">
        <v>25.41</v>
      </c>
      <c r="I90" s="124">
        <v>0</v>
      </c>
      <c r="J90" s="124"/>
      <c r="K90" s="124"/>
      <c r="L90" s="124">
        <v>1950</v>
      </c>
      <c r="M90" s="124">
        <v>1727</v>
      </c>
      <c r="N90" s="124">
        <v>6</v>
      </c>
      <c r="O90" s="124"/>
      <c r="P90" s="124"/>
      <c r="Q90" s="124"/>
      <c r="R90" s="124"/>
      <c r="S90" s="126" t="inlineStr">
        <is>
          <t xml:space="preserve">Contrato</t>
        </is>
      </c>
    </row>
    <row r="91">
      <c r="A91" s="122">
        <v>46258</v>
      </c>
      <c r="B91" s="123" t="inlineStr">
        <is>
          <t xml:space="preserve">Gm</t>
        </is>
      </c>
      <c r="C91" s="124">
        <v>3</v>
      </c>
      <c r="D91" s="124">
        <v>69</v>
      </c>
      <c r="E91" s="125">
        <v>28.72</v>
      </c>
      <c r="F91" s="124">
        <v>5</v>
      </c>
      <c r="G91" s="124">
        <v>90</v>
      </c>
      <c r="H91" s="125">
        <v>71.58</v>
      </c>
      <c r="I91" s="124">
        <v>1</v>
      </c>
      <c r="J91" s="124"/>
      <c r="K91" s="124"/>
      <c r="L91" s="124">
        <v>800</v>
      </c>
      <c r="M91" s="124">
        <v>539</v>
      </c>
      <c r="N91" s="124">
        <v>9</v>
      </c>
      <c r="O91" s="124"/>
      <c r="P91" s="124"/>
      <c r="Q91" s="124"/>
      <c r="R91" s="124"/>
      <c r="S91" s="126" t="inlineStr">
        <is>
          <t xml:space="preserve">Contrato</t>
        </is>
      </c>
    </row>
    <row r="92">
      <c r="A92" s="122">
        <v>46258</v>
      </c>
      <c r="B92" s="123" t="inlineStr">
        <is>
          <t xml:space="preserve">Mondelez</t>
        </is>
      </c>
      <c r="C92" s="124">
        <v>4</v>
      </c>
      <c r="D92" s="124">
        <v>92</v>
      </c>
      <c r="E92" s="125">
        <v>43.15</v>
      </c>
      <c r="F92" s="124">
        <v>9</v>
      </c>
      <c r="G92" s="124">
        <v>162</v>
      </c>
      <c r="H92" s="125">
        <v>161.93</v>
      </c>
      <c r="I92" s="124">
        <v>0</v>
      </c>
      <c r="J92" s="124"/>
      <c r="K92" s="124"/>
      <c r="L92" s="124"/>
      <c r="M92" s="124">
        <v>329</v>
      </c>
      <c r="N92" s="124">
        <v>7</v>
      </c>
      <c r="O92" s="124"/>
      <c r="P92" s="124"/>
      <c r="Q92" s="124"/>
      <c r="R92" s="124"/>
      <c r="S92" s="126" t="inlineStr">
        <is>
          <t xml:space="preserve">Spot</t>
        </is>
      </c>
    </row>
    <row r="93">
      <c r="A93" s="122">
        <v>46258</v>
      </c>
      <c r="B93" s="123" t="inlineStr">
        <is>
          <t xml:space="preserve">Nestlé</t>
        </is>
      </c>
      <c r="C93" s="124">
        <v>1</v>
      </c>
      <c r="D93" s="124">
        <v>20</v>
      </c>
      <c r="E93" s="125">
        <v>18.8</v>
      </c>
      <c r="F93" s="124">
        <v>3</v>
      </c>
      <c r="G93" s="124">
        <v>54</v>
      </c>
      <c r="H93" s="125">
        <v>56.15</v>
      </c>
      <c r="I93" s="124">
        <v>1</v>
      </c>
      <c r="J93" s="124"/>
      <c r="K93" s="124"/>
      <c r="L93" s="124">
        <v>1400</v>
      </c>
      <c r="M93" s="124">
        <v>741</v>
      </c>
      <c r="N93" s="124">
        <v>3</v>
      </c>
      <c r="O93" s="124"/>
      <c r="P93" s="124"/>
      <c r="Q93" s="124"/>
      <c r="R93" s="124"/>
      <c r="S93" s="126" t="inlineStr">
        <is>
          <t xml:space="preserve">Contrato</t>
        </is>
      </c>
    </row>
    <row r="94">
      <c r="A94" s="122">
        <v>46258</v>
      </c>
      <c r="B94" s="123" t="inlineStr">
        <is>
          <t xml:space="preserve">PMB</t>
        </is>
      </c>
      <c r="C94" s="124">
        <v>9</v>
      </c>
      <c r="D94" s="124">
        <v>180</v>
      </c>
      <c r="E94" s="125">
        <v>185.62</v>
      </c>
      <c r="F94" s="124">
        <v>11</v>
      </c>
      <c r="G94" s="124">
        <v>198</v>
      </c>
      <c r="H94" s="125">
        <v>111.1</v>
      </c>
      <c r="I94" s="124">
        <v>0</v>
      </c>
      <c r="J94" s="124"/>
      <c r="K94" s="124"/>
      <c r="L94" s="124"/>
      <c r="M94" s="124">
        <v>122</v>
      </c>
      <c r="N94" s="124">
        <v>3</v>
      </c>
      <c r="O94" s="124"/>
      <c r="P94" s="124"/>
      <c r="Q94" s="124"/>
      <c r="R94" s="124"/>
      <c r="S94" s="126" t="inlineStr">
        <is>
          <t xml:space="preserve">Cross</t>
        </is>
      </c>
    </row>
    <row r="95">
      <c r="A95" s="122">
        <v>46259</v>
      </c>
      <c r="B95" s="123" t="inlineStr">
        <is>
          <t xml:space="preserve">Barry Callebaut</t>
        </is>
      </c>
      <c r="C95" s="124">
        <v>3</v>
      </c>
      <c r="D95" s="124">
        <v>81</v>
      </c>
      <c r="E95" s="125">
        <v>28.42</v>
      </c>
      <c r="F95" s="124">
        <v>6</v>
      </c>
      <c r="G95" s="124">
        <v>108</v>
      </c>
      <c r="H95" s="125">
        <v>65.58</v>
      </c>
      <c r="I95" s="124">
        <v>0</v>
      </c>
      <c r="J95" s="124"/>
      <c r="K95" s="124"/>
      <c r="L95" s="124">
        <v>1950</v>
      </c>
      <c r="M95" s="124">
        <v>1463</v>
      </c>
      <c r="N95" s="124">
        <v>7</v>
      </c>
      <c r="O95" s="124"/>
      <c r="P95" s="124"/>
      <c r="Q95" s="124"/>
      <c r="R95" s="124"/>
      <c r="S95" s="126" t="inlineStr">
        <is>
          <t xml:space="preserve">Contrato</t>
        </is>
      </c>
    </row>
    <row r="96">
      <c r="A96" s="122">
        <v>46259</v>
      </c>
      <c r="B96" s="123" t="inlineStr">
        <is>
          <t xml:space="preserve">Gm</t>
        </is>
      </c>
      <c r="C96" s="124">
        <v>8</v>
      </c>
      <c r="D96" s="124">
        <v>208</v>
      </c>
      <c r="E96" s="125">
        <v>148.88</v>
      </c>
      <c r="F96" s="124">
        <v>5</v>
      </c>
      <c r="G96" s="124">
        <v>90</v>
      </c>
      <c r="H96" s="125">
        <v>37.14</v>
      </c>
      <c r="I96" s="124">
        <v>0</v>
      </c>
      <c r="J96" s="124"/>
      <c r="K96" s="124"/>
      <c r="L96" s="124">
        <v>800</v>
      </c>
      <c r="M96" s="124">
        <v>587</v>
      </c>
      <c r="N96" s="124">
        <v>3</v>
      </c>
      <c r="O96" s="124"/>
      <c r="P96" s="124"/>
      <c r="Q96" s="124"/>
      <c r="R96" s="124"/>
      <c r="S96" s="126" t="inlineStr">
        <is>
          <t xml:space="preserve">Contrato</t>
        </is>
      </c>
    </row>
    <row r="97">
      <c r="A97" s="122">
        <v>46259</v>
      </c>
      <c r="B97" s="123" t="inlineStr">
        <is>
          <t xml:space="preserve">Mondelez</t>
        </is>
      </c>
      <c r="C97" s="124">
        <v>6</v>
      </c>
      <c r="D97" s="124">
        <v>150</v>
      </c>
      <c r="E97" s="125">
        <v>82.11</v>
      </c>
      <c r="F97" s="124">
        <v>12</v>
      </c>
      <c r="G97" s="124">
        <v>216</v>
      </c>
      <c r="H97" s="125">
        <v>191.05</v>
      </c>
      <c r="I97" s="124">
        <v>0</v>
      </c>
      <c r="J97" s="124"/>
      <c r="K97" s="124"/>
      <c r="L97" s="124"/>
      <c r="M97" s="124">
        <v>204</v>
      </c>
      <c r="N97" s="124">
        <v>6</v>
      </c>
      <c r="O97" s="124"/>
      <c r="P97" s="124"/>
      <c r="Q97" s="124"/>
      <c r="R97" s="124"/>
      <c r="S97" s="126" t="inlineStr">
        <is>
          <t xml:space="preserve">Spot</t>
        </is>
      </c>
    </row>
    <row r="98">
      <c r="A98" s="122">
        <v>46259</v>
      </c>
      <c r="B98" s="123" t="inlineStr">
        <is>
          <t xml:space="preserve">Nestlé</t>
        </is>
      </c>
      <c r="C98" s="124">
        <v>2</v>
      </c>
      <c r="D98" s="124">
        <v>42</v>
      </c>
      <c r="E98" s="125">
        <v>37.18</v>
      </c>
      <c r="F98" s="124">
        <v>11</v>
      </c>
      <c r="G98" s="124">
        <v>198</v>
      </c>
      <c r="H98" s="125">
        <v>218.06</v>
      </c>
      <c r="I98" s="124">
        <v>0</v>
      </c>
      <c r="J98" s="124"/>
      <c r="K98" s="124"/>
      <c r="L98" s="124">
        <v>1400</v>
      </c>
      <c r="M98" s="124">
        <v>1014</v>
      </c>
      <c r="N98" s="124">
        <v>8</v>
      </c>
      <c r="O98" s="124"/>
      <c r="P98" s="124"/>
      <c r="Q98" s="124"/>
      <c r="R98" s="124"/>
      <c r="S98" s="126" t="inlineStr">
        <is>
          <t xml:space="preserve">Contrato</t>
        </is>
      </c>
    </row>
    <row r="99">
      <c r="A99" s="122">
        <v>46259</v>
      </c>
      <c r="B99" s="123" t="inlineStr">
        <is>
          <t xml:space="preserve">PMB</t>
        </is>
      </c>
      <c r="C99" s="124">
        <v>0</v>
      </c>
      <c r="D99" s="124">
        <v>0</v>
      </c>
      <c r="E99" s="125">
        <v>0</v>
      </c>
      <c r="F99" s="124">
        <v>6</v>
      </c>
      <c r="G99" s="124">
        <v>108</v>
      </c>
      <c r="H99" s="125">
        <v>41.7</v>
      </c>
      <c r="I99" s="124">
        <v>0</v>
      </c>
      <c r="J99" s="124"/>
      <c r="K99" s="124"/>
      <c r="L99" s="124"/>
      <c r="M99" s="124">
        <v>126</v>
      </c>
      <c r="N99" s="124">
        <v>3</v>
      </c>
      <c r="O99" s="124"/>
      <c r="P99" s="124"/>
      <c r="Q99" s="124"/>
      <c r="R99" s="124"/>
      <c r="S99" s="126" t="inlineStr">
        <is>
          <t xml:space="preserve">Cross</t>
        </is>
      </c>
    </row>
    <row r="100">
      <c r="A100" s="122">
        <v>46260</v>
      </c>
      <c r="B100" s="123" t="inlineStr">
        <is>
          <t xml:space="preserve">Barry Callebaut</t>
        </is>
      </c>
      <c r="C100" s="124">
        <v>1</v>
      </c>
      <c r="D100" s="124">
        <v>27</v>
      </c>
      <c r="E100" s="125">
        <v>10.63</v>
      </c>
      <c r="F100" s="124">
        <v>12</v>
      </c>
      <c r="G100" s="124">
        <v>216</v>
      </c>
      <c r="H100" s="125">
        <v>82.8</v>
      </c>
      <c r="I100" s="124">
        <v>0</v>
      </c>
      <c r="J100" s="124"/>
      <c r="K100" s="124"/>
      <c r="L100" s="124">
        <v>1950</v>
      </c>
      <c r="M100" s="124">
        <v>1865</v>
      </c>
      <c r="N100" s="124">
        <v>9</v>
      </c>
      <c r="O100" s="124"/>
      <c r="P100" s="124"/>
      <c r="Q100" s="124"/>
      <c r="R100" s="124"/>
      <c r="S100" s="126" t="inlineStr">
        <is>
          <t xml:space="preserve">Contrato</t>
        </is>
      </c>
    </row>
    <row r="101">
      <c r="A101" s="122">
        <v>46260</v>
      </c>
      <c r="B101" s="123" t="inlineStr">
        <is>
          <t xml:space="preserve">Gm</t>
        </is>
      </c>
      <c r="C101" s="124">
        <v>8</v>
      </c>
      <c r="D101" s="124">
        <v>208</v>
      </c>
      <c r="E101" s="125">
        <v>165.37</v>
      </c>
      <c r="F101" s="124">
        <v>6</v>
      </c>
      <c r="G101" s="124">
        <v>108</v>
      </c>
      <c r="H101" s="125">
        <v>75.32</v>
      </c>
      <c r="I101" s="124">
        <v>0</v>
      </c>
      <c r="J101" s="124"/>
      <c r="K101" s="124"/>
      <c r="L101" s="124">
        <v>800</v>
      </c>
      <c r="M101" s="124">
        <v>591</v>
      </c>
      <c r="N101" s="124">
        <v>5</v>
      </c>
      <c r="O101" s="124"/>
      <c r="P101" s="124"/>
      <c r="Q101" s="124"/>
      <c r="R101" s="124"/>
      <c r="S101" s="126" t="inlineStr">
        <is>
          <t xml:space="preserve">Contrato</t>
        </is>
      </c>
    </row>
    <row r="102">
      <c r="A102" s="122">
        <v>46260</v>
      </c>
      <c r="B102" s="123" t="inlineStr">
        <is>
          <t xml:space="preserve">Mondelez</t>
        </is>
      </c>
      <c r="C102" s="124">
        <v>2</v>
      </c>
      <c r="D102" s="124">
        <v>46</v>
      </c>
      <c r="E102" s="125">
        <v>36.63</v>
      </c>
      <c r="F102" s="124">
        <v>9</v>
      </c>
      <c r="G102" s="124">
        <v>162</v>
      </c>
      <c r="H102" s="125">
        <v>114.92</v>
      </c>
      <c r="I102" s="124">
        <v>0</v>
      </c>
      <c r="J102" s="124"/>
      <c r="K102" s="124"/>
      <c r="L102" s="124"/>
      <c r="M102" s="124">
        <v>296</v>
      </c>
      <c r="N102" s="124">
        <v>9</v>
      </c>
      <c r="O102" s="124"/>
      <c r="P102" s="124"/>
      <c r="Q102" s="124"/>
      <c r="R102" s="124"/>
      <c r="S102" s="126" t="inlineStr">
        <is>
          <t xml:space="preserve">Spot</t>
        </is>
      </c>
    </row>
    <row r="103">
      <c r="A103" s="122">
        <v>46260</v>
      </c>
      <c r="B103" s="123" t="inlineStr">
        <is>
          <t xml:space="preserve">Nestlé</t>
        </is>
      </c>
      <c r="C103" s="124">
        <v>0</v>
      </c>
      <c r="D103" s="124">
        <v>0</v>
      </c>
      <c r="E103" s="125">
        <v>0</v>
      </c>
      <c r="F103" s="124">
        <v>10</v>
      </c>
      <c r="G103" s="124">
        <v>180</v>
      </c>
      <c r="H103" s="125">
        <v>185.63</v>
      </c>
      <c r="I103" s="124">
        <v>0</v>
      </c>
      <c r="J103" s="124"/>
      <c r="K103" s="124"/>
      <c r="L103" s="124">
        <v>1400</v>
      </c>
      <c r="M103" s="124">
        <v>1335</v>
      </c>
      <c r="N103" s="124">
        <v>5</v>
      </c>
      <c r="O103" s="124"/>
      <c r="P103" s="124"/>
      <c r="Q103" s="124"/>
      <c r="R103" s="124"/>
      <c r="S103" s="126" t="inlineStr">
        <is>
          <t xml:space="preserve">Contrato</t>
        </is>
      </c>
    </row>
    <row r="104">
      <c r="A104" s="122">
        <v>46260</v>
      </c>
      <c r="B104" s="123" t="inlineStr">
        <is>
          <t xml:space="preserve">PMB</t>
        </is>
      </c>
      <c r="C104" s="124">
        <v>5</v>
      </c>
      <c r="D104" s="124">
        <v>115</v>
      </c>
      <c r="E104" s="125">
        <v>56.21</v>
      </c>
      <c r="F104" s="124">
        <v>12</v>
      </c>
      <c r="G104" s="124">
        <v>216</v>
      </c>
      <c r="H104" s="125">
        <v>81.19</v>
      </c>
      <c r="I104" s="124">
        <v>0</v>
      </c>
      <c r="J104" s="124"/>
      <c r="K104" s="124"/>
      <c r="L104" s="124"/>
      <c r="M104" s="124">
        <v>333</v>
      </c>
      <c r="N104" s="124">
        <v>3</v>
      </c>
      <c r="O104" s="124"/>
      <c r="P104" s="124"/>
      <c r="Q104" s="124"/>
      <c r="R104" s="124"/>
      <c r="S104" s="126" t="inlineStr">
        <is>
          <t xml:space="preserve">Cross</t>
        </is>
      </c>
    </row>
    <row r="105">
      <c r="A105" s="122">
        <v>46261</v>
      </c>
      <c r="B105" s="123" t="inlineStr">
        <is>
          <t xml:space="preserve">Barry Callebaut</t>
        </is>
      </c>
      <c r="C105" s="124">
        <v>0</v>
      </c>
      <c r="D105" s="124">
        <v>0</v>
      </c>
      <c r="E105" s="125">
        <v>0</v>
      </c>
      <c r="F105" s="124">
        <v>12</v>
      </c>
      <c r="G105" s="124">
        <v>216</v>
      </c>
      <c r="H105" s="125">
        <v>207.41</v>
      </c>
      <c r="I105" s="124">
        <v>0</v>
      </c>
      <c r="J105" s="124"/>
      <c r="K105" s="124"/>
      <c r="L105" s="124">
        <v>1950</v>
      </c>
      <c r="M105" s="124">
        <v>1756</v>
      </c>
      <c r="N105" s="124">
        <v>6</v>
      </c>
      <c r="O105" s="124"/>
      <c r="P105" s="124"/>
      <c r="Q105" s="124"/>
      <c r="R105" s="124"/>
      <c r="S105" s="126" t="inlineStr">
        <is>
          <t xml:space="preserve">Contrato</t>
        </is>
      </c>
    </row>
    <row r="106">
      <c r="A106" s="122">
        <v>46261</v>
      </c>
      <c r="B106" s="123" t="inlineStr">
        <is>
          <t xml:space="preserve">Gm</t>
        </is>
      </c>
      <c r="C106" s="124">
        <v>3</v>
      </c>
      <c r="D106" s="124">
        <v>72</v>
      </c>
      <c r="E106" s="125">
        <v>64.49</v>
      </c>
      <c r="F106" s="124">
        <v>9</v>
      </c>
      <c r="G106" s="124">
        <v>162</v>
      </c>
      <c r="H106" s="125">
        <v>112.8</v>
      </c>
      <c r="I106" s="124">
        <v>0</v>
      </c>
      <c r="J106" s="124"/>
      <c r="K106" s="124"/>
      <c r="L106" s="124">
        <v>800</v>
      </c>
      <c r="M106" s="124">
        <v>745</v>
      </c>
      <c r="N106" s="124">
        <v>4</v>
      </c>
      <c r="O106" s="124"/>
      <c r="P106" s="124"/>
      <c r="Q106" s="124"/>
      <c r="R106" s="124"/>
      <c r="S106" s="126" t="inlineStr">
        <is>
          <t xml:space="preserve">Contrato</t>
        </is>
      </c>
    </row>
    <row r="107">
      <c r="A107" s="122">
        <v>46261</v>
      </c>
      <c r="B107" s="123" t="inlineStr">
        <is>
          <t xml:space="preserve">Mondelez</t>
        </is>
      </c>
      <c r="C107" s="124">
        <v>8</v>
      </c>
      <c r="D107" s="124">
        <v>160</v>
      </c>
      <c r="E107" s="125">
        <v>150.85</v>
      </c>
      <c r="F107" s="124">
        <v>11</v>
      </c>
      <c r="G107" s="124">
        <v>198</v>
      </c>
      <c r="H107" s="125">
        <v>68.19</v>
      </c>
      <c r="I107" s="124">
        <v>0</v>
      </c>
      <c r="J107" s="124"/>
      <c r="K107" s="124"/>
      <c r="L107" s="124"/>
      <c r="M107" s="124">
        <v>358</v>
      </c>
      <c r="N107" s="124">
        <v>8</v>
      </c>
      <c r="O107" s="124"/>
      <c r="P107" s="124"/>
      <c r="Q107" s="124"/>
      <c r="R107" s="124"/>
      <c r="S107" s="126" t="inlineStr">
        <is>
          <t xml:space="preserve">Spot</t>
        </is>
      </c>
    </row>
    <row r="108">
      <c r="A108" s="122">
        <v>46261</v>
      </c>
      <c r="B108" s="123" t="inlineStr">
        <is>
          <t xml:space="preserve">Nestlé</t>
        </is>
      </c>
      <c r="C108" s="124">
        <v>2</v>
      </c>
      <c r="D108" s="124">
        <v>52</v>
      </c>
      <c r="E108" s="125">
        <v>42.32</v>
      </c>
      <c r="F108" s="124">
        <v>5</v>
      </c>
      <c r="G108" s="124">
        <v>90</v>
      </c>
      <c r="H108" s="125">
        <v>31.88</v>
      </c>
      <c r="I108" s="124">
        <v>0</v>
      </c>
      <c r="J108" s="124"/>
      <c r="K108" s="124"/>
      <c r="L108" s="124">
        <v>1400</v>
      </c>
      <c r="M108" s="124">
        <v>1152</v>
      </c>
      <c r="N108" s="124">
        <v>3</v>
      </c>
      <c r="O108" s="124"/>
      <c r="P108" s="124"/>
      <c r="Q108" s="124"/>
      <c r="R108" s="124"/>
      <c r="S108" s="126" t="inlineStr">
        <is>
          <t xml:space="preserve">Contrato</t>
        </is>
      </c>
    </row>
    <row r="109">
      <c r="A109" s="122">
        <v>46261</v>
      </c>
      <c r="B109" s="123" t="inlineStr">
        <is>
          <t xml:space="preserve">PMB</t>
        </is>
      </c>
      <c r="C109" s="124">
        <v>6</v>
      </c>
      <c r="D109" s="124">
        <v>126</v>
      </c>
      <c r="E109" s="125">
        <v>56.33</v>
      </c>
      <c r="F109" s="124">
        <v>1</v>
      </c>
      <c r="G109" s="124">
        <v>18</v>
      </c>
      <c r="H109" s="125">
        <v>12.38</v>
      </c>
      <c r="I109" s="124">
        <v>0</v>
      </c>
      <c r="J109" s="124"/>
      <c r="K109" s="124"/>
      <c r="L109" s="124"/>
      <c r="M109" s="124">
        <v>184</v>
      </c>
      <c r="N109" s="124">
        <v>7</v>
      </c>
      <c r="O109" s="124"/>
      <c r="P109" s="124"/>
      <c r="Q109" s="124"/>
      <c r="R109" s="124"/>
      <c r="S109" s="126" t="inlineStr">
        <is>
          <t xml:space="preserve">Cross</t>
        </is>
      </c>
    </row>
    <row r="110">
      <c r="A110" s="122">
        <v>46262</v>
      </c>
      <c r="B110" s="123" t="inlineStr">
        <is>
          <t xml:space="preserve">Barry Callebaut</t>
        </is>
      </c>
      <c r="C110" s="124">
        <v>3</v>
      </c>
      <c r="D110" s="124">
        <v>84</v>
      </c>
      <c r="E110" s="125">
        <v>53.63</v>
      </c>
      <c r="F110" s="124">
        <v>0</v>
      </c>
      <c r="G110" s="124">
        <v>0</v>
      </c>
      <c r="H110" s="125">
        <v>0</v>
      </c>
      <c r="I110" s="124">
        <v>0</v>
      </c>
      <c r="J110" s="124"/>
      <c r="K110" s="124"/>
      <c r="L110" s="124">
        <v>1950</v>
      </c>
      <c r="M110" s="124">
        <v>1551</v>
      </c>
      <c r="N110" s="124">
        <v>4</v>
      </c>
      <c r="O110" s="124"/>
      <c r="P110" s="124"/>
      <c r="Q110" s="124"/>
      <c r="R110" s="124"/>
      <c r="S110" s="126" t="inlineStr">
        <is>
          <t xml:space="preserve">Contrato</t>
        </is>
      </c>
    </row>
    <row r="111">
      <c r="A111" s="122">
        <v>46262</v>
      </c>
      <c r="B111" s="123" t="inlineStr">
        <is>
          <t xml:space="preserve">Gm</t>
        </is>
      </c>
      <c r="C111" s="124">
        <v>5</v>
      </c>
      <c r="D111" s="124">
        <v>115</v>
      </c>
      <c r="E111" s="125">
        <v>101.03</v>
      </c>
      <c r="F111" s="124">
        <v>10</v>
      </c>
      <c r="G111" s="124">
        <v>180</v>
      </c>
      <c r="H111" s="125">
        <v>184.33</v>
      </c>
      <c r="I111" s="124">
        <v>0</v>
      </c>
      <c r="J111" s="124"/>
      <c r="K111" s="124"/>
      <c r="L111" s="124">
        <v>800</v>
      </c>
      <c r="M111" s="124">
        <v>567</v>
      </c>
      <c r="N111" s="124">
        <v>4</v>
      </c>
      <c r="O111" s="124"/>
      <c r="P111" s="124"/>
      <c r="Q111" s="124"/>
      <c r="R111" s="124"/>
      <c r="S111" s="126" t="inlineStr">
        <is>
          <t xml:space="preserve">Contrato</t>
        </is>
      </c>
    </row>
    <row r="112">
      <c r="A112" s="122">
        <v>46262</v>
      </c>
      <c r="B112" s="123" t="inlineStr">
        <is>
          <t xml:space="preserve">Mondelez</t>
        </is>
      </c>
      <c r="C112" s="124">
        <v>7</v>
      </c>
      <c r="D112" s="124">
        <v>147</v>
      </c>
      <c r="E112" s="125">
        <v>117.75</v>
      </c>
      <c r="F112" s="124">
        <v>10</v>
      </c>
      <c r="G112" s="124">
        <v>180</v>
      </c>
      <c r="H112" s="125">
        <v>89.71</v>
      </c>
      <c r="I112" s="124">
        <v>0</v>
      </c>
      <c r="J112" s="124"/>
      <c r="K112" s="124"/>
      <c r="L112" s="124"/>
      <c r="M112" s="124">
        <v>288</v>
      </c>
      <c r="N112" s="124">
        <v>5</v>
      </c>
      <c r="O112" s="124"/>
      <c r="P112" s="124"/>
      <c r="Q112" s="124"/>
      <c r="R112" s="124"/>
      <c r="S112" s="126" t="inlineStr">
        <is>
          <t xml:space="preserve">Spot</t>
        </is>
      </c>
    </row>
    <row r="113">
      <c r="A113" s="122">
        <v>46262</v>
      </c>
      <c r="B113" s="123" t="inlineStr">
        <is>
          <t xml:space="preserve">Nestlé</t>
        </is>
      </c>
      <c r="C113" s="124">
        <v>4</v>
      </c>
      <c r="D113" s="124">
        <v>104</v>
      </c>
      <c r="E113" s="125">
        <v>76.78</v>
      </c>
      <c r="F113" s="124">
        <v>4</v>
      </c>
      <c r="G113" s="124">
        <v>72</v>
      </c>
      <c r="H113" s="125">
        <v>51.84</v>
      </c>
      <c r="I113" s="124">
        <v>0</v>
      </c>
      <c r="J113" s="124"/>
      <c r="K113" s="124"/>
      <c r="L113" s="124">
        <v>1400</v>
      </c>
      <c r="M113" s="124">
        <v>1068</v>
      </c>
      <c r="N113" s="124">
        <v>4</v>
      </c>
      <c r="O113" s="124"/>
      <c r="P113" s="124"/>
      <c r="Q113" s="124"/>
      <c r="R113" s="124"/>
      <c r="S113" s="126" t="inlineStr">
        <is>
          <t xml:space="preserve">Contrato</t>
        </is>
      </c>
    </row>
    <row r="114">
      <c r="A114" s="122">
        <v>46262</v>
      </c>
      <c r="B114" s="123" t="inlineStr">
        <is>
          <t xml:space="preserve">PMB</t>
        </is>
      </c>
      <c r="C114" s="124">
        <v>9</v>
      </c>
      <c r="D114" s="124">
        <v>189</v>
      </c>
      <c r="E114" s="125">
        <v>129.63</v>
      </c>
      <c r="F114" s="124">
        <v>9</v>
      </c>
      <c r="G114" s="124">
        <v>162</v>
      </c>
      <c r="H114" s="125">
        <v>79.24</v>
      </c>
      <c r="I114" s="124">
        <v>0</v>
      </c>
      <c r="J114" s="124"/>
      <c r="K114" s="124"/>
      <c r="L114" s="124"/>
      <c r="M114" s="124">
        <v>399</v>
      </c>
      <c r="N114" s="124">
        <v>6</v>
      </c>
      <c r="O114" s="124"/>
      <c r="P114" s="124"/>
      <c r="Q114" s="124"/>
      <c r="R114" s="124"/>
      <c r="S114" s="126" t="inlineStr">
        <is>
          <t xml:space="preserve">Cross</t>
        </is>
      </c>
    </row>
    <row r="115">
      <c r="A115" s="122">
        <v>46263</v>
      </c>
      <c r="B115" s="123" t="inlineStr">
        <is>
          <t xml:space="preserve">Nestlé</t>
        </is>
      </c>
      <c r="C115" s="124">
        <v>0</v>
      </c>
      <c r="D115" s="124">
        <v>0</v>
      </c>
      <c r="E115" s="125">
        <v>0</v>
      </c>
      <c r="F115" s="124">
        <v>1</v>
      </c>
      <c r="G115" s="124">
        <v>18</v>
      </c>
      <c r="H115" s="125">
        <v>13.01</v>
      </c>
      <c r="I115" s="124">
        <v>0</v>
      </c>
      <c r="J115" s="124"/>
      <c r="K115" s="124"/>
      <c r="L115" s="124">
        <v>1400</v>
      </c>
      <c r="M115" s="124">
        <v>1123</v>
      </c>
      <c r="N115" s="124">
        <v>7</v>
      </c>
      <c r="O115" s="124"/>
      <c r="P115" s="124"/>
      <c r="Q115" s="124"/>
      <c r="R115" s="124"/>
      <c r="S115" s="126" t="inlineStr">
        <is>
          <t xml:space="preserve">Contrato</t>
        </is>
      </c>
    </row>
    <row r="116">
      <c r="A116" s="122">
        <v>46264</v>
      </c>
      <c r="B116" s="123" t="inlineStr">
        <is>
          <t xml:space="preserve">Barry Callebaut</t>
        </is>
      </c>
      <c r="C116" s="124">
        <v>3</v>
      </c>
      <c r="D116" s="124">
        <v>60</v>
      </c>
      <c r="E116" s="125">
        <v>34.14</v>
      </c>
      <c r="F116" s="124">
        <v>2</v>
      </c>
      <c r="G116" s="124">
        <v>36</v>
      </c>
      <c r="H116" s="125">
        <v>11.91</v>
      </c>
      <c r="I116" s="124">
        <v>0</v>
      </c>
      <c r="J116" s="124"/>
      <c r="K116" s="124"/>
      <c r="L116" s="124">
        <v>1950</v>
      </c>
      <c r="M116" s="124">
        <v>1048</v>
      </c>
      <c r="N116" s="124">
        <v>9</v>
      </c>
      <c r="O116" s="124"/>
      <c r="P116" s="124"/>
      <c r="Q116" s="124"/>
      <c r="R116" s="124"/>
      <c r="S116" s="126" t="inlineStr">
        <is>
          <t xml:space="preserve">Contrato</t>
        </is>
      </c>
    </row>
    <row r="117">
      <c r="A117" s="122">
        <v>46264</v>
      </c>
      <c r="B117" s="123" t="inlineStr">
        <is>
          <t xml:space="preserve">Nestlé</t>
        </is>
      </c>
      <c r="C117" s="124">
        <v>2</v>
      </c>
      <c r="D117" s="124">
        <v>48</v>
      </c>
      <c r="E117" s="125">
        <v>30.06</v>
      </c>
      <c r="F117" s="124">
        <v>8</v>
      </c>
      <c r="G117" s="124">
        <v>144</v>
      </c>
      <c r="H117" s="125">
        <v>111.37</v>
      </c>
      <c r="I117" s="124">
        <v>0</v>
      </c>
      <c r="J117" s="124"/>
      <c r="K117" s="124"/>
      <c r="L117" s="124">
        <v>1400</v>
      </c>
      <c r="M117" s="124">
        <v>1292</v>
      </c>
      <c r="N117" s="124">
        <v>3</v>
      </c>
      <c r="O117" s="124"/>
      <c r="P117" s="124"/>
      <c r="Q117" s="124"/>
      <c r="R117" s="124"/>
      <c r="S117" s="126" t="inlineStr">
        <is>
          <t xml:space="preserve">Contrato</t>
        </is>
      </c>
    </row>
    <row r="118">
      <c r="A118" s="122">
        <v>46264</v>
      </c>
      <c r="B118" s="123" t="inlineStr">
        <is>
          <t xml:space="preserve">PMB</t>
        </is>
      </c>
      <c r="C118" s="124">
        <v>3</v>
      </c>
      <c r="D118" s="124">
        <v>60</v>
      </c>
      <c r="E118" s="125">
        <v>34.43</v>
      </c>
      <c r="F118" s="124">
        <v>0</v>
      </c>
      <c r="G118" s="124">
        <v>0</v>
      </c>
      <c r="H118" s="125">
        <v>0</v>
      </c>
      <c r="I118" s="124">
        <v>0</v>
      </c>
      <c r="J118" s="124"/>
      <c r="K118" s="124"/>
      <c r="L118" s="124"/>
      <c r="M118" s="124">
        <v>153</v>
      </c>
      <c r="N118" s="124">
        <v>3</v>
      </c>
      <c r="O118" s="124"/>
      <c r="P118" s="124"/>
      <c r="Q118" s="124"/>
      <c r="R118" s="124"/>
      <c r="S118" s="126" t="inlineStr">
        <is>
          <t xml:space="preserve">Cross</t>
        </is>
      </c>
    </row>
    <row r="119">
      <c r="A119" s="122">
        <v>46265</v>
      </c>
      <c r="B119" s="123" t="inlineStr">
        <is>
          <t xml:space="preserve">Barry Callebaut</t>
        </is>
      </c>
      <c r="C119" s="124">
        <v>8</v>
      </c>
      <c r="D119" s="124">
        <v>184</v>
      </c>
      <c r="E119" s="125">
        <v>150.82</v>
      </c>
      <c r="F119" s="124">
        <v>8</v>
      </c>
      <c r="G119" s="124">
        <v>144</v>
      </c>
      <c r="H119" s="125">
        <v>100.83</v>
      </c>
      <c r="I119" s="124">
        <v>0</v>
      </c>
      <c r="J119" s="124"/>
      <c r="K119" s="124"/>
      <c r="L119" s="124">
        <v>1950</v>
      </c>
      <c r="M119" s="124">
        <v>1556</v>
      </c>
      <c r="N119" s="124">
        <v>4</v>
      </c>
      <c r="O119" s="124"/>
      <c r="P119" s="124"/>
      <c r="Q119" s="124"/>
      <c r="R119" s="124"/>
      <c r="S119" s="126" t="inlineStr">
        <is>
          <t xml:space="preserve">Contrato</t>
        </is>
      </c>
    </row>
    <row r="120">
      <c r="A120" s="122">
        <v>46265</v>
      </c>
      <c r="B120" s="123" t="inlineStr">
        <is>
          <t xml:space="preserve">Gm</t>
        </is>
      </c>
      <c r="C120" s="124">
        <v>4</v>
      </c>
      <c r="D120" s="124">
        <v>112</v>
      </c>
      <c r="E120" s="125">
        <v>41.13</v>
      </c>
      <c r="F120" s="124">
        <v>3</v>
      </c>
      <c r="G120" s="124">
        <v>54</v>
      </c>
      <c r="H120" s="125">
        <v>29.71</v>
      </c>
      <c r="I120" s="124">
        <v>0</v>
      </c>
      <c r="J120" s="124"/>
      <c r="K120" s="124"/>
      <c r="L120" s="124">
        <v>800</v>
      </c>
      <c r="M120" s="124">
        <v>699</v>
      </c>
      <c r="N120" s="124">
        <v>3</v>
      </c>
      <c r="O120" s="124"/>
      <c r="P120" s="124"/>
      <c r="Q120" s="124"/>
      <c r="R120" s="124"/>
      <c r="S120" s="126" t="inlineStr">
        <is>
          <t xml:space="preserve">Contrato</t>
        </is>
      </c>
    </row>
    <row r="121">
      <c r="A121" s="122">
        <v>46265</v>
      </c>
      <c r="B121" s="123" t="inlineStr">
        <is>
          <t xml:space="preserve">Mondelez</t>
        </is>
      </c>
      <c r="C121" s="124">
        <v>8</v>
      </c>
      <c r="D121" s="124">
        <v>208</v>
      </c>
      <c r="E121" s="125">
        <v>117.02</v>
      </c>
      <c r="F121" s="124">
        <v>1</v>
      </c>
      <c r="G121" s="124">
        <v>18</v>
      </c>
      <c r="H121" s="125">
        <v>6.58</v>
      </c>
      <c r="I121" s="124">
        <v>0</v>
      </c>
      <c r="J121" s="124"/>
      <c r="K121" s="124"/>
      <c r="L121" s="124"/>
      <c r="M121" s="124">
        <v>218</v>
      </c>
      <c r="N121" s="124">
        <v>8</v>
      </c>
      <c r="O121" s="124"/>
      <c r="P121" s="124"/>
      <c r="Q121" s="124"/>
      <c r="R121" s="124"/>
      <c r="S121" s="126" t="inlineStr">
        <is>
          <t xml:space="preserve">Spot</t>
        </is>
      </c>
    </row>
    <row r="122">
      <c r="A122" s="122">
        <v>46265</v>
      </c>
      <c r="B122" s="123" t="inlineStr">
        <is>
          <t xml:space="preserve">Nestlé</t>
        </is>
      </c>
      <c r="C122" s="124">
        <v>6</v>
      </c>
      <c r="D122" s="124">
        <v>132</v>
      </c>
      <c r="E122" s="125">
        <v>127.2</v>
      </c>
      <c r="F122" s="124">
        <v>4</v>
      </c>
      <c r="G122" s="124">
        <v>72</v>
      </c>
      <c r="H122" s="125">
        <v>79.64</v>
      </c>
      <c r="I122" s="124">
        <v>0</v>
      </c>
      <c r="J122" s="124"/>
      <c r="K122" s="124"/>
      <c r="L122" s="124">
        <v>1400</v>
      </c>
      <c r="M122" s="124">
        <v>1189</v>
      </c>
      <c r="N122" s="124">
        <v>7</v>
      </c>
      <c r="O122" s="124"/>
      <c r="P122" s="124"/>
      <c r="Q122" s="124"/>
      <c r="R122" s="124"/>
      <c r="S122" s="126" t="inlineStr">
        <is>
          <t xml:space="preserve">Contrato</t>
        </is>
      </c>
    </row>
    <row r="123">
      <c r="A123" s="122">
        <v>46265</v>
      </c>
      <c r="B123" s="123" t="inlineStr">
        <is>
          <t xml:space="preserve">PMB</t>
        </is>
      </c>
      <c r="C123" s="124">
        <v>0</v>
      </c>
      <c r="D123" s="124">
        <v>0</v>
      </c>
      <c r="E123" s="125">
        <v>0</v>
      </c>
      <c r="F123" s="124">
        <v>10</v>
      </c>
      <c r="G123" s="124">
        <v>180</v>
      </c>
      <c r="H123" s="125">
        <v>128.49</v>
      </c>
      <c r="I123" s="124">
        <v>0</v>
      </c>
      <c r="J123" s="124"/>
      <c r="K123" s="124"/>
      <c r="L123" s="124"/>
      <c r="M123" s="124">
        <v>235</v>
      </c>
      <c r="N123" s="124">
        <v>8</v>
      </c>
      <c r="O123" s="124"/>
      <c r="P123" s="124"/>
      <c r="Q123" s="124"/>
      <c r="R123" s="124"/>
      <c r="S123" s="126" t="inlineStr">
        <is>
          <t xml:space="preserve">Cross</t>
        </is>
      </c>
    </row>
    <row r="124">
      <c r="A124" s="127">
        <v>46266</v>
      </c>
      <c r="B124" s="128" t="inlineStr">
        <is>
          <t xml:space="preserve">Barry Callebaut</t>
        </is>
      </c>
      <c r="C124" s="129">
        <v>5</v>
      </c>
      <c r="D124" s="129">
        <v>130</v>
      </c>
      <c r="E124" s="130">
        <v>90.09</v>
      </c>
      <c r="F124" s="129">
        <v>11</v>
      </c>
      <c r="G124" s="129">
        <v>198</v>
      </c>
      <c r="H124" s="130">
        <v>193.85</v>
      </c>
      <c r="I124" s="129">
        <v>0</v>
      </c>
      <c r="J124" s="129"/>
      <c r="K124" s="129"/>
      <c r="L124" s="129">
        <v>1950</v>
      </c>
      <c r="M124" s="129">
        <v>1449</v>
      </c>
      <c r="N124" s="129">
        <v>9</v>
      </c>
      <c r="O124" s="129"/>
      <c r="P124" s="129"/>
      <c r="Q124" s="129"/>
      <c r="R124" s="129"/>
      <c r="S124" s="131" t="inlineStr">
        <is>
          <t xml:space="preserve">Contrato</t>
        </is>
      </c>
    </row>
    <row r="125">
      <c r="A125" s="132">
        <v>46266</v>
      </c>
      <c r="B125" s="133" t="inlineStr">
        <is>
          <t xml:space="preserve">Gm</t>
        </is>
      </c>
      <c r="C125" s="134">
        <v>3</v>
      </c>
      <c r="D125" s="134">
        <v>63</v>
      </c>
      <c r="E125" s="135">
        <v>67.11</v>
      </c>
      <c r="F125" s="134">
        <v>11</v>
      </c>
      <c r="G125" s="134">
        <v>198</v>
      </c>
      <c r="H125" s="135">
        <v>88.52</v>
      </c>
      <c r="I125" s="134">
        <v>0</v>
      </c>
      <c r="J125" s="134"/>
      <c r="K125" s="134"/>
      <c r="L125" s="134">
        <v>800</v>
      </c>
      <c r="M125" s="134">
        <v>517</v>
      </c>
      <c r="N125" s="134">
        <v>9</v>
      </c>
      <c r="O125" s="134"/>
      <c r="P125" s="134"/>
      <c r="Q125" s="134"/>
      <c r="R125" s="134"/>
      <c r="S125" s="136" t="inlineStr">
        <is>
          <t xml:space="preserve">Contrato</t>
        </is>
      </c>
    </row>
    <row r="126">
      <c r="A126" s="127">
        <v>46266</v>
      </c>
      <c r="B126" s="128" t="inlineStr">
        <is>
          <t xml:space="preserve">Mondelez</t>
        </is>
      </c>
      <c r="C126" s="129">
        <v>4</v>
      </c>
      <c r="D126" s="129">
        <v>84</v>
      </c>
      <c r="E126" s="130">
        <v>59.49</v>
      </c>
      <c r="F126" s="129">
        <v>2</v>
      </c>
      <c r="G126" s="129">
        <v>36</v>
      </c>
      <c r="H126" s="130">
        <v>28.66</v>
      </c>
      <c r="I126" s="129">
        <v>0</v>
      </c>
      <c r="J126" s="129"/>
      <c r="K126" s="129"/>
      <c r="L126" s="129"/>
      <c r="M126" s="129">
        <v>182</v>
      </c>
      <c r="N126" s="129">
        <v>7</v>
      </c>
      <c r="O126" s="129"/>
      <c r="P126" s="129"/>
      <c r="Q126" s="129"/>
      <c r="R126" s="129"/>
      <c r="S126" s="131" t="inlineStr">
        <is>
          <t xml:space="preserve">Spot</t>
        </is>
      </c>
    </row>
    <row r="127">
      <c r="A127" s="132">
        <v>46266</v>
      </c>
      <c r="B127" s="133" t="inlineStr">
        <is>
          <t xml:space="preserve">Nestlé</t>
        </is>
      </c>
      <c r="C127" s="134">
        <v>7</v>
      </c>
      <c r="D127" s="134">
        <v>196</v>
      </c>
      <c r="E127" s="135">
        <v>112.57</v>
      </c>
      <c r="F127" s="134">
        <v>0</v>
      </c>
      <c r="G127" s="134">
        <v>0</v>
      </c>
      <c r="H127" s="135">
        <v>0</v>
      </c>
      <c r="I127" s="134">
        <v>1</v>
      </c>
      <c r="J127" s="134"/>
      <c r="K127" s="134"/>
      <c r="L127" s="134">
        <v>1400</v>
      </c>
      <c r="M127" s="134">
        <v>1284</v>
      </c>
      <c r="N127" s="134">
        <v>8</v>
      </c>
      <c r="O127" s="134"/>
      <c r="P127" s="134"/>
      <c r="Q127" s="134"/>
      <c r="R127" s="134"/>
      <c r="S127" s="136" t="inlineStr">
        <is>
          <t xml:space="preserve">Contrato</t>
        </is>
      </c>
    </row>
    <row r="128">
      <c r="A128" s="127">
        <v>46266</v>
      </c>
      <c r="B128" s="128" t="inlineStr">
        <is>
          <t xml:space="preserve">PMB</t>
        </is>
      </c>
      <c r="C128" s="129">
        <v>5</v>
      </c>
      <c r="D128" s="129">
        <v>100</v>
      </c>
      <c r="E128" s="130">
        <v>97.56</v>
      </c>
      <c r="F128" s="129">
        <v>10</v>
      </c>
      <c r="G128" s="129">
        <v>180</v>
      </c>
      <c r="H128" s="130">
        <v>57</v>
      </c>
      <c r="I128" s="129">
        <v>0</v>
      </c>
      <c r="J128" s="129"/>
      <c r="K128" s="129"/>
      <c r="L128" s="129"/>
      <c r="M128" s="129">
        <v>286</v>
      </c>
      <c r="N128" s="129">
        <v>3</v>
      </c>
      <c r="O128" s="129"/>
      <c r="P128" s="129"/>
      <c r="Q128" s="129"/>
      <c r="R128" s="129"/>
      <c r="S128" s="131" t="inlineStr">
        <is>
          <t xml:space="preserve">Cross</t>
        </is>
      </c>
    </row>
    <row r="129">
      <c r="A129" s="132">
        <v>46267</v>
      </c>
      <c r="B129" s="133" t="inlineStr">
        <is>
          <t xml:space="preserve">Barry Callebaut</t>
        </is>
      </c>
      <c r="C129" s="134">
        <v>0</v>
      </c>
      <c r="D129" s="134">
        <v>0</v>
      </c>
      <c r="E129" s="135">
        <v>0</v>
      </c>
      <c r="F129" s="134">
        <v>10</v>
      </c>
      <c r="G129" s="134">
        <v>180</v>
      </c>
      <c r="H129" s="135">
        <v>64.98</v>
      </c>
      <c r="I129" s="134">
        <v>0</v>
      </c>
      <c r="J129" s="134"/>
      <c r="K129" s="134"/>
      <c r="L129" s="134">
        <v>1950</v>
      </c>
      <c r="M129" s="134">
        <v>1000</v>
      </c>
      <c r="N129" s="134">
        <v>9</v>
      </c>
      <c r="O129" s="134"/>
      <c r="P129" s="134"/>
      <c r="Q129" s="134"/>
      <c r="R129" s="134"/>
      <c r="S129" s="136" t="inlineStr">
        <is>
          <t xml:space="preserve">Contrato</t>
        </is>
      </c>
    </row>
    <row r="130">
      <c r="A130" s="127">
        <v>46267</v>
      </c>
      <c r="B130" s="128" t="inlineStr">
        <is>
          <t xml:space="preserve">Gm</t>
        </is>
      </c>
      <c r="C130" s="129">
        <v>0</v>
      </c>
      <c r="D130" s="129">
        <v>0</v>
      </c>
      <c r="E130" s="130">
        <v>0</v>
      </c>
      <c r="F130" s="129">
        <v>2</v>
      </c>
      <c r="G130" s="129">
        <v>36</v>
      </c>
      <c r="H130" s="130">
        <v>34.96</v>
      </c>
      <c r="I130" s="129">
        <v>0</v>
      </c>
      <c r="J130" s="129"/>
      <c r="K130" s="129"/>
      <c r="L130" s="129">
        <v>800</v>
      </c>
      <c r="M130" s="129">
        <v>633</v>
      </c>
      <c r="N130" s="129">
        <v>6</v>
      </c>
      <c r="O130" s="129"/>
      <c r="P130" s="129"/>
      <c r="Q130" s="129"/>
      <c r="R130" s="129"/>
      <c r="S130" s="131" t="inlineStr">
        <is>
          <t xml:space="preserve">Contrato</t>
        </is>
      </c>
    </row>
    <row r="131">
      <c r="A131" s="132">
        <v>46267</v>
      </c>
      <c r="B131" s="133" t="inlineStr">
        <is>
          <t xml:space="preserve">Mondelez</t>
        </is>
      </c>
      <c r="C131" s="134">
        <v>5</v>
      </c>
      <c r="D131" s="134">
        <v>120</v>
      </c>
      <c r="E131" s="135">
        <v>82.78</v>
      </c>
      <c r="F131" s="134">
        <v>12</v>
      </c>
      <c r="G131" s="134">
        <v>216</v>
      </c>
      <c r="H131" s="135">
        <v>199.14</v>
      </c>
      <c r="I131" s="134">
        <v>0</v>
      </c>
      <c r="J131" s="134"/>
      <c r="K131" s="134"/>
      <c r="L131" s="134"/>
      <c r="M131" s="134">
        <v>277</v>
      </c>
      <c r="N131" s="134">
        <v>7</v>
      </c>
      <c r="O131" s="134"/>
      <c r="P131" s="134"/>
      <c r="Q131" s="134"/>
      <c r="R131" s="134"/>
      <c r="S131" s="136" t="inlineStr">
        <is>
          <t xml:space="preserve">Spot</t>
        </is>
      </c>
    </row>
    <row r="132">
      <c r="A132" s="127">
        <v>46267</v>
      </c>
      <c r="B132" s="128" t="inlineStr">
        <is>
          <t xml:space="preserve">Nestlé</t>
        </is>
      </c>
      <c r="C132" s="129">
        <v>3</v>
      </c>
      <c r="D132" s="129">
        <v>75</v>
      </c>
      <c r="E132" s="130">
        <v>40.25</v>
      </c>
      <c r="F132" s="129">
        <v>5</v>
      </c>
      <c r="G132" s="129">
        <v>90</v>
      </c>
      <c r="H132" s="130">
        <v>46.19</v>
      </c>
      <c r="I132" s="129">
        <v>0</v>
      </c>
      <c r="J132" s="129"/>
      <c r="K132" s="129"/>
      <c r="L132" s="129">
        <v>1400</v>
      </c>
      <c r="M132" s="129">
        <v>1076</v>
      </c>
      <c r="N132" s="129">
        <v>6</v>
      </c>
      <c r="O132" s="129"/>
      <c r="P132" s="129"/>
      <c r="Q132" s="129"/>
      <c r="R132" s="129"/>
      <c r="S132" s="131" t="inlineStr">
        <is>
          <t xml:space="preserve">Contrato</t>
        </is>
      </c>
    </row>
    <row r="133">
      <c r="A133" s="132">
        <v>46267</v>
      </c>
      <c r="B133" s="133" t="inlineStr">
        <is>
          <t xml:space="preserve">PMB</t>
        </is>
      </c>
      <c r="C133" s="134">
        <v>7</v>
      </c>
      <c r="D133" s="134">
        <v>161</v>
      </c>
      <c r="E133" s="135">
        <v>119.48</v>
      </c>
      <c r="F133" s="134">
        <v>1</v>
      </c>
      <c r="G133" s="134">
        <v>18</v>
      </c>
      <c r="H133" s="135">
        <v>12.85</v>
      </c>
      <c r="I133" s="134">
        <v>0</v>
      </c>
      <c r="J133" s="134"/>
      <c r="K133" s="134"/>
      <c r="L133" s="134"/>
      <c r="M133" s="134">
        <v>247</v>
      </c>
      <c r="N133" s="134">
        <v>8</v>
      </c>
      <c r="O133" s="134"/>
      <c r="P133" s="134"/>
      <c r="Q133" s="134"/>
      <c r="R133" s="134"/>
      <c r="S133" s="136" t="inlineStr">
        <is>
          <t xml:space="preserve">Cross</t>
        </is>
      </c>
    </row>
    <row r="134">
      <c r="A134" s="127">
        <v>46268</v>
      </c>
      <c r="B134" s="128" t="inlineStr">
        <is>
          <t xml:space="preserve">Barry Callebaut</t>
        </is>
      </c>
      <c r="C134" s="129">
        <v>9</v>
      </c>
      <c r="D134" s="129">
        <v>216</v>
      </c>
      <c r="E134" s="130">
        <v>208.42</v>
      </c>
      <c r="F134" s="129">
        <v>11</v>
      </c>
      <c r="G134" s="129">
        <v>198</v>
      </c>
      <c r="H134" s="130">
        <v>82.36</v>
      </c>
      <c r="I134" s="129">
        <v>0</v>
      </c>
      <c r="J134" s="129"/>
      <c r="K134" s="129"/>
      <c r="L134" s="129">
        <v>1950</v>
      </c>
      <c r="M134" s="129">
        <v>1861</v>
      </c>
      <c r="N134" s="129">
        <v>9</v>
      </c>
      <c r="O134" s="129"/>
      <c r="P134" s="129"/>
      <c r="Q134" s="129"/>
      <c r="R134" s="129"/>
      <c r="S134" s="131" t="inlineStr">
        <is>
          <t xml:space="preserve">Contrato</t>
        </is>
      </c>
    </row>
    <row r="135">
      <c r="A135" s="132">
        <v>46268</v>
      </c>
      <c r="B135" s="133" t="inlineStr">
        <is>
          <t xml:space="preserve">Gm</t>
        </is>
      </c>
      <c r="C135" s="134">
        <v>7</v>
      </c>
      <c r="D135" s="134">
        <v>168</v>
      </c>
      <c r="E135" s="135">
        <v>135.35</v>
      </c>
      <c r="F135" s="134">
        <v>5</v>
      </c>
      <c r="G135" s="134">
        <v>90</v>
      </c>
      <c r="H135" s="135">
        <v>42.85</v>
      </c>
      <c r="I135" s="134">
        <v>0</v>
      </c>
      <c r="J135" s="134"/>
      <c r="K135" s="134"/>
      <c r="L135" s="134">
        <v>800</v>
      </c>
      <c r="M135" s="134">
        <v>598</v>
      </c>
      <c r="N135" s="134">
        <v>7</v>
      </c>
      <c r="O135" s="134"/>
      <c r="P135" s="134"/>
      <c r="Q135" s="134"/>
      <c r="R135" s="134"/>
      <c r="S135" s="136" t="inlineStr">
        <is>
          <t xml:space="preserve">Contrato</t>
        </is>
      </c>
    </row>
    <row r="136">
      <c r="A136" s="127">
        <v>46268</v>
      </c>
      <c r="B136" s="128" t="inlineStr">
        <is>
          <t xml:space="preserve">Mondelez</t>
        </is>
      </c>
      <c r="C136" s="129">
        <v>1</v>
      </c>
      <c r="D136" s="129">
        <v>20</v>
      </c>
      <c r="E136" s="130">
        <v>22.33</v>
      </c>
      <c r="F136" s="129">
        <v>4</v>
      </c>
      <c r="G136" s="129">
        <v>72</v>
      </c>
      <c r="H136" s="130">
        <v>42.76</v>
      </c>
      <c r="I136" s="129">
        <v>0</v>
      </c>
      <c r="J136" s="129"/>
      <c r="K136" s="129"/>
      <c r="L136" s="129"/>
      <c r="M136" s="129">
        <v>219</v>
      </c>
      <c r="N136" s="129">
        <v>5</v>
      </c>
      <c r="O136" s="129"/>
      <c r="P136" s="129"/>
      <c r="Q136" s="129"/>
      <c r="R136" s="129"/>
      <c r="S136" s="131" t="inlineStr">
        <is>
          <t xml:space="preserve">Spot</t>
        </is>
      </c>
    </row>
    <row r="137">
      <c r="A137" s="132">
        <v>46268</v>
      </c>
      <c r="B137" s="133" t="inlineStr">
        <is>
          <t xml:space="preserve">Nestlé</t>
        </is>
      </c>
      <c r="C137" s="134">
        <v>1</v>
      </c>
      <c r="D137" s="134">
        <v>28</v>
      </c>
      <c r="E137" s="135">
        <v>16.35</v>
      </c>
      <c r="F137" s="134">
        <v>5</v>
      </c>
      <c r="G137" s="134">
        <v>90</v>
      </c>
      <c r="H137" s="135">
        <v>55.1</v>
      </c>
      <c r="I137" s="134">
        <v>0</v>
      </c>
      <c r="J137" s="134"/>
      <c r="K137" s="134"/>
      <c r="L137" s="134">
        <v>1400</v>
      </c>
      <c r="M137" s="134">
        <v>1104</v>
      </c>
      <c r="N137" s="134">
        <v>9</v>
      </c>
      <c r="O137" s="134"/>
      <c r="P137" s="134"/>
      <c r="Q137" s="134"/>
      <c r="R137" s="134"/>
      <c r="S137" s="136" t="inlineStr">
        <is>
          <t xml:space="preserve">Contrato</t>
        </is>
      </c>
    </row>
    <row r="138">
      <c r="A138" s="127">
        <v>46268</v>
      </c>
      <c r="B138" s="128" t="inlineStr">
        <is>
          <t xml:space="preserve">PMB</t>
        </is>
      </c>
      <c r="C138" s="129">
        <v>7</v>
      </c>
      <c r="D138" s="129">
        <v>140</v>
      </c>
      <c r="E138" s="130">
        <v>118.81</v>
      </c>
      <c r="F138" s="129">
        <v>8</v>
      </c>
      <c r="G138" s="129">
        <v>144</v>
      </c>
      <c r="H138" s="130">
        <v>129.04</v>
      </c>
      <c r="I138" s="129">
        <v>0</v>
      </c>
      <c r="J138" s="129"/>
      <c r="K138" s="129"/>
      <c r="L138" s="129"/>
      <c r="M138" s="129">
        <v>186</v>
      </c>
      <c r="N138" s="129">
        <v>5</v>
      </c>
      <c r="O138" s="129"/>
      <c r="P138" s="129"/>
      <c r="Q138" s="129"/>
      <c r="R138" s="129"/>
      <c r="S138" s="131" t="inlineStr">
        <is>
          <t xml:space="preserve">Cross</t>
        </is>
      </c>
    </row>
    <row r="139">
      <c r="A139" s="132">
        <v>46269</v>
      </c>
      <c r="B139" s="133" t="inlineStr">
        <is>
          <t xml:space="preserve">Barry Callebaut</t>
        </is>
      </c>
      <c r="C139" s="134">
        <v>4</v>
      </c>
      <c r="D139" s="134">
        <v>88</v>
      </c>
      <c r="E139" s="135">
        <v>54.09</v>
      </c>
      <c r="F139" s="134">
        <v>3</v>
      </c>
      <c r="G139" s="134">
        <v>54</v>
      </c>
      <c r="H139" s="135">
        <v>42.13</v>
      </c>
      <c r="I139" s="134">
        <v>0</v>
      </c>
      <c r="J139" s="134"/>
      <c r="K139" s="134"/>
      <c r="L139" s="134">
        <v>1950</v>
      </c>
      <c r="M139" s="134">
        <v>1256</v>
      </c>
      <c r="N139" s="134">
        <v>8</v>
      </c>
      <c r="O139" s="134"/>
      <c r="P139" s="134"/>
      <c r="Q139" s="134"/>
      <c r="R139" s="134"/>
      <c r="S139" s="136" t="inlineStr">
        <is>
          <t xml:space="preserve">Contrato</t>
        </is>
      </c>
    </row>
    <row r="140">
      <c r="A140" s="127">
        <v>46269</v>
      </c>
      <c r="B140" s="128" t="inlineStr">
        <is>
          <t xml:space="preserve">Gm</t>
        </is>
      </c>
      <c r="C140" s="129">
        <v>7</v>
      </c>
      <c r="D140" s="129">
        <v>182</v>
      </c>
      <c r="E140" s="130">
        <v>77.89</v>
      </c>
      <c r="F140" s="129">
        <v>6</v>
      </c>
      <c r="G140" s="129">
        <v>108</v>
      </c>
      <c r="H140" s="130">
        <v>88.72</v>
      </c>
      <c r="I140" s="129">
        <v>0</v>
      </c>
      <c r="J140" s="129"/>
      <c r="K140" s="129"/>
      <c r="L140" s="129">
        <v>800</v>
      </c>
      <c r="M140" s="129">
        <v>617</v>
      </c>
      <c r="N140" s="129">
        <v>3</v>
      </c>
      <c r="O140" s="129"/>
      <c r="P140" s="129"/>
      <c r="Q140" s="129"/>
      <c r="R140" s="129"/>
      <c r="S140" s="131" t="inlineStr">
        <is>
          <t xml:space="preserve">Contrato</t>
        </is>
      </c>
    </row>
    <row r="141">
      <c r="A141" s="132">
        <v>46269</v>
      </c>
      <c r="B141" s="133" t="inlineStr">
        <is>
          <t xml:space="preserve">Mondelez</t>
        </is>
      </c>
      <c r="C141" s="134">
        <v>3</v>
      </c>
      <c r="D141" s="134">
        <v>66</v>
      </c>
      <c r="E141" s="135">
        <v>33.79</v>
      </c>
      <c r="F141" s="134">
        <v>4</v>
      </c>
      <c r="G141" s="134">
        <v>72</v>
      </c>
      <c r="H141" s="135">
        <v>58.28</v>
      </c>
      <c r="I141" s="134">
        <v>0</v>
      </c>
      <c r="J141" s="134"/>
      <c r="K141" s="134"/>
      <c r="L141" s="134"/>
      <c r="M141" s="134">
        <v>154</v>
      </c>
      <c r="N141" s="134">
        <v>9</v>
      </c>
      <c r="O141" s="134"/>
      <c r="P141" s="134"/>
      <c r="Q141" s="134"/>
      <c r="R141" s="134"/>
      <c r="S141" s="136" t="inlineStr">
        <is>
          <t xml:space="preserve">Spot</t>
        </is>
      </c>
    </row>
    <row r="142">
      <c r="A142" s="127">
        <v>46269</v>
      </c>
      <c r="B142" s="128" t="inlineStr">
        <is>
          <t xml:space="preserve">Nestlé</t>
        </is>
      </c>
      <c r="C142" s="129">
        <v>2</v>
      </c>
      <c r="D142" s="129">
        <v>46</v>
      </c>
      <c r="E142" s="130">
        <v>25.09</v>
      </c>
      <c r="F142" s="129">
        <v>11</v>
      </c>
      <c r="G142" s="129">
        <v>198</v>
      </c>
      <c r="H142" s="130">
        <v>82.16</v>
      </c>
      <c r="I142" s="129">
        <v>0</v>
      </c>
      <c r="J142" s="129"/>
      <c r="K142" s="129"/>
      <c r="L142" s="129">
        <v>1400</v>
      </c>
      <c r="M142" s="129">
        <v>804</v>
      </c>
      <c r="N142" s="129">
        <v>5</v>
      </c>
      <c r="O142" s="129"/>
      <c r="P142" s="129"/>
      <c r="Q142" s="129"/>
      <c r="R142" s="129"/>
      <c r="S142" s="131" t="inlineStr">
        <is>
          <t xml:space="preserve">Contrato</t>
        </is>
      </c>
    </row>
    <row r="143">
      <c r="A143" s="132">
        <v>46269</v>
      </c>
      <c r="B143" s="133" t="inlineStr">
        <is>
          <t xml:space="preserve">PMB</t>
        </is>
      </c>
      <c r="C143" s="134">
        <v>4</v>
      </c>
      <c r="D143" s="134">
        <v>108</v>
      </c>
      <c r="E143" s="135">
        <v>89.11</v>
      </c>
      <c r="F143" s="134">
        <v>12</v>
      </c>
      <c r="G143" s="134">
        <v>216</v>
      </c>
      <c r="H143" s="135">
        <v>236.56</v>
      </c>
      <c r="I143" s="134">
        <v>1</v>
      </c>
      <c r="J143" s="134"/>
      <c r="K143" s="134"/>
      <c r="L143" s="134"/>
      <c r="M143" s="134">
        <v>251</v>
      </c>
      <c r="N143" s="134">
        <v>3</v>
      </c>
      <c r="O143" s="134"/>
      <c r="P143" s="134"/>
      <c r="Q143" s="134"/>
      <c r="R143" s="134"/>
      <c r="S143" s="136" t="inlineStr">
        <is>
          <t xml:space="preserve">Cross</t>
        </is>
      </c>
    </row>
    <row r="144">
      <c r="A144" s="127">
        <v>46270</v>
      </c>
      <c r="B144" s="128" t="inlineStr">
        <is>
          <t xml:space="preserve">Barry Callebaut</t>
        </is>
      </c>
      <c r="C144" s="129">
        <v>0</v>
      </c>
      <c r="D144" s="129">
        <v>0</v>
      </c>
      <c r="E144" s="130">
        <v>0</v>
      </c>
      <c r="F144" s="129">
        <v>1</v>
      </c>
      <c r="G144" s="129">
        <v>18</v>
      </c>
      <c r="H144" s="130">
        <v>8.64</v>
      </c>
      <c r="I144" s="129">
        <v>0</v>
      </c>
      <c r="J144" s="129"/>
      <c r="K144" s="129"/>
      <c r="L144" s="129">
        <v>1950</v>
      </c>
      <c r="M144" s="129">
        <v>1309</v>
      </c>
      <c r="N144" s="129">
        <v>5</v>
      </c>
      <c r="O144" s="129"/>
      <c r="P144" s="129"/>
      <c r="Q144" s="129"/>
      <c r="R144" s="129"/>
      <c r="S144" s="131" t="inlineStr">
        <is>
          <t xml:space="preserve">Contrato</t>
        </is>
      </c>
    </row>
    <row r="145">
      <c r="A145" s="132">
        <v>46270</v>
      </c>
      <c r="B145" s="133" t="inlineStr">
        <is>
          <t xml:space="preserve">Mondelez</t>
        </is>
      </c>
      <c r="C145" s="134">
        <v>2</v>
      </c>
      <c r="D145" s="134">
        <v>54</v>
      </c>
      <c r="E145" s="135">
        <v>29.66</v>
      </c>
      <c r="F145" s="134">
        <v>8</v>
      </c>
      <c r="G145" s="134">
        <v>144</v>
      </c>
      <c r="H145" s="135">
        <v>154.16</v>
      </c>
      <c r="I145" s="134">
        <v>1</v>
      </c>
      <c r="J145" s="134"/>
      <c r="K145" s="134"/>
      <c r="L145" s="134"/>
      <c r="M145" s="134">
        <v>202</v>
      </c>
      <c r="N145" s="134">
        <v>3</v>
      </c>
      <c r="O145" s="134"/>
      <c r="P145" s="134"/>
      <c r="Q145" s="134"/>
      <c r="R145" s="134"/>
      <c r="S145" s="136" t="inlineStr">
        <is>
          <t xml:space="preserve">Spot</t>
        </is>
      </c>
    </row>
    <row r="146">
      <c r="A146" s="127">
        <v>46270</v>
      </c>
      <c r="B146" s="128" t="inlineStr">
        <is>
          <t xml:space="preserve">Nestlé</t>
        </is>
      </c>
      <c r="C146" s="129">
        <v>1</v>
      </c>
      <c r="D146" s="129">
        <v>26</v>
      </c>
      <c r="E146" s="130">
        <v>12.75</v>
      </c>
      <c r="F146" s="129">
        <v>9</v>
      </c>
      <c r="G146" s="129">
        <v>162</v>
      </c>
      <c r="H146" s="130">
        <v>114.96</v>
      </c>
      <c r="I146" s="129">
        <v>0</v>
      </c>
      <c r="J146" s="129"/>
      <c r="K146" s="129"/>
      <c r="L146" s="129">
        <v>1400</v>
      </c>
      <c r="M146" s="129">
        <v>887</v>
      </c>
      <c r="N146" s="129">
        <v>6</v>
      </c>
      <c r="O146" s="129"/>
      <c r="P146" s="129"/>
      <c r="Q146" s="129"/>
      <c r="R146" s="129"/>
      <c r="S146" s="131" t="inlineStr">
        <is>
          <t xml:space="preserve">Contrato</t>
        </is>
      </c>
    </row>
    <row r="147">
      <c r="A147" s="132">
        <v>46271</v>
      </c>
      <c r="B147" s="133" t="inlineStr">
        <is>
          <t xml:space="preserve">Mondelez</t>
        </is>
      </c>
      <c r="C147" s="134">
        <v>4</v>
      </c>
      <c r="D147" s="134">
        <v>100</v>
      </c>
      <c r="E147" s="135">
        <v>74.36</v>
      </c>
      <c r="F147" s="134">
        <v>11</v>
      </c>
      <c r="G147" s="134">
        <v>198</v>
      </c>
      <c r="H147" s="135">
        <v>85.33</v>
      </c>
      <c r="I147" s="134">
        <v>0</v>
      </c>
      <c r="J147" s="134"/>
      <c r="K147" s="134"/>
      <c r="L147" s="134"/>
      <c r="M147" s="134">
        <v>363</v>
      </c>
      <c r="N147" s="134">
        <v>7</v>
      </c>
      <c r="O147" s="134"/>
      <c r="P147" s="134"/>
      <c r="Q147" s="134"/>
      <c r="R147" s="134"/>
      <c r="S147" s="136" t="inlineStr">
        <is>
          <t xml:space="preserve">Spot</t>
        </is>
      </c>
    </row>
    <row r="148">
      <c r="A148" s="127">
        <v>46271</v>
      </c>
      <c r="B148" s="128" t="inlineStr">
        <is>
          <t xml:space="preserve">PMB</t>
        </is>
      </c>
      <c r="C148" s="129">
        <v>0</v>
      </c>
      <c r="D148" s="129">
        <v>0</v>
      </c>
      <c r="E148" s="130">
        <v>0</v>
      </c>
      <c r="F148" s="129">
        <v>6</v>
      </c>
      <c r="G148" s="129">
        <v>108</v>
      </c>
      <c r="H148" s="130">
        <v>112.39</v>
      </c>
      <c r="I148" s="129">
        <v>0</v>
      </c>
      <c r="J148" s="129"/>
      <c r="K148" s="129"/>
      <c r="L148" s="129"/>
      <c r="M148" s="129">
        <v>280</v>
      </c>
      <c r="N148" s="129">
        <v>5</v>
      </c>
      <c r="O148" s="129"/>
      <c r="P148" s="129"/>
      <c r="Q148" s="129"/>
      <c r="R148" s="129"/>
      <c r="S148" s="131" t="inlineStr">
        <is>
          <t xml:space="preserve">Cross</t>
        </is>
      </c>
    </row>
    <row r="149">
      <c r="A149" s="132">
        <v>46272</v>
      </c>
      <c r="B149" s="133" t="inlineStr">
        <is>
          <t xml:space="preserve">Barry Callebaut</t>
        </is>
      </c>
      <c r="C149" s="134">
        <v>1</v>
      </c>
      <c r="D149" s="134">
        <v>26</v>
      </c>
      <c r="E149" s="135">
        <v>12.37</v>
      </c>
      <c r="F149" s="134">
        <v>12</v>
      </c>
      <c r="G149" s="134">
        <v>216</v>
      </c>
      <c r="H149" s="135">
        <v>143.18</v>
      </c>
      <c r="I149" s="134">
        <v>0</v>
      </c>
      <c r="J149" s="134"/>
      <c r="K149" s="134"/>
      <c r="L149" s="134">
        <v>1950</v>
      </c>
      <c r="M149" s="134">
        <v>1068</v>
      </c>
      <c r="N149" s="134">
        <v>7</v>
      </c>
      <c r="O149" s="134"/>
      <c r="P149" s="134"/>
      <c r="Q149" s="134"/>
      <c r="R149" s="134"/>
      <c r="S149" s="136" t="inlineStr">
        <is>
          <t xml:space="preserve">Contrato</t>
        </is>
      </c>
    </row>
    <row r="150">
      <c r="A150" s="127">
        <v>46272</v>
      </c>
      <c r="B150" s="128" t="inlineStr">
        <is>
          <t xml:space="preserve">Gm</t>
        </is>
      </c>
      <c r="C150" s="129">
        <v>7</v>
      </c>
      <c r="D150" s="129">
        <v>147</v>
      </c>
      <c r="E150" s="130">
        <v>128.45</v>
      </c>
      <c r="F150" s="129">
        <v>2</v>
      </c>
      <c r="G150" s="129">
        <v>36</v>
      </c>
      <c r="H150" s="130">
        <v>34.84</v>
      </c>
      <c r="I150" s="129">
        <v>0</v>
      </c>
      <c r="J150" s="129"/>
      <c r="K150" s="129"/>
      <c r="L150" s="129">
        <v>800</v>
      </c>
      <c r="M150" s="129">
        <v>666</v>
      </c>
      <c r="N150" s="129">
        <v>8</v>
      </c>
      <c r="O150" s="129"/>
      <c r="P150" s="129"/>
      <c r="Q150" s="129"/>
      <c r="R150" s="129"/>
      <c r="S150" s="131" t="inlineStr">
        <is>
          <t xml:space="preserve">Contrato</t>
        </is>
      </c>
    </row>
    <row r="151">
      <c r="A151" s="132">
        <v>46272</v>
      </c>
      <c r="B151" s="133" t="inlineStr">
        <is>
          <t xml:space="preserve">Mondelez</t>
        </is>
      </c>
      <c r="C151" s="134">
        <v>2</v>
      </c>
      <c r="D151" s="134">
        <v>52</v>
      </c>
      <c r="E151" s="135">
        <v>37.98</v>
      </c>
      <c r="F151" s="134">
        <v>12</v>
      </c>
      <c r="G151" s="134">
        <v>216</v>
      </c>
      <c r="H151" s="135">
        <v>123.85</v>
      </c>
      <c r="I151" s="134">
        <v>0</v>
      </c>
      <c r="J151" s="134"/>
      <c r="K151" s="134"/>
      <c r="L151" s="134"/>
      <c r="M151" s="134">
        <v>217</v>
      </c>
      <c r="N151" s="134">
        <v>6</v>
      </c>
      <c r="O151" s="134"/>
      <c r="P151" s="134"/>
      <c r="Q151" s="134"/>
      <c r="R151" s="134"/>
      <c r="S151" s="136" t="inlineStr">
        <is>
          <t xml:space="preserve">Spot</t>
        </is>
      </c>
    </row>
    <row r="152">
      <c r="A152" s="127">
        <v>46272</v>
      </c>
      <c r="B152" s="128" t="inlineStr">
        <is>
          <t xml:space="preserve">Nestlé</t>
        </is>
      </c>
      <c r="C152" s="129">
        <v>2</v>
      </c>
      <c r="D152" s="129">
        <v>42</v>
      </c>
      <c r="E152" s="130">
        <v>45.88</v>
      </c>
      <c r="F152" s="129">
        <v>3</v>
      </c>
      <c r="G152" s="129">
        <v>54</v>
      </c>
      <c r="H152" s="130">
        <v>40.29</v>
      </c>
      <c r="I152" s="129">
        <v>0</v>
      </c>
      <c r="J152" s="129"/>
      <c r="K152" s="129"/>
      <c r="L152" s="129">
        <v>1400</v>
      </c>
      <c r="M152" s="129">
        <v>931</v>
      </c>
      <c r="N152" s="129">
        <v>9</v>
      </c>
      <c r="O152" s="129"/>
      <c r="P152" s="129"/>
      <c r="Q152" s="129"/>
      <c r="R152" s="129"/>
      <c r="S152" s="131" t="inlineStr">
        <is>
          <t xml:space="preserve">Contrato</t>
        </is>
      </c>
    </row>
    <row r="153">
      <c r="A153" s="132">
        <v>46272</v>
      </c>
      <c r="B153" s="133" t="inlineStr">
        <is>
          <t xml:space="preserve">PMB</t>
        </is>
      </c>
      <c r="C153" s="134">
        <v>4</v>
      </c>
      <c r="D153" s="134">
        <v>104</v>
      </c>
      <c r="E153" s="135">
        <v>77.25</v>
      </c>
      <c r="F153" s="134">
        <v>0</v>
      </c>
      <c r="G153" s="134">
        <v>0</v>
      </c>
      <c r="H153" s="135">
        <v>0</v>
      </c>
      <c r="I153" s="134">
        <v>0</v>
      </c>
      <c r="J153" s="134"/>
      <c r="K153" s="134"/>
      <c r="L153" s="134"/>
      <c r="M153" s="134">
        <v>345</v>
      </c>
      <c r="N153" s="134">
        <v>8</v>
      </c>
      <c r="O153" s="134"/>
      <c r="P153" s="134"/>
      <c r="Q153" s="134"/>
      <c r="R153" s="134"/>
      <c r="S153" s="136" t="inlineStr">
        <is>
          <t xml:space="preserve">Cross</t>
        </is>
      </c>
    </row>
    <row r="154">
      <c r="A154" s="127">
        <v>46273</v>
      </c>
      <c r="B154" s="128" t="inlineStr">
        <is>
          <t xml:space="preserve">Barry Callebaut</t>
        </is>
      </c>
      <c r="C154" s="129">
        <v>2</v>
      </c>
      <c r="D154" s="129">
        <v>50</v>
      </c>
      <c r="E154" s="130">
        <v>33.92</v>
      </c>
      <c r="F154" s="129">
        <v>10</v>
      </c>
      <c r="G154" s="129">
        <v>180</v>
      </c>
      <c r="H154" s="130">
        <v>192.77</v>
      </c>
      <c r="I154" s="129">
        <v>0</v>
      </c>
      <c r="J154" s="129"/>
      <c r="K154" s="129"/>
      <c r="L154" s="129">
        <v>1950</v>
      </c>
      <c r="M154" s="129">
        <v>1571</v>
      </c>
      <c r="N154" s="129">
        <v>8</v>
      </c>
      <c r="O154" s="129"/>
      <c r="P154" s="129"/>
      <c r="Q154" s="129"/>
      <c r="R154" s="129"/>
      <c r="S154" s="131" t="inlineStr">
        <is>
          <t xml:space="preserve">Contrato</t>
        </is>
      </c>
    </row>
    <row r="155">
      <c r="A155" s="132">
        <v>46273</v>
      </c>
      <c r="B155" s="133" t="inlineStr">
        <is>
          <t xml:space="preserve">Gm</t>
        </is>
      </c>
      <c r="C155" s="134">
        <v>7</v>
      </c>
      <c r="D155" s="134">
        <v>189</v>
      </c>
      <c r="E155" s="135">
        <v>121.51</v>
      </c>
      <c r="F155" s="134">
        <v>11</v>
      </c>
      <c r="G155" s="134">
        <v>198</v>
      </c>
      <c r="H155" s="135">
        <v>144.02</v>
      </c>
      <c r="I155" s="134">
        <v>0</v>
      </c>
      <c r="J155" s="134"/>
      <c r="K155" s="134"/>
      <c r="L155" s="134">
        <v>800</v>
      </c>
      <c r="M155" s="134">
        <v>503</v>
      </c>
      <c r="N155" s="134">
        <v>6</v>
      </c>
      <c r="O155" s="134"/>
      <c r="P155" s="134"/>
      <c r="Q155" s="134"/>
      <c r="R155" s="134"/>
      <c r="S155" s="136" t="inlineStr">
        <is>
          <t xml:space="preserve">Contrato</t>
        </is>
      </c>
    </row>
    <row r="156">
      <c r="A156" s="127">
        <v>46273</v>
      </c>
      <c r="B156" s="128" t="inlineStr">
        <is>
          <t xml:space="preserve">Mondelez</t>
        </is>
      </c>
      <c r="C156" s="129">
        <v>3</v>
      </c>
      <c r="D156" s="129">
        <v>66</v>
      </c>
      <c r="E156" s="130">
        <v>62.63</v>
      </c>
      <c r="F156" s="129">
        <v>9</v>
      </c>
      <c r="G156" s="129">
        <v>162</v>
      </c>
      <c r="H156" s="130">
        <v>119.05</v>
      </c>
      <c r="I156" s="129">
        <v>0</v>
      </c>
      <c r="J156" s="129"/>
      <c r="K156" s="129"/>
      <c r="L156" s="129"/>
      <c r="M156" s="129">
        <v>252</v>
      </c>
      <c r="N156" s="129">
        <v>7</v>
      </c>
      <c r="O156" s="129"/>
      <c r="P156" s="129"/>
      <c r="Q156" s="129"/>
      <c r="R156" s="129"/>
      <c r="S156" s="131" t="inlineStr">
        <is>
          <t xml:space="preserve">Spot</t>
        </is>
      </c>
    </row>
    <row r="157">
      <c r="A157" s="132">
        <v>46273</v>
      </c>
      <c r="B157" s="133" t="inlineStr">
        <is>
          <t xml:space="preserve">Nestlé</t>
        </is>
      </c>
      <c r="C157" s="134">
        <v>4</v>
      </c>
      <c r="D157" s="134">
        <v>84</v>
      </c>
      <c r="E157" s="135">
        <v>51</v>
      </c>
      <c r="F157" s="134">
        <v>3</v>
      </c>
      <c r="G157" s="134">
        <v>54</v>
      </c>
      <c r="H157" s="135">
        <v>35.34</v>
      </c>
      <c r="I157" s="134">
        <v>0</v>
      </c>
      <c r="J157" s="134"/>
      <c r="K157" s="134"/>
      <c r="L157" s="134">
        <v>1400</v>
      </c>
      <c r="M157" s="134">
        <v>856</v>
      </c>
      <c r="N157" s="134">
        <v>7</v>
      </c>
      <c r="O157" s="134"/>
      <c r="P157" s="134"/>
      <c r="Q157" s="134"/>
      <c r="R157" s="134"/>
      <c r="S157" s="136" t="inlineStr">
        <is>
          <t xml:space="preserve">Contrato</t>
        </is>
      </c>
    </row>
    <row r="158">
      <c r="A158" s="127">
        <v>46273</v>
      </c>
      <c r="B158" s="128" t="inlineStr">
        <is>
          <t xml:space="preserve">PMB</t>
        </is>
      </c>
      <c r="C158" s="129">
        <v>3</v>
      </c>
      <c r="D158" s="129">
        <v>84</v>
      </c>
      <c r="E158" s="130">
        <v>58.18</v>
      </c>
      <c r="F158" s="129">
        <v>7</v>
      </c>
      <c r="G158" s="129">
        <v>126</v>
      </c>
      <c r="H158" s="130">
        <v>79</v>
      </c>
      <c r="I158" s="129">
        <v>0</v>
      </c>
      <c r="J158" s="129"/>
      <c r="K158" s="129"/>
      <c r="L158" s="129"/>
      <c r="M158" s="129">
        <v>171</v>
      </c>
      <c r="N158" s="129">
        <v>3</v>
      </c>
      <c r="O158" s="129"/>
      <c r="P158" s="129"/>
      <c r="Q158" s="129"/>
      <c r="R158" s="129"/>
      <c r="S158" s="131" t="inlineStr">
        <is>
          <t xml:space="preserve">Cross</t>
        </is>
      </c>
    </row>
    <row r="159">
      <c r="A159" s="132">
        <v>46274</v>
      </c>
      <c r="B159" s="133" t="inlineStr">
        <is>
          <t xml:space="preserve">Barry Callebaut</t>
        </is>
      </c>
      <c r="C159" s="134">
        <v>2</v>
      </c>
      <c r="D159" s="134">
        <v>54</v>
      </c>
      <c r="E159" s="135">
        <v>43.22</v>
      </c>
      <c r="F159" s="134">
        <v>10</v>
      </c>
      <c r="G159" s="134">
        <v>180</v>
      </c>
      <c r="H159" s="135">
        <v>119.86</v>
      </c>
      <c r="I159" s="134">
        <v>0</v>
      </c>
      <c r="J159" s="134"/>
      <c r="K159" s="134"/>
      <c r="L159" s="134">
        <v>1950</v>
      </c>
      <c r="M159" s="134">
        <v>1336</v>
      </c>
      <c r="N159" s="134">
        <v>8</v>
      </c>
      <c r="O159" s="134"/>
      <c r="P159" s="134"/>
      <c r="Q159" s="134"/>
      <c r="R159" s="134"/>
      <c r="S159" s="136" t="inlineStr">
        <is>
          <t xml:space="preserve">Contrato</t>
        </is>
      </c>
    </row>
    <row r="160">
      <c r="A160" s="127">
        <v>46274</v>
      </c>
      <c r="B160" s="128" t="inlineStr">
        <is>
          <t xml:space="preserve">Gm</t>
        </is>
      </c>
      <c r="C160" s="129">
        <v>4</v>
      </c>
      <c r="D160" s="129">
        <v>108</v>
      </c>
      <c r="E160" s="130">
        <v>57.31</v>
      </c>
      <c r="F160" s="129">
        <v>4</v>
      </c>
      <c r="G160" s="129">
        <v>72</v>
      </c>
      <c r="H160" s="130">
        <v>67.52</v>
      </c>
      <c r="I160" s="129">
        <v>0</v>
      </c>
      <c r="J160" s="129"/>
      <c r="K160" s="129"/>
      <c r="L160" s="129">
        <v>800</v>
      </c>
      <c r="M160" s="129">
        <v>669</v>
      </c>
      <c r="N160" s="129">
        <v>6</v>
      </c>
      <c r="O160" s="129"/>
      <c r="P160" s="129"/>
      <c r="Q160" s="129"/>
      <c r="R160" s="129"/>
      <c r="S160" s="131" t="inlineStr">
        <is>
          <t xml:space="preserve">Contrato</t>
        </is>
      </c>
    </row>
    <row r="161">
      <c r="A161" s="132">
        <v>46274</v>
      </c>
      <c r="B161" s="133" t="inlineStr">
        <is>
          <t xml:space="preserve">Mondelez</t>
        </is>
      </c>
      <c r="C161" s="134">
        <v>5</v>
      </c>
      <c r="D161" s="134">
        <v>135</v>
      </c>
      <c r="E161" s="135">
        <v>83.3</v>
      </c>
      <c r="F161" s="134">
        <v>0</v>
      </c>
      <c r="G161" s="134">
        <v>0</v>
      </c>
      <c r="H161" s="135">
        <v>0</v>
      </c>
      <c r="I161" s="134">
        <v>0</v>
      </c>
      <c r="J161" s="134"/>
      <c r="K161" s="134"/>
      <c r="L161" s="134"/>
      <c r="M161" s="134">
        <v>148</v>
      </c>
      <c r="N161" s="134">
        <v>9</v>
      </c>
      <c r="O161" s="134"/>
      <c r="P161" s="134"/>
      <c r="Q161" s="134"/>
      <c r="R161" s="134"/>
      <c r="S161" s="136" t="inlineStr">
        <is>
          <t xml:space="preserve">Spot</t>
        </is>
      </c>
    </row>
    <row r="162">
      <c r="A162" s="127">
        <v>46274</v>
      </c>
      <c r="B162" s="128" t="inlineStr">
        <is>
          <t xml:space="preserve">Nestlé</t>
        </is>
      </c>
      <c r="C162" s="129">
        <v>6</v>
      </c>
      <c r="D162" s="129">
        <v>126</v>
      </c>
      <c r="E162" s="130">
        <v>144</v>
      </c>
      <c r="F162" s="129">
        <v>10</v>
      </c>
      <c r="G162" s="129">
        <v>180</v>
      </c>
      <c r="H162" s="130">
        <v>53.08</v>
      </c>
      <c r="I162" s="129">
        <v>0</v>
      </c>
      <c r="J162" s="129"/>
      <c r="K162" s="129"/>
      <c r="L162" s="129">
        <v>1400</v>
      </c>
      <c r="M162" s="129">
        <v>746</v>
      </c>
      <c r="N162" s="129">
        <v>4</v>
      </c>
      <c r="O162" s="129"/>
      <c r="P162" s="129"/>
      <c r="Q162" s="129"/>
      <c r="R162" s="129"/>
      <c r="S162" s="131" t="inlineStr">
        <is>
          <t xml:space="preserve">Contrato</t>
        </is>
      </c>
    </row>
    <row r="163">
      <c r="A163" s="132">
        <v>46274</v>
      </c>
      <c r="B163" s="133" t="inlineStr">
        <is>
          <t xml:space="preserve">PMB</t>
        </is>
      </c>
      <c r="C163" s="134">
        <v>5</v>
      </c>
      <c r="D163" s="134">
        <v>140</v>
      </c>
      <c r="E163" s="135">
        <v>80.59</v>
      </c>
      <c r="F163" s="134">
        <v>3</v>
      </c>
      <c r="G163" s="134">
        <v>54</v>
      </c>
      <c r="H163" s="135">
        <v>26.32</v>
      </c>
      <c r="I163" s="134">
        <v>0</v>
      </c>
      <c r="J163" s="134"/>
      <c r="K163" s="134"/>
      <c r="L163" s="134"/>
      <c r="M163" s="134">
        <v>126</v>
      </c>
      <c r="N163" s="134">
        <v>7</v>
      </c>
      <c r="O163" s="134"/>
      <c r="P163" s="134"/>
      <c r="Q163" s="134"/>
      <c r="R163" s="134"/>
      <c r="S163" s="136" t="inlineStr">
        <is>
          <t xml:space="preserve">Cross</t>
        </is>
      </c>
    </row>
    <row r="164">
      <c r="A164" s="127">
        <v>46275</v>
      </c>
      <c r="B164" s="128" t="inlineStr">
        <is>
          <t xml:space="preserve">Barry Callebaut</t>
        </is>
      </c>
      <c r="C164" s="129">
        <v>3</v>
      </c>
      <c r="D164" s="129">
        <v>72</v>
      </c>
      <c r="E164" s="130">
        <v>41.27</v>
      </c>
      <c r="F164" s="129">
        <v>10</v>
      </c>
      <c r="G164" s="129">
        <v>180</v>
      </c>
      <c r="H164" s="130">
        <v>199.47</v>
      </c>
      <c r="I164" s="129">
        <v>0</v>
      </c>
      <c r="J164" s="129"/>
      <c r="K164" s="129"/>
      <c r="L164" s="129">
        <v>1950</v>
      </c>
      <c r="M164" s="129">
        <v>1308</v>
      </c>
      <c r="N164" s="129">
        <v>4</v>
      </c>
      <c r="O164" s="129"/>
      <c r="P164" s="129"/>
      <c r="Q164" s="129"/>
      <c r="R164" s="129"/>
      <c r="S164" s="131" t="inlineStr">
        <is>
          <t xml:space="preserve">Contrato</t>
        </is>
      </c>
    </row>
    <row r="165">
      <c r="A165" s="132">
        <v>46275</v>
      </c>
      <c r="B165" s="133" t="inlineStr">
        <is>
          <t xml:space="preserve">Gm</t>
        </is>
      </c>
      <c r="C165" s="134">
        <v>8</v>
      </c>
      <c r="D165" s="134">
        <v>176</v>
      </c>
      <c r="E165" s="135">
        <v>175.49</v>
      </c>
      <c r="F165" s="134">
        <v>0</v>
      </c>
      <c r="G165" s="134">
        <v>0</v>
      </c>
      <c r="H165" s="135">
        <v>0</v>
      </c>
      <c r="I165" s="134">
        <v>1</v>
      </c>
      <c r="J165" s="134"/>
      <c r="K165" s="134"/>
      <c r="L165" s="134">
        <v>800</v>
      </c>
      <c r="M165" s="134">
        <v>527</v>
      </c>
      <c r="N165" s="134">
        <v>6</v>
      </c>
      <c r="O165" s="134"/>
      <c r="P165" s="134"/>
      <c r="Q165" s="134"/>
      <c r="R165" s="134"/>
      <c r="S165" s="136" t="inlineStr">
        <is>
          <t xml:space="preserve">Contrato</t>
        </is>
      </c>
    </row>
    <row r="166">
      <c r="A166" s="127">
        <v>46275</v>
      </c>
      <c r="B166" s="128" t="inlineStr">
        <is>
          <t xml:space="preserve">Mondelez</t>
        </is>
      </c>
      <c r="C166" s="129">
        <v>9</v>
      </c>
      <c r="D166" s="129">
        <v>252</v>
      </c>
      <c r="E166" s="130">
        <v>187.52</v>
      </c>
      <c r="F166" s="129">
        <v>2</v>
      </c>
      <c r="G166" s="129">
        <v>36</v>
      </c>
      <c r="H166" s="130">
        <v>29.01</v>
      </c>
      <c r="I166" s="129">
        <v>0</v>
      </c>
      <c r="J166" s="129"/>
      <c r="K166" s="129"/>
      <c r="L166" s="129"/>
      <c r="M166" s="129">
        <v>189</v>
      </c>
      <c r="N166" s="129">
        <v>7</v>
      </c>
      <c r="O166" s="129"/>
      <c r="P166" s="129"/>
      <c r="Q166" s="129"/>
      <c r="R166" s="129"/>
      <c r="S166" s="131" t="inlineStr">
        <is>
          <t xml:space="preserve">Spot</t>
        </is>
      </c>
    </row>
    <row r="167">
      <c r="A167" s="132">
        <v>46275</v>
      </c>
      <c r="B167" s="133" t="inlineStr">
        <is>
          <t xml:space="preserve">Nestlé</t>
        </is>
      </c>
      <c r="C167" s="134">
        <v>8</v>
      </c>
      <c r="D167" s="134">
        <v>224</v>
      </c>
      <c r="E167" s="135">
        <v>178.27</v>
      </c>
      <c r="F167" s="134">
        <v>4</v>
      </c>
      <c r="G167" s="134">
        <v>72</v>
      </c>
      <c r="H167" s="135">
        <v>22.78</v>
      </c>
      <c r="I167" s="134">
        <v>2</v>
      </c>
      <c r="J167" s="134"/>
      <c r="K167" s="134"/>
      <c r="L167" s="134">
        <v>1400</v>
      </c>
      <c r="M167" s="134">
        <v>1186</v>
      </c>
      <c r="N167" s="134">
        <v>7</v>
      </c>
      <c r="O167" s="134"/>
      <c r="P167" s="134"/>
      <c r="Q167" s="134"/>
      <c r="R167" s="134"/>
      <c r="S167" s="136" t="inlineStr">
        <is>
          <t xml:space="preserve">Contrato</t>
        </is>
      </c>
    </row>
    <row r="168">
      <c r="A168" s="127">
        <v>46275</v>
      </c>
      <c r="B168" s="128" t="inlineStr">
        <is>
          <t xml:space="preserve">PMB</t>
        </is>
      </c>
      <c r="C168" s="129">
        <v>1</v>
      </c>
      <c r="D168" s="129">
        <v>26</v>
      </c>
      <c r="E168" s="130">
        <v>22.04</v>
      </c>
      <c r="F168" s="129">
        <v>10</v>
      </c>
      <c r="G168" s="129">
        <v>180</v>
      </c>
      <c r="H168" s="130">
        <v>70.8</v>
      </c>
      <c r="I168" s="129">
        <v>0</v>
      </c>
      <c r="J168" s="129"/>
      <c r="K168" s="129"/>
      <c r="L168" s="129"/>
      <c r="M168" s="129">
        <v>258</v>
      </c>
      <c r="N168" s="129">
        <v>9</v>
      </c>
      <c r="O168" s="129"/>
      <c r="P168" s="129"/>
      <c r="Q168" s="129"/>
      <c r="R168" s="129"/>
      <c r="S168" s="131" t="inlineStr">
        <is>
          <t xml:space="preserve">Cross</t>
        </is>
      </c>
    </row>
    <row r="169">
      <c r="A169" s="132">
        <v>46276</v>
      </c>
      <c r="B169" s="133" t="inlineStr">
        <is>
          <t xml:space="preserve">Barry Callebaut</t>
        </is>
      </c>
      <c r="C169" s="134">
        <v>7</v>
      </c>
      <c r="D169" s="134">
        <v>140</v>
      </c>
      <c r="E169" s="135">
        <v>122.59</v>
      </c>
      <c r="F169" s="134">
        <v>12</v>
      </c>
      <c r="G169" s="134">
        <v>216</v>
      </c>
      <c r="H169" s="135">
        <v>185.23</v>
      </c>
      <c r="I169" s="134">
        <v>0</v>
      </c>
      <c r="J169" s="134"/>
      <c r="K169" s="134"/>
      <c r="L169" s="134">
        <v>1950</v>
      </c>
      <c r="M169" s="134">
        <v>1314</v>
      </c>
      <c r="N169" s="134">
        <v>9</v>
      </c>
      <c r="O169" s="134"/>
      <c r="P169" s="134"/>
      <c r="Q169" s="134"/>
      <c r="R169" s="134"/>
      <c r="S169" s="136" t="inlineStr">
        <is>
          <t xml:space="preserve">Contrato</t>
        </is>
      </c>
    </row>
    <row r="170">
      <c r="A170" s="127">
        <v>46276</v>
      </c>
      <c r="B170" s="128" t="inlineStr">
        <is>
          <t xml:space="preserve">Gm</t>
        </is>
      </c>
      <c r="C170" s="129">
        <v>5</v>
      </c>
      <c r="D170" s="129">
        <v>105</v>
      </c>
      <c r="E170" s="130">
        <v>99.73</v>
      </c>
      <c r="F170" s="129">
        <v>11</v>
      </c>
      <c r="G170" s="129">
        <v>198</v>
      </c>
      <c r="H170" s="130">
        <v>201.85</v>
      </c>
      <c r="I170" s="129">
        <v>0</v>
      </c>
      <c r="J170" s="129"/>
      <c r="K170" s="129"/>
      <c r="L170" s="129">
        <v>800</v>
      </c>
      <c r="M170" s="129">
        <v>526</v>
      </c>
      <c r="N170" s="129">
        <v>5</v>
      </c>
      <c r="O170" s="129"/>
      <c r="P170" s="129"/>
      <c r="Q170" s="129"/>
      <c r="R170" s="129"/>
      <c r="S170" s="131" t="inlineStr">
        <is>
          <t xml:space="preserve">Contrato</t>
        </is>
      </c>
    </row>
    <row r="171">
      <c r="A171" s="132">
        <v>46276</v>
      </c>
      <c r="B171" s="133" t="inlineStr">
        <is>
          <t xml:space="preserve">Mondelez</t>
        </is>
      </c>
      <c r="C171" s="134">
        <v>8</v>
      </c>
      <c r="D171" s="134">
        <v>216</v>
      </c>
      <c r="E171" s="135">
        <v>81.95</v>
      </c>
      <c r="F171" s="134">
        <v>10</v>
      </c>
      <c r="G171" s="134">
        <v>180</v>
      </c>
      <c r="H171" s="135">
        <v>152.56</v>
      </c>
      <c r="I171" s="134">
        <v>0</v>
      </c>
      <c r="J171" s="134"/>
      <c r="K171" s="134"/>
      <c r="L171" s="134"/>
      <c r="M171" s="134">
        <v>162</v>
      </c>
      <c r="N171" s="134">
        <v>4</v>
      </c>
      <c r="O171" s="134"/>
      <c r="P171" s="134"/>
      <c r="Q171" s="134"/>
      <c r="R171" s="134"/>
      <c r="S171" s="136" t="inlineStr">
        <is>
          <t xml:space="preserve">Spot</t>
        </is>
      </c>
    </row>
    <row r="172">
      <c r="A172" s="127">
        <v>46276</v>
      </c>
      <c r="B172" s="128" t="inlineStr">
        <is>
          <t xml:space="preserve">Nestlé</t>
        </is>
      </c>
      <c r="C172" s="129">
        <v>7</v>
      </c>
      <c r="D172" s="129">
        <v>182</v>
      </c>
      <c r="E172" s="130">
        <v>70.06</v>
      </c>
      <c r="F172" s="129">
        <v>10</v>
      </c>
      <c r="G172" s="129">
        <v>180</v>
      </c>
      <c r="H172" s="130">
        <v>121.32</v>
      </c>
      <c r="I172" s="129">
        <v>0</v>
      </c>
      <c r="J172" s="129"/>
      <c r="K172" s="129"/>
      <c r="L172" s="129">
        <v>1400</v>
      </c>
      <c r="M172" s="129">
        <v>1122</v>
      </c>
      <c r="N172" s="129">
        <v>7</v>
      </c>
      <c r="O172" s="129"/>
      <c r="P172" s="129"/>
      <c r="Q172" s="129"/>
      <c r="R172" s="129"/>
      <c r="S172" s="131" t="inlineStr">
        <is>
          <t xml:space="preserve">Contrato</t>
        </is>
      </c>
    </row>
    <row r="173">
      <c r="A173" s="132">
        <v>46276</v>
      </c>
      <c r="B173" s="133" t="inlineStr">
        <is>
          <t xml:space="preserve">PMB</t>
        </is>
      </c>
      <c r="C173" s="134">
        <v>1</v>
      </c>
      <c r="D173" s="134">
        <v>22</v>
      </c>
      <c r="E173" s="135">
        <v>22.04</v>
      </c>
      <c r="F173" s="134">
        <v>11</v>
      </c>
      <c r="G173" s="134">
        <v>198</v>
      </c>
      <c r="H173" s="135">
        <v>85.92</v>
      </c>
      <c r="I173" s="134">
        <v>1</v>
      </c>
      <c r="J173" s="134"/>
      <c r="K173" s="134"/>
      <c r="L173" s="134"/>
      <c r="M173" s="134">
        <v>125</v>
      </c>
      <c r="N173" s="134">
        <v>6</v>
      </c>
      <c r="O173" s="134"/>
      <c r="P173" s="134"/>
      <c r="Q173" s="134"/>
      <c r="R173" s="134"/>
      <c r="S173" s="136" t="inlineStr">
        <is>
          <t xml:space="preserve">Cross</t>
        </is>
      </c>
    </row>
    <row r="174">
      <c r="A174" s="127">
        <v>46277</v>
      </c>
      <c r="B174" s="128" t="inlineStr">
        <is>
          <t xml:space="preserve">Barry Callebaut</t>
        </is>
      </c>
      <c r="C174" s="129">
        <v>0</v>
      </c>
      <c r="D174" s="129">
        <v>0</v>
      </c>
      <c r="E174" s="130">
        <v>0</v>
      </c>
      <c r="F174" s="129">
        <v>11</v>
      </c>
      <c r="G174" s="129">
        <v>198</v>
      </c>
      <c r="H174" s="130">
        <v>213.02</v>
      </c>
      <c r="I174" s="129">
        <v>0</v>
      </c>
      <c r="J174" s="129"/>
      <c r="K174" s="129"/>
      <c r="L174" s="129">
        <v>1950</v>
      </c>
      <c r="M174" s="129">
        <v>1754</v>
      </c>
      <c r="N174" s="129">
        <v>6</v>
      </c>
      <c r="O174" s="129"/>
      <c r="P174" s="129"/>
      <c r="Q174" s="129"/>
      <c r="R174" s="129"/>
      <c r="S174" s="131" t="inlineStr">
        <is>
          <t xml:space="preserve">Contrato</t>
        </is>
      </c>
    </row>
    <row r="175">
      <c r="A175" s="132">
        <v>46278</v>
      </c>
      <c r="B175" s="133" t="inlineStr">
        <is>
          <t xml:space="preserve">Mondelez</t>
        </is>
      </c>
      <c r="C175" s="134">
        <v>3</v>
      </c>
      <c r="D175" s="134">
        <v>75</v>
      </c>
      <c r="E175" s="135">
        <v>62.31</v>
      </c>
      <c r="F175" s="134">
        <v>9</v>
      </c>
      <c r="G175" s="134">
        <v>162</v>
      </c>
      <c r="H175" s="135">
        <v>47.09</v>
      </c>
      <c r="I175" s="134">
        <v>0</v>
      </c>
      <c r="J175" s="134"/>
      <c r="K175" s="134"/>
      <c r="L175" s="134"/>
      <c r="M175" s="134">
        <v>177</v>
      </c>
      <c r="N175" s="134">
        <v>5</v>
      </c>
      <c r="O175" s="134"/>
      <c r="P175" s="134"/>
      <c r="Q175" s="134"/>
      <c r="R175" s="134"/>
      <c r="S175" s="136" t="inlineStr">
        <is>
          <t xml:space="preserve">Spot</t>
        </is>
      </c>
    </row>
    <row r="176">
      <c r="A176" s="127">
        <v>46278</v>
      </c>
      <c r="B176" s="128" t="inlineStr">
        <is>
          <t xml:space="preserve">Nestlé</t>
        </is>
      </c>
      <c r="C176" s="129">
        <v>1</v>
      </c>
      <c r="D176" s="129">
        <v>21</v>
      </c>
      <c r="E176" s="130">
        <v>23.5</v>
      </c>
      <c r="F176" s="129">
        <v>2</v>
      </c>
      <c r="G176" s="129">
        <v>36</v>
      </c>
      <c r="H176" s="130">
        <v>22.54</v>
      </c>
      <c r="I176" s="129">
        <v>0</v>
      </c>
      <c r="J176" s="129"/>
      <c r="K176" s="129"/>
      <c r="L176" s="129">
        <v>1400</v>
      </c>
      <c r="M176" s="129">
        <v>1094</v>
      </c>
      <c r="N176" s="129">
        <v>5</v>
      </c>
      <c r="O176" s="129"/>
      <c r="P176" s="129"/>
      <c r="Q176" s="129"/>
      <c r="R176" s="129"/>
      <c r="S176" s="131" t="inlineStr">
        <is>
          <t xml:space="preserve">Contrato</t>
        </is>
      </c>
    </row>
    <row r="177">
      <c r="A177" s="132">
        <v>46278</v>
      </c>
      <c r="B177" s="133" t="inlineStr">
        <is>
          <t xml:space="preserve">PMB</t>
        </is>
      </c>
      <c r="C177" s="134">
        <v>2</v>
      </c>
      <c r="D177" s="134">
        <v>46</v>
      </c>
      <c r="E177" s="135">
        <v>30.86</v>
      </c>
      <c r="F177" s="134">
        <v>6</v>
      </c>
      <c r="G177" s="134">
        <v>108</v>
      </c>
      <c r="H177" s="135">
        <v>30.15</v>
      </c>
      <c r="I177" s="134">
        <v>0</v>
      </c>
      <c r="J177" s="134"/>
      <c r="K177" s="134"/>
      <c r="L177" s="134"/>
      <c r="M177" s="134">
        <v>234</v>
      </c>
      <c r="N177" s="134">
        <v>6</v>
      </c>
      <c r="O177" s="134"/>
      <c r="P177" s="134"/>
      <c r="Q177" s="134"/>
      <c r="R177" s="134"/>
      <c r="S177" s="136" t="inlineStr">
        <is>
          <t xml:space="preserve">Cross</t>
        </is>
      </c>
    </row>
    <row r="178">
      <c r="A178" s="127">
        <v>46279</v>
      </c>
      <c r="B178" s="128" t="inlineStr">
        <is>
          <t xml:space="preserve">Barry Callebaut</t>
        </is>
      </c>
      <c r="C178" s="129">
        <v>2</v>
      </c>
      <c r="D178" s="129">
        <v>40</v>
      </c>
      <c r="E178" s="130">
        <v>35.6</v>
      </c>
      <c r="F178" s="129">
        <v>12</v>
      </c>
      <c r="G178" s="129">
        <v>216</v>
      </c>
      <c r="H178" s="130">
        <v>238.71</v>
      </c>
      <c r="I178" s="129">
        <v>0</v>
      </c>
      <c r="J178" s="129"/>
      <c r="K178" s="129"/>
      <c r="L178" s="129">
        <v>1950</v>
      </c>
      <c r="M178" s="129">
        <v>1050</v>
      </c>
      <c r="N178" s="129">
        <v>5</v>
      </c>
      <c r="O178" s="129"/>
      <c r="P178" s="129"/>
      <c r="Q178" s="129"/>
      <c r="R178" s="129"/>
      <c r="S178" s="131" t="inlineStr">
        <is>
          <t xml:space="preserve">Contrato</t>
        </is>
      </c>
    </row>
    <row r="179">
      <c r="A179" s="132">
        <v>46279</v>
      </c>
      <c r="B179" s="133" t="inlineStr">
        <is>
          <t xml:space="preserve">Gm</t>
        </is>
      </c>
      <c r="C179" s="134">
        <v>8</v>
      </c>
      <c r="D179" s="134">
        <v>184</v>
      </c>
      <c r="E179" s="135">
        <v>129.19</v>
      </c>
      <c r="F179" s="134">
        <v>1</v>
      </c>
      <c r="G179" s="134">
        <v>18</v>
      </c>
      <c r="H179" s="135">
        <v>13.67</v>
      </c>
      <c r="I179" s="134">
        <v>0</v>
      </c>
      <c r="J179" s="134"/>
      <c r="K179" s="134"/>
      <c r="L179" s="134">
        <v>800</v>
      </c>
      <c r="M179" s="134">
        <v>683</v>
      </c>
      <c r="N179" s="134">
        <v>4</v>
      </c>
      <c r="O179" s="134"/>
      <c r="P179" s="134"/>
      <c r="Q179" s="134"/>
      <c r="R179" s="134"/>
      <c r="S179" s="136" t="inlineStr">
        <is>
          <t xml:space="preserve">Contrato</t>
        </is>
      </c>
    </row>
    <row r="180">
      <c r="A180" s="127">
        <v>46279</v>
      </c>
      <c r="B180" s="128" t="inlineStr">
        <is>
          <t xml:space="preserve">Mondelez</t>
        </is>
      </c>
      <c r="C180" s="129">
        <v>7</v>
      </c>
      <c r="D180" s="129">
        <v>161</v>
      </c>
      <c r="E180" s="130">
        <v>84.05</v>
      </c>
      <c r="F180" s="129">
        <v>10</v>
      </c>
      <c r="G180" s="129">
        <v>180</v>
      </c>
      <c r="H180" s="130">
        <v>188.9</v>
      </c>
      <c r="I180" s="129">
        <v>0</v>
      </c>
      <c r="J180" s="129"/>
      <c r="K180" s="129"/>
      <c r="L180" s="129"/>
      <c r="M180" s="129">
        <v>400</v>
      </c>
      <c r="N180" s="129">
        <v>5</v>
      </c>
      <c r="O180" s="129"/>
      <c r="P180" s="129"/>
      <c r="Q180" s="129"/>
      <c r="R180" s="129"/>
      <c r="S180" s="131" t="inlineStr">
        <is>
          <t xml:space="preserve">Spot</t>
        </is>
      </c>
    </row>
    <row r="181">
      <c r="A181" s="132">
        <v>46279</v>
      </c>
      <c r="B181" s="133" t="inlineStr">
        <is>
          <t xml:space="preserve">Nestlé</t>
        </is>
      </c>
      <c r="C181" s="134">
        <v>4</v>
      </c>
      <c r="D181" s="134">
        <v>112</v>
      </c>
      <c r="E181" s="135">
        <v>94.52</v>
      </c>
      <c r="F181" s="134">
        <v>7</v>
      </c>
      <c r="G181" s="134">
        <v>126</v>
      </c>
      <c r="H181" s="135">
        <v>43.93</v>
      </c>
      <c r="I181" s="134">
        <v>0</v>
      </c>
      <c r="J181" s="134"/>
      <c r="K181" s="134"/>
      <c r="L181" s="134">
        <v>1400</v>
      </c>
      <c r="M181" s="134">
        <v>1266</v>
      </c>
      <c r="N181" s="134">
        <v>8</v>
      </c>
      <c r="O181" s="134"/>
      <c r="P181" s="134"/>
      <c r="Q181" s="134"/>
      <c r="R181" s="134"/>
      <c r="S181" s="136" t="inlineStr">
        <is>
          <t xml:space="preserve">Contrato</t>
        </is>
      </c>
    </row>
    <row r="182">
      <c r="A182" s="127">
        <v>46279</v>
      </c>
      <c r="B182" s="128" t="inlineStr">
        <is>
          <t xml:space="preserve">PMB</t>
        </is>
      </c>
      <c r="C182" s="129">
        <v>0</v>
      </c>
      <c r="D182" s="129">
        <v>0</v>
      </c>
      <c r="E182" s="130">
        <v>0</v>
      </c>
      <c r="F182" s="129">
        <v>12</v>
      </c>
      <c r="G182" s="129">
        <v>216</v>
      </c>
      <c r="H182" s="130">
        <v>153.79</v>
      </c>
      <c r="I182" s="129">
        <v>0</v>
      </c>
      <c r="J182" s="129"/>
      <c r="K182" s="129"/>
      <c r="L182" s="129"/>
      <c r="M182" s="129">
        <v>232</v>
      </c>
      <c r="N182" s="129">
        <v>7</v>
      </c>
      <c r="O182" s="129"/>
      <c r="P182" s="129"/>
      <c r="Q182" s="129"/>
      <c r="R182" s="129"/>
      <c r="S182" s="131" t="inlineStr">
        <is>
          <t xml:space="preserve">Cross</t>
        </is>
      </c>
    </row>
    <row r="183">
      <c r="A183" s="132">
        <v>46280</v>
      </c>
      <c r="B183" s="133" t="inlineStr">
        <is>
          <t xml:space="preserve">Barry Callebaut</t>
        </is>
      </c>
      <c r="C183" s="134">
        <v>6</v>
      </c>
      <c r="D183" s="134">
        <v>132</v>
      </c>
      <c r="E183" s="135">
        <v>124.17</v>
      </c>
      <c r="F183" s="134">
        <v>7</v>
      </c>
      <c r="G183" s="134">
        <v>126</v>
      </c>
      <c r="H183" s="135">
        <v>46.14</v>
      </c>
      <c r="I183" s="134">
        <v>1</v>
      </c>
      <c r="J183" s="134"/>
      <c r="K183" s="134"/>
      <c r="L183" s="134">
        <v>1950</v>
      </c>
      <c r="M183" s="134">
        <v>1547</v>
      </c>
      <c r="N183" s="134">
        <v>4</v>
      </c>
      <c r="O183" s="134"/>
      <c r="P183" s="134"/>
      <c r="Q183" s="134"/>
      <c r="R183" s="134"/>
      <c r="S183" s="136" t="inlineStr">
        <is>
          <t xml:space="preserve">Contrato</t>
        </is>
      </c>
    </row>
    <row r="184">
      <c r="A184" s="127">
        <v>46280</v>
      </c>
      <c r="B184" s="128" t="inlineStr">
        <is>
          <t xml:space="preserve">Gm</t>
        </is>
      </c>
      <c r="C184" s="129">
        <v>1</v>
      </c>
      <c r="D184" s="129">
        <v>21</v>
      </c>
      <c r="E184" s="130">
        <v>18.6</v>
      </c>
      <c r="F184" s="129">
        <v>4</v>
      </c>
      <c r="G184" s="129">
        <v>72</v>
      </c>
      <c r="H184" s="130">
        <v>25.39</v>
      </c>
      <c r="I184" s="129">
        <v>0</v>
      </c>
      <c r="J184" s="129"/>
      <c r="K184" s="129"/>
      <c r="L184" s="129">
        <v>800</v>
      </c>
      <c r="M184" s="129">
        <v>759</v>
      </c>
      <c r="N184" s="129">
        <v>8</v>
      </c>
      <c r="O184" s="129"/>
      <c r="P184" s="129"/>
      <c r="Q184" s="129"/>
      <c r="R184" s="129"/>
      <c r="S184" s="131" t="inlineStr">
        <is>
          <t xml:space="preserve">Contrato</t>
        </is>
      </c>
    </row>
    <row r="185">
      <c r="A185" s="132">
        <v>46280</v>
      </c>
      <c r="B185" s="133" t="inlineStr">
        <is>
          <t xml:space="preserve">Mondelez</t>
        </is>
      </c>
      <c r="C185" s="134">
        <v>0</v>
      </c>
      <c r="D185" s="134">
        <v>0</v>
      </c>
      <c r="E185" s="135">
        <v>0</v>
      </c>
      <c r="F185" s="134">
        <v>4</v>
      </c>
      <c r="G185" s="134">
        <v>72</v>
      </c>
      <c r="H185" s="135">
        <v>46.81</v>
      </c>
      <c r="I185" s="134">
        <v>0</v>
      </c>
      <c r="J185" s="134"/>
      <c r="K185" s="134"/>
      <c r="L185" s="134"/>
      <c r="M185" s="134">
        <v>167</v>
      </c>
      <c r="N185" s="134">
        <v>7</v>
      </c>
      <c r="O185" s="134"/>
      <c r="P185" s="134"/>
      <c r="Q185" s="134"/>
      <c r="R185" s="134"/>
      <c r="S185" s="136" t="inlineStr">
        <is>
          <t xml:space="preserve">Spot</t>
        </is>
      </c>
    </row>
    <row r="186">
      <c r="A186" s="127">
        <v>46280</v>
      </c>
      <c r="B186" s="128" t="inlineStr">
        <is>
          <t xml:space="preserve">Nestlé</t>
        </is>
      </c>
      <c r="C186" s="129">
        <v>7</v>
      </c>
      <c r="D186" s="129">
        <v>154</v>
      </c>
      <c r="E186" s="130">
        <v>145.67</v>
      </c>
      <c r="F186" s="129">
        <v>5</v>
      </c>
      <c r="G186" s="129">
        <v>90</v>
      </c>
      <c r="H186" s="130">
        <v>70.54</v>
      </c>
      <c r="I186" s="129">
        <v>0</v>
      </c>
      <c r="J186" s="129"/>
      <c r="K186" s="129"/>
      <c r="L186" s="129">
        <v>1400</v>
      </c>
      <c r="M186" s="129">
        <v>796</v>
      </c>
      <c r="N186" s="129">
        <v>5</v>
      </c>
      <c r="O186" s="129"/>
      <c r="P186" s="129"/>
      <c r="Q186" s="129"/>
      <c r="R186" s="129"/>
      <c r="S186" s="131" t="inlineStr">
        <is>
          <t xml:space="preserve">Contrato</t>
        </is>
      </c>
    </row>
    <row r="187">
      <c r="A187" s="132">
        <v>46280</v>
      </c>
      <c r="B187" s="133" t="inlineStr">
        <is>
          <t xml:space="preserve">PMB</t>
        </is>
      </c>
      <c r="C187" s="134">
        <v>4</v>
      </c>
      <c r="D187" s="134">
        <v>88</v>
      </c>
      <c r="E187" s="135">
        <v>56.33</v>
      </c>
      <c r="F187" s="134">
        <v>0</v>
      </c>
      <c r="G187" s="134">
        <v>0</v>
      </c>
      <c r="H187" s="135">
        <v>0</v>
      </c>
      <c r="I187" s="134">
        <v>0</v>
      </c>
      <c r="J187" s="134"/>
      <c r="K187" s="134"/>
      <c r="L187" s="134"/>
      <c r="M187" s="134">
        <v>349</v>
      </c>
      <c r="N187" s="134">
        <v>6</v>
      </c>
      <c r="O187" s="134"/>
      <c r="P187" s="134"/>
      <c r="Q187" s="134"/>
      <c r="R187" s="134"/>
      <c r="S187" s="136" t="inlineStr">
        <is>
          <t xml:space="preserve">Cross</t>
        </is>
      </c>
    </row>
    <row r="188">
      <c r="A188" s="127">
        <v>46281</v>
      </c>
      <c r="B188" s="128" t="inlineStr">
        <is>
          <t xml:space="preserve">Barry Callebaut</t>
        </is>
      </c>
      <c r="C188" s="129">
        <v>6</v>
      </c>
      <c r="D188" s="129">
        <v>132</v>
      </c>
      <c r="E188" s="130">
        <v>70.44</v>
      </c>
      <c r="F188" s="129">
        <v>11</v>
      </c>
      <c r="G188" s="129">
        <v>198</v>
      </c>
      <c r="H188" s="130">
        <v>61.37</v>
      </c>
      <c r="I188" s="129">
        <v>0</v>
      </c>
      <c r="J188" s="129"/>
      <c r="K188" s="129"/>
      <c r="L188" s="129">
        <v>1950</v>
      </c>
      <c r="M188" s="129">
        <v>1162</v>
      </c>
      <c r="N188" s="129">
        <v>5</v>
      </c>
      <c r="O188" s="129"/>
      <c r="P188" s="129"/>
      <c r="Q188" s="129"/>
      <c r="R188" s="129"/>
      <c r="S188" s="131" t="inlineStr">
        <is>
          <t xml:space="preserve">Contrato</t>
        </is>
      </c>
    </row>
    <row r="189">
      <c r="A189" s="132">
        <v>46281</v>
      </c>
      <c r="B189" s="133" t="inlineStr">
        <is>
          <t xml:space="preserve">Gm</t>
        </is>
      </c>
      <c r="C189" s="134">
        <v>0</v>
      </c>
      <c r="D189" s="134">
        <v>0</v>
      </c>
      <c r="E189" s="135">
        <v>0</v>
      </c>
      <c r="F189" s="134">
        <v>5</v>
      </c>
      <c r="G189" s="134">
        <v>90</v>
      </c>
      <c r="H189" s="135">
        <v>32.27</v>
      </c>
      <c r="I189" s="134">
        <v>0</v>
      </c>
      <c r="J189" s="134"/>
      <c r="K189" s="134"/>
      <c r="L189" s="134">
        <v>800</v>
      </c>
      <c r="M189" s="134">
        <v>697</v>
      </c>
      <c r="N189" s="134">
        <v>3</v>
      </c>
      <c r="O189" s="134"/>
      <c r="P189" s="134"/>
      <c r="Q189" s="134"/>
      <c r="R189" s="134"/>
      <c r="S189" s="136" t="inlineStr">
        <is>
          <t xml:space="preserve">Contrato</t>
        </is>
      </c>
    </row>
    <row r="190">
      <c r="A190" s="127">
        <v>46281</v>
      </c>
      <c r="B190" s="128" t="inlineStr">
        <is>
          <t xml:space="preserve">Mondelez</t>
        </is>
      </c>
      <c r="C190" s="129">
        <v>0</v>
      </c>
      <c r="D190" s="129">
        <v>0</v>
      </c>
      <c r="E190" s="130">
        <v>0</v>
      </c>
      <c r="F190" s="129">
        <v>4</v>
      </c>
      <c r="G190" s="129">
        <v>72</v>
      </c>
      <c r="H190" s="130">
        <v>48.24</v>
      </c>
      <c r="I190" s="129">
        <v>0</v>
      </c>
      <c r="J190" s="129"/>
      <c r="K190" s="129"/>
      <c r="L190" s="129"/>
      <c r="M190" s="129">
        <v>290</v>
      </c>
      <c r="N190" s="129">
        <v>4</v>
      </c>
      <c r="O190" s="129"/>
      <c r="P190" s="129"/>
      <c r="Q190" s="129"/>
      <c r="R190" s="129"/>
      <c r="S190" s="131" t="inlineStr">
        <is>
          <t xml:space="preserve">Spot</t>
        </is>
      </c>
    </row>
    <row r="191">
      <c r="A191" s="132">
        <v>46281</v>
      </c>
      <c r="B191" s="133" t="inlineStr">
        <is>
          <t xml:space="preserve">Nestlé</t>
        </is>
      </c>
      <c r="C191" s="134">
        <v>5</v>
      </c>
      <c r="D191" s="134">
        <v>140</v>
      </c>
      <c r="E191" s="135">
        <v>49.45</v>
      </c>
      <c r="F191" s="134">
        <v>0</v>
      </c>
      <c r="G191" s="134">
        <v>0</v>
      </c>
      <c r="H191" s="135">
        <v>0</v>
      </c>
      <c r="I191" s="134">
        <v>0</v>
      </c>
      <c r="J191" s="134"/>
      <c r="K191" s="134"/>
      <c r="L191" s="134">
        <v>1400</v>
      </c>
      <c r="M191" s="134">
        <v>1195</v>
      </c>
      <c r="N191" s="134">
        <v>3</v>
      </c>
      <c r="O191" s="134"/>
      <c r="P191" s="134"/>
      <c r="Q191" s="134"/>
      <c r="R191" s="134"/>
      <c r="S191" s="136" t="inlineStr">
        <is>
          <t xml:space="preserve">Contrato</t>
        </is>
      </c>
    </row>
    <row r="192">
      <c r="A192" s="127">
        <v>46281</v>
      </c>
      <c r="B192" s="128" t="inlineStr">
        <is>
          <t xml:space="preserve">PMB</t>
        </is>
      </c>
      <c r="C192" s="129">
        <v>4</v>
      </c>
      <c r="D192" s="129">
        <v>108</v>
      </c>
      <c r="E192" s="130">
        <v>43.45</v>
      </c>
      <c r="F192" s="129">
        <v>3</v>
      </c>
      <c r="G192" s="129">
        <v>54</v>
      </c>
      <c r="H192" s="130">
        <v>36.06</v>
      </c>
      <c r="I192" s="129">
        <v>0</v>
      </c>
      <c r="J192" s="129"/>
      <c r="K192" s="129"/>
      <c r="L192" s="129"/>
      <c r="M192" s="129">
        <v>199</v>
      </c>
      <c r="N192" s="129">
        <v>6</v>
      </c>
      <c r="O192" s="129"/>
      <c r="P192" s="129"/>
      <c r="Q192" s="129"/>
      <c r="R192" s="129"/>
      <c r="S192" s="131" t="inlineStr">
        <is>
          <t xml:space="preserve">Cross</t>
        </is>
      </c>
    </row>
    <row r="193">
      <c r="A193" s="132">
        <v>46282</v>
      </c>
      <c r="B193" s="133" t="inlineStr">
        <is>
          <t xml:space="preserve">Barry Callebaut</t>
        </is>
      </c>
      <c r="C193" s="134">
        <v>0</v>
      </c>
      <c r="D193" s="134">
        <v>0</v>
      </c>
      <c r="E193" s="135">
        <v>0</v>
      </c>
      <c r="F193" s="134">
        <v>3</v>
      </c>
      <c r="G193" s="134">
        <v>54</v>
      </c>
      <c r="H193" s="135">
        <v>43.27</v>
      </c>
      <c r="I193" s="134">
        <v>0</v>
      </c>
      <c r="J193" s="134"/>
      <c r="K193" s="134"/>
      <c r="L193" s="134">
        <v>1950</v>
      </c>
      <c r="M193" s="134">
        <v>1046</v>
      </c>
      <c r="N193" s="134">
        <v>5</v>
      </c>
      <c r="O193" s="134"/>
      <c r="P193" s="134"/>
      <c r="Q193" s="134"/>
      <c r="R193" s="134"/>
      <c r="S193" s="136" t="inlineStr">
        <is>
          <t xml:space="preserve">Contrato</t>
        </is>
      </c>
    </row>
    <row r="194">
      <c r="A194" s="127">
        <v>46282</v>
      </c>
      <c r="B194" s="128" t="inlineStr">
        <is>
          <t xml:space="preserve">Gm</t>
        </is>
      </c>
      <c r="C194" s="129">
        <v>3</v>
      </c>
      <c r="D194" s="129">
        <v>72</v>
      </c>
      <c r="E194" s="130">
        <v>46.44</v>
      </c>
      <c r="F194" s="129">
        <v>1</v>
      </c>
      <c r="G194" s="129">
        <v>18</v>
      </c>
      <c r="H194" s="130">
        <v>7.43</v>
      </c>
      <c r="I194" s="129">
        <v>0</v>
      </c>
      <c r="J194" s="129"/>
      <c r="K194" s="129"/>
      <c r="L194" s="129">
        <v>800</v>
      </c>
      <c r="M194" s="129">
        <v>650</v>
      </c>
      <c r="N194" s="129">
        <v>4</v>
      </c>
      <c r="O194" s="129"/>
      <c r="P194" s="129"/>
      <c r="Q194" s="129"/>
      <c r="R194" s="129"/>
      <c r="S194" s="131" t="inlineStr">
        <is>
          <t xml:space="preserve">Contrato</t>
        </is>
      </c>
    </row>
    <row r="195">
      <c r="A195" s="132">
        <v>46282</v>
      </c>
      <c r="B195" s="133" t="inlineStr">
        <is>
          <t xml:space="preserve">Mondelez</t>
        </is>
      </c>
      <c r="C195" s="134">
        <v>4</v>
      </c>
      <c r="D195" s="134">
        <v>88</v>
      </c>
      <c r="E195" s="135">
        <v>60.71</v>
      </c>
      <c r="F195" s="134">
        <v>4</v>
      </c>
      <c r="G195" s="134">
        <v>72</v>
      </c>
      <c r="H195" s="135">
        <v>26.55</v>
      </c>
      <c r="I195" s="134">
        <v>0</v>
      </c>
      <c r="J195" s="134"/>
      <c r="K195" s="134"/>
      <c r="L195" s="134"/>
      <c r="M195" s="134">
        <v>333</v>
      </c>
      <c r="N195" s="134">
        <v>3</v>
      </c>
      <c r="O195" s="134"/>
      <c r="P195" s="134"/>
      <c r="Q195" s="134"/>
      <c r="R195" s="134"/>
      <c r="S195" s="136" t="inlineStr">
        <is>
          <t xml:space="preserve">Spot</t>
        </is>
      </c>
    </row>
    <row r="196">
      <c r="A196" s="127">
        <v>46282</v>
      </c>
      <c r="B196" s="128" t="inlineStr">
        <is>
          <t xml:space="preserve">Nestlé</t>
        </is>
      </c>
      <c r="C196" s="129">
        <v>5</v>
      </c>
      <c r="D196" s="129">
        <v>100</v>
      </c>
      <c r="E196" s="130">
        <v>61.62</v>
      </c>
      <c r="F196" s="129">
        <v>8</v>
      </c>
      <c r="G196" s="129">
        <v>144</v>
      </c>
      <c r="H196" s="130">
        <v>92.68</v>
      </c>
      <c r="I196" s="129">
        <v>0</v>
      </c>
      <c r="J196" s="129"/>
      <c r="K196" s="129"/>
      <c r="L196" s="129">
        <v>1400</v>
      </c>
      <c r="M196" s="129">
        <v>852</v>
      </c>
      <c r="N196" s="129">
        <v>4</v>
      </c>
      <c r="O196" s="129"/>
      <c r="P196" s="129"/>
      <c r="Q196" s="129"/>
      <c r="R196" s="129"/>
      <c r="S196" s="131" t="inlineStr">
        <is>
          <t xml:space="preserve">Contrato</t>
        </is>
      </c>
    </row>
    <row r="197">
      <c r="A197" s="132">
        <v>46282</v>
      </c>
      <c r="B197" s="133" t="inlineStr">
        <is>
          <t xml:space="preserve">PMB</t>
        </is>
      </c>
      <c r="C197" s="134">
        <v>7</v>
      </c>
      <c r="D197" s="134">
        <v>196</v>
      </c>
      <c r="E197" s="135">
        <v>79.1</v>
      </c>
      <c r="F197" s="134">
        <v>12</v>
      </c>
      <c r="G197" s="134">
        <v>216</v>
      </c>
      <c r="H197" s="135">
        <v>111.52</v>
      </c>
      <c r="I197" s="134">
        <v>0</v>
      </c>
      <c r="J197" s="134"/>
      <c r="K197" s="134"/>
      <c r="L197" s="134"/>
      <c r="M197" s="134">
        <v>231</v>
      </c>
      <c r="N197" s="134">
        <v>3</v>
      </c>
      <c r="O197" s="134"/>
      <c r="P197" s="134"/>
      <c r="Q197" s="134"/>
      <c r="R197" s="134"/>
      <c r="S197" s="136" t="inlineStr">
        <is>
          <t xml:space="preserve">Cross</t>
        </is>
      </c>
    </row>
    <row r="198">
      <c r="A198" s="127">
        <v>46283</v>
      </c>
      <c r="B198" s="128" t="inlineStr">
        <is>
          <t xml:space="preserve">Barry Callebaut</t>
        </is>
      </c>
      <c r="C198" s="129">
        <v>2</v>
      </c>
      <c r="D198" s="129">
        <v>40</v>
      </c>
      <c r="E198" s="130">
        <v>47.36</v>
      </c>
      <c r="F198" s="129">
        <v>5</v>
      </c>
      <c r="G198" s="129">
        <v>90</v>
      </c>
      <c r="H198" s="130">
        <v>58.23</v>
      </c>
      <c r="I198" s="129">
        <v>0</v>
      </c>
      <c r="J198" s="129"/>
      <c r="K198" s="129"/>
      <c r="L198" s="129">
        <v>1950</v>
      </c>
      <c r="M198" s="129">
        <v>1708</v>
      </c>
      <c r="N198" s="129">
        <v>6</v>
      </c>
      <c r="O198" s="129"/>
      <c r="P198" s="129"/>
      <c r="Q198" s="129"/>
      <c r="R198" s="129"/>
      <c r="S198" s="131" t="inlineStr">
        <is>
          <t xml:space="preserve">Contrato</t>
        </is>
      </c>
    </row>
    <row r="199">
      <c r="A199" s="132">
        <v>46283</v>
      </c>
      <c r="B199" s="133" t="inlineStr">
        <is>
          <t xml:space="preserve">Gm</t>
        </is>
      </c>
      <c r="C199" s="134">
        <v>1</v>
      </c>
      <c r="D199" s="134">
        <v>27</v>
      </c>
      <c r="E199" s="135">
        <v>15.14</v>
      </c>
      <c r="F199" s="134">
        <v>4</v>
      </c>
      <c r="G199" s="134">
        <v>72</v>
      </c>
      <c r="H199" s="135">
        <v>79.14</v>
      </c>
      <c r="I199" s="134">
        <v>0</v>
      </c>
      <c r="J199" s="134"/>
      <c r="K199" s="134"/>
      <c r="L199" s="134">
        <v>800</v>
      </c>
      <c r="M199" s="134">
        <v>518</v>
      </c>
      <c r="N199" s="134">
        <v>4</v>
      </c>
      <c r="O199" s="134"/>
      <c r="P199" s="134"/>
      <c r="Q199" s="134"/>
      <c r="R199" s="134"/>
      <c r="S199" s="136" t="inlineStr">
        <is>
          <t xml:space="preserve">Contrato</t>
        </is>
      </c>
    </row>
    <row r="200">
      <c r="A200" s="127">
        <v>46283</v>
      </c>
      <c r="B200" s="128" t="inlineStr">
        <is>
          <t xml:space="preserve">Mondelez</t>
        </is>
      </c>
      <c r="C200" s="129">
        <v>2</v>
      </c>
      <c r="D200" s="129">
        <v>44</v>
      </c>
      <c r="E200" s="130">
        <v>41.11</v>
      </c>
      <c r="F200" s="129">
        <v>1</v>
      </c>
      <c r="G200" s="129">
        <v>18</v>
      </c>
      <c r="H200" s="130">
        <v>8.09</v>
      </c>
      <c r="I200" s="129">
        <v>0</v>
      </c>
      <c r="J200" s="129"/>
      <c r="K200" s="129"/>
      <c r="L200" s="129"/>
      <c r="M200" s="129">
        <v>198</v>
      </c>
      <c r="N200" s="129">
        <v>4</v>
      </c>
      <c r="O200" s="129"/>
      <c r="P200" s="129"/>
      <c r="Q200" s="129"/>
      <c r="R200" s="129"/>
      <c r="S200" s="131" t="inlineStr">
        <is>
          <t xml:space="preserve">Spot</t>
        </is>
      </c>
    </row>
    <row r="201">
      <c r="A201" s="132">
        <v>46283</v>
      </c>
      <c r="B201" s="133" t="inlineStr">
        <is>
          <t xml:space="preserve">Nestlé</t>
        </is>
      </c>
      <c r="C201" s="134">
        <v>8</v>
      </c>
      <c r="D201" s="134">
        <v>200</v>
      </c>
      <c r="E201" s="135">
        <v>106.37</v>
      </c>
      <c r="F201" s="134">
        <v>6</v>
      </c>
      <c r="G201" s="134">
        <v>108</v>
      </c>
      <c r="H201" s="135">
        <v>81.42</v>
      </c>
      <c r="I201" s="134">
        <v>1</v>
      </c>
      <c r="J201" s="134"/>
      <c r="K201" s="134"/>
      <c r="L201" s="134">
        <v>1400</v>
      </c>
      <c r="M201" s="134">
        <v>841</v>
      </c>
      <c r="N201" s="134">
        <v>6</v>
      </c>
      <c r="O201" s="134"/>
      <c r="P201" s="134"/>
      <c r="Q201" s="134"/>
      <c r="R201" s="134"/>
      <c r="S201" s="136" t="inlineStr">
        <is>
          <t xml:space="preserve">Contrato</t>
        </is>
      </c>
    </row>
    <row r="202">
      <c r="A202" s="127">
        <v>46283</v>
      </c>
      <c r="B202" s="128" t="inlineStr">
        <is>
          <t xml:space="preserve">PMB</t>
        </is>
      </c>
      <c r="C202" s="129">
        <v>9</v>
      </c>
      <c r="D202" s="129">
        <v>189</v>
      </c>
      <c r="E202" s="130">
        <v>108.31</v>
      </c>
      <c r="F202" s="129">
        <v>6</v>
      </c>
      <c r="G202" s="129">
        <v>108</v>
      </c>
      <c r="H202" s="130">
        <v>60.17</v>
      </c>
      <c r="I202" s="129">
        <v>0</v>
      </c>
      <c r="J202" s="129"/>
      <c r="K202" s="129"/>
      <c r="L202" s="129"/>
      <c r="M202" s="129">
        <v>352</v>
      </c>
      <c r="N202" s="129">
        <v>8</v>
      </c>
      <c r="O202" s="129"/>
      <c r="P202" s="129"/>
      <c r="Q202" s="129"/>
      <c r="R202" s="129"/>
      <c r="S202" s="131" t="inlineStr">
        <is>
          <t xml:space="preserve">Cross</t>
        </is>
      </c>
    </row>
    <row r="203">
      <c r="A203" s="132">
        <v>46285</v>
      </c>
      <c r="B203" s="133" t="inlineStr">
        <is>
          <t xml:space="preserve">PMB</t>
        </is>
      </c>
      <c r="C203" s="134">
        <v>2</v>
      </c>
      <c r="D203" s="134">
        <v>40</v>
      </c>
      <c r="E203" s="135">
        <v>35.29</v>
      </c>
      <c r="F203" s="134">
        <v>11</v>
      </c>
      <c r="G203" s="134">
        <v>198</v>
      </c>
      <c r="H203" s="135">
        <v>142.53</v>
      </c>
      <c r="I203" s="134">
        <v>0</v>
      </c>
      <c r="J203" s="134"/>
      <c r="K203" s="134"/>
      <c r="L203" s="134"/>
      <c r="M203" s="134">
        <v>375</v>
      </c>
      <c r="N203" s="134">
        <v>5</v>
      </c>
      <c r="O203" s="134"/>
      <c r="P203" s="134"/>
      <c r="Q203" s="134"/>
      <c r="R203" s="134"/>
      <c r="S203" s="136" t="inlineStr">
        <is>
          <t xml:space="preserve">Cross</t>
        </is>
      </c>
    </row>
    <row r="204">
      <c r="A204" s="127">
        <v>46286</v>
      </c>
      <c r="B204" s="128" t="inlineStr">
        <is>
          <t xml:space="preserve">Barry Callebaut</t>
        </is>
      </c>
      <c r="C204" s="129">
        <v>3</v>
      </c>
      <c r="D204" s="129">
        <v>69</v>
      </c>
      <c r="E204" s="130">
        <v>70.53</v>
      </c>
      <c r="F204" s="129">
        <v>1</v>
      </c>
      <c r="G204" s="129">
        <v>18</v>
      </c>
      <c r="H204" s="130">
        <v>13.33</v>
      </c>
      <c r="I204" s="129">
        <v>0</v>
      </c>
      <c r="J204" s="129"/>
      <c r="K204" s="129"/>
      <c r="L204" s="129">
        <v>1950</v>
      </c>
      <c r="M204" s="129">
        <v>1878</v>
      </c>
      <c r="N204" s="129">
        <v>7</v>
      </c>
      <c r="O204" s="129"/>
      <c r="P204" s="129"/>
      <c r="Q204" s="129"/>
      <c r="R204" s="129"/>
      <c r="S204" s="131" t="inlineStr">
        <is>
          <t xml:space="preserve">Contrato</t>
        </is>
      </c>
    </row>
    <row r="205">
      <c r="A205" s="132">
        <v>46286</v>
      </c>
      <c r="B205" s="133" t="inlineStr">
        <is>
          <t xml:space="preserve">Gm</t>
        </is>
      </c>
      <c r="C205" s="134">
        <v>0</v>
      </c>
      <c r="D205" s="134">
        <v>0</v>
      </c>
      <c r="E205" s="135">
        <v>0</v>
      </c>
      <c r="F205" s="134">
        <v>0</v>
      </c>
      <c r="G205" s="134">
        <v>0</v>
      </c>
      <c r="H205" s="135">
        <v>0</v>
      </c>
      <c r="I205" s="134">
        <v>0</v>
      </c>
      <c r="J205" s="134"/>
      <c r="K205" s="134"/>
      <c r="L205" s="134">
        <v>800</v>
      </c>
      <c r="M205" s="134">
        <v>723</v>
      </c>
      <c r="N205" s="134">
        <v>3</v>
      </c>
      <c r="O205" s="134"/>
      <c r="P205" s="134"/>
      <c r="Q205" s="134"/>
      <c r="R205" s="134"/>
      <c r="S205" s="136" t="inlineStr">
        <is>
          <t xml:space="preserve">Contrato</t>
        </is>
      </c>
    </row>
    <row r="206">
      <c r="A206" s="127">
        <v>46286</v>
      </c>
      <c r="B206" s="128" t="inlineStr">
        <is>
          <t xml:space="preserve">Mondelez</t>
        </is>
      </c>
      <c r="C206" s="129">
        <v>7</v>
      </c>
      <c r="D206" s="129">
        <v>147</v>
      </c>
      <c r="E206" s="130">
        <v>99.82</v>
      </c>
      <c r="F206" s="129">
        <v>4</v>
      </c>
      <c r="G206" s="129">
        <v>72</v>
      </c>
      <c r="H206" s="130">
        <v>50.05</v>
      </c>
      <c r="I206" s="129">
        <v>0</v>
      </c>
      <c r="J206" s="129"/>
      <c r="K206" s="129"/>
      <c r="L206" s="129"/>
      <c r="M206" s="129">
        <v>243</v>
      </c>
      <c r="N206" s="129">
        <v>8</v>
      </c>
      <c r="O206" s="129"/>
      <c r="P206" s="129"/>
      <c r="Q206" s="129"/>
      <c r="R206" s="129"/>
      <c r="S206" s="131" t="inlineStr">
        <is>
          <t xml:space="preserve">Spot</t>
        </is>
      </c>
    </row>
    <row r="207">
      <c r="A207" s="132">
        <v>46286</v>
      </c>
      <c r="B207" s="133" t="inlineStr">
        <is>
          <t xml:space="preserve">Nestlé</t>
        </is>
      </c>
      <c r="C207" s="134">
        <v>0</v>
      </c>
      <c r="D207" s="134">
        <v>0</v>
      </c>
      <c r="E207" s="135">
        <v>0</v>
      </c>
      <c r="F207" s="134">
        <v>9</v>
      </c>
      <c r="G207" s="134">
        <v>162</v>
      </c>
      <c r="H207" s="135">
        <v>107.63</v>
      </c>
      <c r="I207" s="134">
        <v>1</v>
      </c>
      <c r="J207" s="134"/>
      <c r="K207" s="134"/>
      <c r="L207" s="134">
        <v>1400</v>
      </c>
      <c r="M207" s="134">
        <v>944</v>
      </c>
      <c r="N207" s="134">
        <v>5</v>
      </c>
      <c r="O207" s="134"/>
      <c r="P207" s="134"/>
      <c r="Q207" s="134"/>
      <c r="R207" s="134"/>
      <c r="S207" s="136" t="inlineStr">
        <is>
          <t xml:space="preserve">Contrato</t>
        </is>
      </c>
    </row>
    <row r="208">
      <c r="A208" s="127">
        <v>46286</v>
      </c>
      <c r="B208" s="128" t="inlineStr">
        <is>
          <t xml:space="preserve">PMB</t>
        </is>
      </c>
      <c r="C208" s="129">
        <v>1</v>
      </c>
      <c r="D208" s="129">
        <v>22</v>
      </c>
      <c r="E208" s="130">
        <v>10.82</v>
      </c>
      <c r="F208" s="129">
        <v>3</v>
      </c>
      <c r="G208" s="129">
        <v>54</v>
      </c>
      <c r="H208" s="130">
        <v>48.6</v>
      </c>
      <c r="I208" s="129">
        <v>0</v>
      </c>
      <c r="J208" s="129"/>
      <c r="K208" s="129"/>
      <c r="L208" s="129"/>
      <c r="M208" s="129">
        <v>184</v>
      </c>
      <c r="N208" s="129">
        <v>7</v>
      </c>
      <c r="O208" s="129"/>
      <c r="P208" s="129"/>
      <c r="Q208" s="129"/>
      <c r="R208" s="129"/>
      <c r="S208" s="131" t="inlineStr">
        <is>
          <t xml:space="preserve">Cross</t>
        </is>
      </c>
    </row>
    <row r="209">
      <c r="A209" s="132">
        <v>46287</v>
      </c>
      <c r="B209" s="133" t="inlineStr">
        <is>
          <t xml:space="preserve">Barry Callebaut</t>
        </is>
      </c>
      <c r="C209" s="134">
        <v>9</v>
      </c>
      <c r="D209" s="134">
        <v>225</v>
      </c>
      <c r="E209" s="135">
        <v>189.59</v>
      </c>
      <c r="F209" s="134">
        <v>8</v>
      </c>
      <c r="G209" s="134">
        <v>144</v>
      </c>
      <c r="H209" s="135">
        <v>102.08</v>
      </c>
      <c r="I209" s="134">
        <v>0</v>
      </c>
      <c r="J209" s="134"/>
      <c r="K209" s="134"/>
      <c r="L209" s="134">
        <v>1950</v>
      </c>
      <c r="M209" s="134">
        <v>1880</v>
      </c>
      <c r="N209" s="134">
        <v>9</v>
      </c>
      <c r="O209" s="134"/>
      <c r="P209" s="134"/>
      <c r="Q209" s="134"/>
      <c r="R209" s="134"/>
      <c r="S209" s="136" t="inlineStr">
        <is>
          <t xml:space="preserve">Contrato</t>
        </is>
      </c>
    </row>
    <row r="210">
      <c r="A210" s="127">
        <v>46287</v>
      </c>
      <c r="B210" s="128" t="inlineStr">
        <is>
          <t xml:space="preserve">Gm</t>
        </is>
      </c>
      <c r="C210" s="129">
        <v>0</v>
      </c>
      <c r="D210" s="129">
        <v>0</v>
      </c>
      <c r="E210" s="130">
        <v>0</v>
      </c>
      <c r="F210" s="129">
        <v>0</v>
      </c>
      <c r="G210" s="129">
        <v>0</v>
      </c>
      <c r="H210" s="130">
        <v>0</v>
      </c>
      <c r="I210" s="129">
        <v>0</v>
      </c>
      <c r="J210" s="129"/>
      <c r="K210" s="129"/>
      <c r="L210" s="129">
        <v>800</v>
      </c>
      <c r="M210" s="129">
        <v>575</v>
      </c>
      <c r="N210" s="129">
        <v>8</v>
      </c>
      <c r="O210" s="129"/>
      <c r="P210" s="129"/>
      <c r="Q210" s="129"/>
      <c r="R210" s="129"/>
      <c r="S210" s="131" t="inlineStr">
        <is>
          <t xml:space="preserve">Contrato</t>
        </is>
      </c>
    </row>
    <row r="211">
      <c r="A211" s="132">
        <v>46287</v>
      </c>
      <c r="B211" s="133" t="inlineStr">
        <is>
          <t xml:space="preserve">Mondelez</t>
        </is>
      </c>
      <c r="C211" s="134">
        <v>6</v>
      </c>
      <c r="D211" s="134">
        <v>120</v>
      </c>
      <c r="E211" s="135">
        <v>99.43</v>
      </c>
      <c r="F211" s="134">
        <v>6</v>
      </c>
      <c r="G211" s="134">
        <v>108</v>
      </c>
      <c r="H211" s="135">
        <v>118.22</v>
      </c>
      <c r="I211" s="134">
        <v>0</v>
      </c>
      <c r="J211" s="134"/>
      <c r="K211" s="134"/>
      <c r="L211" s="134"/>
      <c r="M211" s="134">
        <v>120</v>
      </c>
      <c r="N211" s="134">
        <v>4</v>
      </c>
      <c r="O211" s="134"/>
      <c r="P211" s="134"/>
      <c r="Q211" s="134"/>
      <c r="R211" s="134"/>
      <c r="S211" s="136" t="inlineStr">
        <is>
          <t xml:space="preserve">Spot</t>
        </is>
      </c>
    </row>
    <row r="212">
      <c r="A212" s="127">
        <v>46287</v>
      </c>
      <c r="B212" s="128" t="inlineStr">
        <is>
          <t xml:space="preserve">Nestlé</t>
        </is>
      </c>
      <c r="C212" s="129">
        <v>5</v>
      </c>
      <c r="D212" s="129">
        <v>130</v>
      </c>
      <c r="E212" s="130">
        <v>63.7</v>
      </c>
      <c r="F212" s="129">
        <v>5</v>
      </c>
      <c r="G212" s="129">
        <v>90</v>
      </c>
      <c r="H212" s="130">
        <v>39.06</v>
      </c>
      <c r="I212" s="129">
        <v>0</v>
      </c>
      <c r="J212" s="129"/>
      <c r="K212" s="129"/>
      <c r="L212" s="129">
        <v>1400</v>
      </c>
      <c r="M212" s="129">
        <v>1032</v>
      </c>
      <c r="N212" s="129">
        <v>8</v>
      </c>
      <c r="O212" s="129"/>
      <c r="P212" s="129"/>
      <c r="Q212" s="129"/>
      <c r="R212" s="129"/>
      <c r="S212" s="131" t="inlineStr">
        <is>
          <t xml:space="preserve">Contrato</t>
        </is>
      </c>
    </row>
    <row r="213">
      <c r="A213" s="132">
        <v>46287</v>
      </c>
      <c r="B213" s="133" t="inlineStr">
        <is>
          <t xml:space="preserve">PMB</t>
        </is>
      </c>
      <c r="C213" s="134">
        <v>0</v>
      </c>
      <c r="D213" s="134">
        <v>0</v>
      </c>
      <c r="E213" s="135">
        <v>0</v>
      </c>
      <c r="F213" s="134">
        <v>0</v>
      </c>
      <c r="G213" s="134">
        <v>0</v>
      </c>
      <c r="H213" s="135">
        <v>0</v>
      </c>
      <c r="I213" s="134">
        <v>0</v>
      </c>
      <c r="J213" s="134"/>
      <c r="K213" s="134"/>
      <c r="L213" s="134"/>
      <c r="M213" s="134">
        <v>221</v>
      </c>
      <c r="N213" s="134">
        <v>8</v>
      </c>
      <c r="O213" s="134"/>
      <c r="P213" s="134"/>
      <c r="Q213" s="134"/>
      <c r="R213" s="134"/>
      <c r="S213" s="136" t="inlineStr">
        <is>
          <t xml:space="preserve">Cross</t>
        </is>
      </c>
    </row>
    <row r="214">
      <c r="A214" s="127">
        <v>46288</v>
      </c>
      <c r="B214" s="128" t="inlineStr">
        <is>
          <t xml:space="preserve">Barry Callebaut</t>
        </is>
      </c>
      <c r="C214" s="129">
        <v>7</v>
      </c>
      <c r="D214" s="129">
        <v>154</v>
      </c>
      <c r="E214" s="130">
        <v>76.01</v>
      </c>
      <c r="F214" s="129">
        <v>9</v>
      </c>
      <c r="G214" s="129">
        <v>162</v>
      </c>
      <c r="H214" s="130">
        <v>77.86</v>
      </c>
      <c r="I214" s="129">
        <v>0</v>
      </c>
      <c r="J214" s="129"/>
      <c r="K214" s="129"/>
      <c r="L214" s="129">
        <v>1950</v>
      </c>
      <c r="M214" s="129">
        <v>989</v>
      </c>
      <c r="N214" s="129">
        <v>5</v>
      </c>
      <c r="O214" s="129"/>
      <c r="P214" s="129"/>
      <c r="Q214" s="129"/>
      <c r="R214" s="129"/>
      <c r="S214" s="131" t="inlineStr">
        <is>
          <t xml:space="preserve">Contrato</t>
        </is>
      </c>
    </row>
    <row r="215">
      <c r="A215" s="132">
        <v>46288</v>
      </c>
      <c r="B215" s="133" t="inlineStr">
        <is>
          <t xml:space="preserve">Gm</t>
        </is>
      </c>
      <c r="C215" s="134">
        <v>4</v>
      </c>
      <c r="D215" s="134">
        <v>88</v>
      </c>
      <c r="E215" s="135">
        <v>82.33</v>
      </c>
      <c r="F215" s="134">
        <v>5</v>
      </c>
      <c r="G215" s="134">
        <v>90</v>
      </c>
      <c r="H215" s="135">
        <v>54.09</v>
      </c>
      <c r="I215" s="134">
        <v>0</v>
      </c>
      <c r="J215" s="134"/>
      <c r="K215" s="134"/>
      <c r="L215" s="134">
        <v>800</v>
      </c>
      <c r="M215" s="134">
        <v>725</v>
      </c>
      <c r="N215" s="134">
        <v>7</v>
      </c>
      <c r="O215" s="134"/>
      <c r="P215" s="134"/>
      <c r="Q215" s="134"/>
      <c r="R215" s="134"/>
      <c r="S215" s="136" t="inlineStr">
        <is>
          <t xml:space="preserve">Contrato</t>
        </is>
      </c>
    </row>
    <row r="216">
      <c r="A216" s="127">
        <v>46288</v>
      </c>
      <c r="B216" s="128" t="inlineStr">
        <is>
          <t xml:space="preserve">Mondelez</t>
        </is>
      </c>
      <c r="C216" s="129">
        <v>7</v>
      </c>
      <c r="D216" s="129">
        <v>189</v>
      </c>
      <c r="E216" s="130">
        <v>94.89</v>
      </c>
      <c r="F216" s="129">
        <v>0</v>
      </c>
      <c r="G216" s="129">
        <v>0</v>
      </c>
      <c r="H216" s="130">
        <v>0</v>
      </c>
      <c r="I216" s="129">
        <v>0</v>
      </c>
      <c r="J216" s="129"/>
      <c r="K216" s="129"/>
      <c r="L216" s="129"/>
      <c r="M216" s="129">
        <v>296</v>
      </c>
      <c r="N216" s="129">
        <v>6</v>
      </c>
      <c r="O216" s="129"/>
      <c r="P216" s="129"/>
      <c r="Q216" s="129"/>
      <c r="R216" s="129"/>
      <c r="S216" s="131" t="inlineStr">
        <is>
          <t xml:space="preserve">Spot</t>
        </is>
      </c>
    </row>
    <row r="217">
      <c r="A217" s="132">
        <v>46288</v>
      </c>
      <c r="B217" s="133" t="inlineStr">
        <is>
          <t xml:space="preserve">Nestlé</t>
        </is>
      </c>
      <c r="C217" s="134">
        <v>8</v>
      </c>
      <c r="D217" s="134">
        <v>216</v>
      </c>
      <c r="E217" s="135">
        <v>106.46</v>
      </c>
      <c r="F217" s="134">
        <v>3</v>
      </c>
      <c r="G217" s="134">
        <v>54</v>
      </c>
      <c r="H217" s="135">
        <v>24.05</v>
      </c>
      <c r="I217" s="134">
        <v>0</v>
      </c>
      <c r="J217" s="134"/>
      <c r="K217" s="134"/>
      <c r="L217" s="134">
        <v>1400</v>
      </c>
      <c r="M217" s="134">
        <v>1075</v>
      </c>
      <c r="N217" s="134">
        <v>7</v>
      </c>
      <c r="O217" s="134"/>
      <c r="P217" s="134"/>
      <c r="Q217" s="134"/>
      <c r="R217" s="134"/>
      <c r="S217" s="136" t="inlineStr">
        <is>
          <t xml:space="preserve">Contrato</t>
        </is>
      </c>
    </row>
    <row r="218">
      <c r="A218" s="127">
        <v>46288</v>
      </c>
      <c r="B218" s="128" t="inlineStr">
        <is>
          <t xml:space="preserve">PMB</t>
        </is>
      </c>
      <c r="C218" s="129">
        <v>9</v>
      </c>
      <c r="D218" s="129">
        <v>225</v>
      </c>
      <c r="E218" s="130">
        <v>82.6</v>
      </c>
      <c r="F218" s="129">
        <v>3</v>
      </c>
      <c r="G218" s="129">
        <v>54</v>
      </c>
      <c r="H218" s="130">
        <v>27.15</v>
      </c>
      <c r="I218" s="129">
        <v>0</v>
      </c>
      <c r="J218" s="129"/>
      <c r="K218" s="129"/>
      <c r="L218" s="129"/>
      <c r="M218" s="129">
        <v>210</v>
      </c>
      <c r="N218" s="129">
        <v>4</v>
      </c>
      <c r="O218" s="129"/>
      <c r="P218" s="129"/>
      <c r="Q218" s="129"/>
      <c r="R218" s="129"/>
      <c r="S218" s="131" t="inlineStr">
        <is>
          <t xml:space="preserve">Cross</t>
        </is>
      </c>
    </row>
    <row r="219">
      <c r="A219" s="132">
        <v>46289</v>
      </c>
      <c r="B219" s="133" t="inlineStr">
        <is>
          <t xml:space="preserve">Barry Callebaut</t>
        </is>
      </c>
      <c r="C219" s="134">
        <v>5</v>
      </c>
      <c r="D219" s="134">
        <v>105</v>
      </c>
      <c r="E219" s="135">
        <v>100.16</v>
      </c>
      <c r="F219" s="134">
        <v>10</v>
      </c>
      <c r="G219" s="134">
        <v>180</v>
      </c>
      <c r="H219" s="135">
        <v>73.18</v>
      </c>
      <c r="I219" s="134">
        <v>0</v>
      </c>
      <c r="J219" s="134"/>
      <c r="K219" s="134"/>
      <c r="L219" s="134">
        <v>1950</v>
      </c>
      <c r="M219" s="134">
        <v>1245</v>
      </c>
      <c r="N219" s="134">
        <v>7</v>
      </c>
      <c r="O219" s="134"/>
      <c r="P219" s="134"/>
      <c r="Q219" s="134"/>
      <c r="R219" s="134"/>
      <c r="S219" s="136" t="inlineStr">
        <is>
          <t xml:space="preserve">Contrato</t>
        </is>
      </c>
    </row>
    <row r="220">
      <c r="A220" s="127">
        <v>46289</v>
      </c>
      <c r="B220" s="128" t="inlineStr">
        <is>
          <t xml:space="preserve">Gm</t>
        </is>
      </c>
      <c r="C220" s="129">
        <v>4</v>
      </c>
      <c r="D220" s="129">
        <v>112</v>
      </c>
      <c r="E220" s="130">
        <v>59.44</v>
      </c>
      <c r="F220" s="129">
        <v>5</v>
      </c>
      <c r="G220" s="129">
        <v>90</v>
      </c>
      <c r="H220" s="130">
        <v>62.47</v>
      </c>
      <c r="I220" s="129">
        <v>0</v>
      </c>
      <c r="J220" s="129"/>
      <c r="K220" s="129"/>
      <c r="L220" s="129">
        <v>800</v>
      </c>
      <c r="M220" s="129">
        <v>727</v>
      </c>
      <c r="N220" s="129">
        <v>7</v>
      </c>
      <c r="O220" s="129"/>
      <c r="P220" s="129"/>
      <c r="Q220" s="129"/>
      <c r="R220" s="129"/>
      <c r="S220" s="131" t="inlineStr">
        <is>
          <t xml:space="preserve">Contrato</t>
        </is>
      </c>
    </row>
    <row r="221">
      <c r="A221" s="132">
        <v>46289</v>
      </c>
      <c r="B221" s="133" t="inlineStr">
        <is>
          <t xml:space="preserve">Mondelez</t>
        </is>
      </c>
      <c r="C221" s="134">
        <v>4</v>
      </c>
      <c r="D221" s="134">
        <v>88</v>
      </c>
      <c r="E221" s="135">
        <v>78.51</v>
      </c>
      <c r="F221" s="134">
        <v>0</v>
      </c>
      <c r="G221" s="134">
        <v>0</v>
      </c>
      <c r="H221" s="135">
        <v>0</v>
      </c>
      <c r="I221" s="134">
        <v>0</v>
      </c>
      <c r="J221" s="134"/>
      <c r="K221" s="134"/>
      <c r="L221" s="134"/>
      <c r="M221" s="134">
        <v>303</v>
      </c>
      <c r="N221" s="134">
        <v>6</v>
      </c>
      <c r="O221" s="134"/>
      <c r="P221" s="134"/>
      <c r="Q221" s="134"/>
      <c r="R221" s="134"/>
      <c r="S221" s="136" t="inlineStr">
        <is>
          <t xml:space="preserve">Spot</t>
        </is>
      </c>
    </row>
    <row r="222">
      <c r="A222" s="127">
        <v>46289</v>
      </c>
      <c r="B222" s="128" t="inlineStr">
        <is>
          <t xml:space="preserve">Nestlé</t>
        </is>
      </c>
      <c r="C222" s="129">
        <v>5</v>
      </c>
      <c r="D222" s="129">
        <v>115</v>
      </c>
      <c r="E222" s="130">
        <v>55.52</v>
      </c>
      <c r="F222" s="129">
        <v>4</v>
      </c>
      <c r="G222" s="129">
        <v>72</v>
      </c>
      <c r="H222" s="130">
        <v>51.07</v>
      </c>
      <c r="I222" s="129">
        <v>0</v>
      </c>
      <c r="J222" s="129"/>
      <c r="K222" s="129"/>
      <c r="L222" s="129">
        <v>1400</v>
      </c>
      <c r="M222" s="129">
        <v>1186</v>
      </c>
      <c r="N222" s="129">
        <v>7</v>
      </c>
      <c r="O222" s="129"/>
      <c r="P222" s="129"/>
      <c r="Q222" s="129"/>
      <c r="R222" s="129"/>
      <c r="S222" s="131" t="inlineStr">
        <is>
          <t xml:space="preserve">Contrato</t>
        </is>
      </c>
    </row>
    <row r="223">
      <c r="A223" s="132">
        <v>46289</v>
      </c>
      <c r="B223" s="133" t="inlineStr">
        <is>
          <t xml:space="preserve">PMB</t>
        </is>
      </c>
      <c r="C223" s="134">
        <v>9</v>
      </c>
      <c r="D223" s="134">
        <v>216</v>
      </c>
      <c r="E223" s="135">
        <v>137.42</v>
      </c>
      <c r="F223" s="134">
        <v>1</v>
      </c>
      <c r="G223" s="134">
        <v>18</v>
      </c>
      <c r="H223" s="135">
        <v>9.32</v>
      </c>
      <c r="I223" s="134">
        <v>0</v>
      </c>
      <c r="J223" s="134"/>
      <c r="K223" s="134"/>
      <c r="L223" s="134"/>
      <c r="M223" s="134">
        <v>280</v>
      </c>
      <c r="N223" s="134">
        <v>9</v>
      </c>
      <c r="O223" s="134"/>
      <c r="P223" s="134"/>
      <c r="Q223" s="134"/>
      <c r="R223" s="134"/>
      <c r="S223" s="136" t="inlineStr">
        <is>
          <t xml:space="preserve">Cross</t>
        </is>
      </c>
    </row>
    <row r="224">
      <c r="A224" s="127">
        <v>46290</v>
      </c>
      <c r="B224" s="128" t="inlineStr">
        <is>
          <t xml:space="preserve">Barry Callebaut</t>
        </is>
      </c>
      <c r="C224" s="129">
        <v>4</v>
      </c>
      <c r="D224" s="129">
        <v>96</v>
      </c>
      <c r="E224" s="130">
        <v>47.05</v>
      </c>
      <c r="F224" s="129">
        <v>9</v>
      </c>
      <c r="G224" s="129">
        <v>162</v>
      </c>
      <c r="H224" s="130">
        <v>76.31</v>
      </c>
      <c r="I224" s="129">
        <v>0</v>
      </c>
      <c r="J224" s="129"/>
      <c r="K224" s="129"/>
      <c r="L224" s="129">
        <v>1950</v>
      </c>
      <c r="M224" s="129">
        <v>1741</v>
      </c>
      <c r="N224" s="129">
        <v>9</v>
      </c>
      <c r="O224" s="129"/>
      <c r="P224" s="129"/>
      <c r="Q224" s="129"/>
      <c r="R224" s="129"/>
      <c r="S224" s="131" t="inlineStr">
        <is>
          <t xml:space="preserve">Contrato</t>
        </is>
      </c>
    </row>
    <row r="225">
      <c r="A225" s="132">
        <v>46290</v>
      </c>
      <c r="B225" s="133" t="inlineStr">
        <is>
          <t xml:space="preserve">Gm</t>
        </is>
      </c>
      <c r="C225" s="134">
        <v>5</v>
      </c>
      <c r="D225" s="134">
        <v>140</v>
      </c>
      <c r="E225" s="135">
        <v>75.07</v>
      </c>
      <c r="F225" s="134">
        <v>3</v>
      </c>
      <c r="G225" s="134">
        <v>54</v>
      </c>
      <c r="H225" s="135">
        <v>49.53</v>
      </c>
      <c r="I225" s="134">
        <v>0</v>
      </c>
      <c r="J225" s="134"/>
      <c r="K225" s="134"/>
      <c r="L225" s="134">
        <v>800</v>
      </c>
      <c r="M225" s="134">
        <v>675</v>
      </c>
      <c r="N225" s="134">
        <v>7</v>
      </c>
      <c r="O225" s="134"/>
      <c r="P225" s="134"/>
      <c r="Q225" s="134"/>
      <c r="R225" s="134"/>
      <c r="S225" s="136" t="inlineStr">
        <is>
          <t xml:space="preserve">Contrato</t>
        </is>
      </c>
    </row>
    <row r="226">
      <c r="A226" s="127">
        <v>46290</v>
      </c>
      <c r="B226" s="128" t="inlineStr">
        <is>
          <t xml:space="preserve">Mondelez</t>
        </is>
      </c>
      <c r="C226" s="129">
        <v>0</v>
      </c>
      <c r="D226" s="129">
        <v>0</v>
      </c>
      <c r="E226" s="130">
        <v>0</v>
      </c>
      <c r="F226" s="129">
        <v>12</v>
      </c>
      <c r="G226" s="129">
        <v>216</v>
      </c>
      <c r="H226" s="130">
        <v>138.69</v>
      </c>
      <c r="I226" s="129">
        <v>0</v>
      </c>
      <c r="J226" s="129"/>
      <c r="K226" s="129"/>
      <c r="L226" s="129"/>
      <c r="M226" s="129">
        <v>364</v>
      </c>
      <c r="N226" s="129">
        <v>5</v>
      </c>
      <c r="O226" s="129"/>
      <c r="P226" s="129"/>
      <c r="Q226" s="129"/>
      <c r="R226" s="129"/>
      <c r="S226" s="131" t="inlineStr">
        <is>
          <t xml:space="preserve">Spot</t>
        </is>
      </c>
    </row>
    <row r="227">
      <c r="A227" s="132">
        <v>46290</v>
      </c>
      <c r="B227" s="133" t="inlineStr">
        <is>
          <t xml:space="preserve">Nestlé</t>
        </is>
      </c>
      <c r="C227" s="134">
        <v>5</v>
      </c>
      <c r="D227" s="134">
        <v>115</v>
      </c>
      <c r="E227" s="135">
        <v>69.29</v>
      </c>
      <c r="F227" s="134">
        <v>6</v>
      </c>
      <c r="G227" s="134">
        <v>108</v>
      </c>
      <c r="H227" s="135">
        <v>116.03</v>
      </c>
      <c r="I227" s="134">
        <v>0</v>
      </c>
      <c r="J227" s="134"/>
      <c r="K227" s="134"/>
      <c r="L227" s="134">
        <v>1400</v>
      </c>
      <c r="M227" s="134">
        <v>726</v>
      </c>
      <c r="N227" s="134">
        <v>5</v>
      </c>
      <c r="O227" s="134"/>
      <c r="P227" s="134"/>
      <c r="Q227" s="134"/>
      <c r="R227" s="134"/>
      <c r="S227" s="136" t="inlineStr">
        <is>
          <t xml:space="preserve">Contrato</t>
        </is>
      </c>
    </row>
    <row r="228">
      <c r="A228" s="127">
        <v>46290</v>
      </c>
      <c r="B228" s="128" t="inlineStr">
        <is>
          <t xml:space="preserve">PMB</t>
        </is>
      </c>
      <c r="C228" s="129">
        <v>6</v>
      </c>
      <c r="D228" s="129">
        <v>120</v>
      </c>
      <c r="E228" s="130">
        <v>95.78</v>
      </c>
      <c r="F228" s="129">
        <v>7</v>
      </c>
      <c r="G228" s="129">
        <v>126</v>
      </c>
      <c r="H228" s="130">
        <v>59.07</v>
      </c>
      <c r="I228" s="129">
        <v>0</v>
      </c>
      <c r="J228" s="129"/>
      <c r="K228" s="129"/>
      <c r="L228" s="129"/>
      <c r="M228" s="129">
        <v>309</v>
      </c>
      <c r="N228" s="129">
        <v>7</v>
      </c>
      <c r="O228" s="129"/>
      <c r="P228" s="129"/>
      <c r="Q228" s="129"/>
      <c r="R228" s="129"/>
      <c r="S228" s="131" t="inlineStr">
        <is>
          <t xml:space="preserve">Cross</t>
        </is>
      </c>
    </row>
    <row r="229">
      <c r="A229" s="132">
        <v>46291</v>
      </c>
      <c r="B229" s="133" t="inlineStr">
        <is>
          <t xml:space="preserve">Barry Callebaut</t>
        </is>
      </c>
      <c r="C229" s="134">
        <v>0</v>
      </c>
      <c r="D229" s="134">
        <v>0</v>
      </c>
      <c r="E229" s="135">
        <v>0</v>
      </c>
      <c r="F229" s="134">
        <v>4</v>
      </c>
      <c r="G229" s="134">
        <v>72</v>
      </c>
      <c r="H229" s="135">
        <v>26.63</v>
      </c>
      <c r="I229" s="134">
        <v>0</v>
      </c>
      <c r="J229" s="134"/>
      <c r="K229" s="134"/>
      <c r="L229" s="134">
        <v>1950</v>
      </c>
      <c r="M229" s="134">
        <v>1815</v>
      </c>
      <c r="N229" s="134">
        <v>5</v>
      </c>
      <c r="O229" s="134"/>
      <c r="P229" s="134"/>
      <c r="Q229" s="134"/>
      <c r="R229" s="134"/>
      <c r="S229" s="136" t="inlineStr">
        <is>
          <t xml:space="preserve">Contrato</t>
        </is>
      </c>
    </row>
    <row r="230">
      <c r="A230" s="127">
        <v>46291</v>
      </c>
      <c r="B230" s="128" t="inlineStr">
        <is>
          <t xml:space="preserve">PMB</t>
        </is>
      </c>
      <c r="C230" s="129">
        <v>4</v>
      </c>
      <c r="D230" s="129">
        <v>112</v>
      </c>
      <c r="E230" s="130">
        <v>73.87</v>
      </c>
      <c r="F230" s="129">
        <v>3</v>
      </c>
      <c r="G230" s="129">
        <v>54</v>
      </c>
      <c r="H230" s="130">
        <v>43.35</v>
      </c>
      <c r="I230" s="129">
        <v>0</v>
      </c>
      <c r="J230" s="129"/>
      <c r="K230" s="129"/>
      <c r="L230" s="129"/>
      <c r="M230" s="129">
        <v>154</v>
      </c>
      <c r="N230" s="129">
        <v>5</v>
      </c>
      <c r="O230" s="129"/>
      <c r="P230" s="129"/>
      <c r="Q230" s="129"/>
      <c r="R230" s="129"/>
      <c r="S230" s="131" t="inlineStr">
        <is>
          <t xml:space="preserve">Cross</t>
        </is>
      </c>
    </row>
    <row r="231">
      <c r="A231" s="132">
        <v>46292</v>
      </c>
      <c r="B231" s="133" t="inlineStr">
        <is>
          <t xml:space="preserve">Barry Callebaut</t>
        </is>
      </c>
      <c r="C231" s="134">
        <v>0</v>
      </c>
      <c r="D231" s="134">
        <v>0</v>
      </c>
      <c r="E231" s="135">
        <v>0</v>
      </c>
      <c r="F231" s="134">
        <v>11</v>
      </c>
      <c r="G231" s="134">
        <v>198</v>
      </c>
      <c r="H231" s="135">
        <v>55.65</v>
      </c>
      <c r="I231" s="134">
        <v>1</v>
      </c>
      <c r="J231" s="134"/>
      <c r="K231" s="134"/>
      <c r="L231" s="134">
        <v>1950</v>
      </c>
      <c r="M231" s="134">
        <v>1211</v>
      </c>
      <c r="N231" s="134">
        <v>9</v>
      </c>
      <c r="O231" s="134"/>
      <c r="P231" s="134"/>
      <c r="Q231" s="134"/>
      <c r="R231" s="134"/>
      <c r="S231" s="136" t="inlineStr">
        <is>
          <t xml:space="preserve">Contrato</t>
        </is>
      </c>
    </row>
    <row r="232">
      <c r="A232" s="127">
        <v>46293</v>
      </c>
      <c r="B232" s="128" t="inlineStr">
        <is>
          <t xml:space="preserve">Barry Callebaut</t>
        </is>
      </c>
      <c r="C232" s="129">
        <v>2</v>
      </c>
      <c r="D232" s="129">
        <v>56</v>
      </c>
      <c r="E232" s="130">
        <v>32.94</v>
      </c>
      <c r="F232" s="129">
        <v>10</v>
      </c>
      <c r="G232" s="129">
        <v>180</v>
      </c>
      <c r="H232" s="130">
        <v>127.15</v>
      </c>
      <c r="I232" s="129">
        <v>0</v>
      </c>
      <c r="J232" s="129"/>
      <c r="K232" s="129"/>
      <c r="L232" s="129">
        <v>1950</v>
      </c>
      <c r="M232" s="129">
        <v>1047</v>
      </c>
      <c r="N232" s="129">
        <v>7</v>
      </c>
      <c r="O232" s="129"/>
      <c r="P232" s="129"/>
      <c r="Q232" s="129"/>
      <c r="R232" s="129"/>
      <c r="S232" s="131" t="inlineStr">
        <is>
          <t xml:space="preserve">Contrato</t>
        </is>
      </c>
    </row>
    <row r="233">
      <c r="A233" s="132">
        <v>46293</v>
      </c>
      <c r="B233" s="133" t="inlineStr">
        <is>
          <t xml:space="preserve">Gm</t>
        </is>
      </c>
      <c r="C233" s="134">
        <v>0</v>
      </c>
      <c r="D233" s="134">
        <v>0</v>
      </c>
      <c r="E233" s="135">
        <v>0</v>
      </c>
      <c r="F233" s="134">
        <v>3</v>
      </c>
      <c r="G233" s="134">
        <v>54</v>
      </c>
      <c r="H233" s="135">
        <v>56.89</v>
      </c>
      <c r="I233" s="134">
        <v>0</v>
      </c>
      <c r="J233" s="134"/>
      <c r="K233" s="134"/>
      <c r="L233" s="134">
        <v>800</v>
      </c>
      <c r="M233" s="134">
        <v>588</v>
      </c>
      <c r="N233" s="134">
        <v>6</v>
      </c>
      <c r="O233" s="134"/>
      <c r="P233" s="134"/>
      <c r="Q233" s="134"/>
      <c r="R233" s="134"/>
      <c r="S233" s="136" t="inlineStr">
        <is>
          <t xml:space="preserve">Contrato</t>
        </is>
      </c>
    </row>
    <row r="234">
      <c r="A234" s="127">
        <v>46293</v>
      </c>
      <c r="B234" s="128" t="inlineStr">
        <is>
          <t xml:space="preserve">Mondelez</t>
        </is>
      </c>
      <c r="C234" s="129">
        <v>2</v>
      </c>
      <c r="D234" s="129">
        <v>54</v>
      </c>
      <c r="E234" s="130">
        <v>32.71</v>
      </c>
      <c r="F234" s="129">
        <v>12</v>
      </c>
      <c r="G234" s="129">
        <v>216</v>
      </c>
      <c r="H234" s="130">
        <v>198.7</v>
      </c>
      <c r="I234" s="129">
        <v>0</v>
      </c>
      <c r="J234" s="129"/>
      <c r="K234" s="129"/>
      <c r="L234" s="129"/>
      <c r="M234" s="129">
        <v>265</v>
      </c>
      <c r="N234" s="129">
        <v>7</v>
      </c>
      <c r="O234" s="129"/>
      <c r="P234" s="129"/>
      <c r="Q234" s="129"/>
      <c r="R234" s="129"/>
      <c r="S234" s="131" t="inlineStr">
        <is>
          <t xml:space="preserve">Spot</t>
        </is>
      </c>
    </row>
    <row r="235">
      <c r="A235" s="132">
        <v>46293</v>
      </c>
      <c r="B235" s="133" t="inlineStr">
        <is>
          <t xml:space="preserve">Nestlé</t>
        </is>
      </c>
      <c r="C235" s="134">
        <v>9</v>
      </c>
      <c r="D235" s="134">
        <v>189</v>
      </c>
      <c r="E235" s="135">
        <v>107.8</v>
      </c>
      <c r="F235" s="134">
        <v>12</v>
      </c>
      <c r="G235" s="134">
        <v>216</v>
      </c>
      <c r="H235" s="135">
        <v>65.23</v>
      </c>
      <c r="I235" s="134">
        <v>0</v>
      </c>
      <c r="J235" s="134"/>
      <c r="K235" s="134"/>
      <c r="L235" s="134">
        <v>1400</v>
      </c>
      <c r="M235" s="134">
        <v>777</v>
      </c>
      <c r="N235" s="134">
        <v>4</v>
      </c>
      <c r="O235" s="134"/>
      <c r="P235" s="134"/>
      <c r="Q235" s="134"/>
      <c r="R235" s="134"/>
      <c r="S235" s="136" t="inlineStr">
        <is>
          <t xml:space="preserve">Contrato</t>
        </is>
      </c>
    </row>
    <row r="236">
      <c r="A236" s="127">
        <v>46293</v>
      </c>
      <c r="B236" s="128" t="inlineStr">
        <is>
          <t xml:space="preserve">PMB</t>
        </is>
      </c>
      <c r="C236" s="129">
        <v>2</v>
      </c>
      <c r="D236" s="129">
        <v>44</v>
      </c>
      <c r="E236" s="130">
        <v>28.62</v>
      </c>
      <c r="F236" s="129">
        <v>1</v>
      </c>
      <c r="G236" s="129">
        <v>18</v>
      </c>
      <c r="H236" s="130">
        <v>14.36</v>
      </c>
      <c r="I236" s="129">
        <v>0</v>
      </c>
      <c r="J236" s="129"/>
      <c r="K236" s="129"/>
      <c r="L236" s="129"/>
      <c r="M236" s="129">
        <v>110</v>
      </c>
      <c r="N236" s="129">
        <v>3</v>
      </c>
      <c r="O236" s="129"/>
      <c r="P236" s="129"/>
      <c r="Q236" s="129"/>
      <c r="R236" s="129"/>
      <c r="S236" s="131" t="inlineStr">
        <is>
          <t xml:space="preserve">Cross</t>
        </is>
      </c>
    </row>
    <row r="237">
      <c r="A237" s="132">
        <v>46294</v>
      </c>
      <c r="B237" s="133" t="inlineStr">
        <is>
          <t xml:space="preserve">Barry Callebaut</t>
        </is>
      </c>
      <c r="C237" s="134">
        <v>5</v>
      </c>
      <c r="D237" s="134">
        <v>135</v>
      </c>
      <c r="E237" s="135">
        <v>45.46</v>
      </c>
      <c r="F237" s="134">
        <v>4</v>
      </c>
      <c r="G237" s="134">
        <v>72</v>
      </c>
      <c r="H237" s="135">
        <v>49.73</v>
      </c>
      <c r="I237" s="134">
        <v>0</v>
      </c>
      <c r="J237" s="134"/>
      <c r="K237" s="134"/>
      <c r="L237" s="134">
        <v>1950</v>
      </c>
      <c r="M237" s="134">
        <v>1872</v>
      </c>
      <c r="N237" s="134">
        <v>5</v>
      </c>
      <c r="O237" s="134"/>
      <c r="P237" s="134"/>
      <c r="Q237" s="134"/>
      <c r="R237" s="134"/>
      <c r="S237" s="136" t="inlineStr">
        <is>
          <t xml:space="preserve">Contrato</t>
        </is>
      </c>
    </row>
    <row r="238">
      <c r="A238" s="127">
        <v>46294</v>
      </c>
      <c r="B238" s="128" t="inlineStr">
        <is>
          <t xml:space="preserve">Gm</t>
        </is>
      </c>
      <c r="C238" s="129">
        <v>6</v>
      </c>
      <c r="D238" s="129">
        <v>120</v>
      </c>
      <c r="E238" s="130">
        <v>79.12</v>
      </c>
      <c r="F238" s="129">
        <v>3</v>
      </c>
      <c r="G238" s="129">
        <v>54</v>
      </c>
      <c r="H238" s="130">
        <v>39.52</v>
      </c>
      <c r="I238" s="129">
        <v>0</v>
      </c>
      <c r="J238" s="129"/>
      <c r="K238" s="129"/>
      <c r="L238" s="129">
        <v>800</v>
      </c>
      <c r="M238" s="129">
        <v>565</v>
      </c>
      <c r="N238" s="129">
        <v>5</v>
      </c>
      <c r="O238" s="129"/>
      <c r="P238" s="129"/>
      <c r="Q238" s="129"/>
      <c r="R238" s="129"/>
      <c r="S238" s="131" t="inlineStr">
        <is>
          <t xml:space="preserve">Contrato</t>
        </is>
      </c>
    </row>
    <row r="239">
      <c r="A239" s="132">
        <v>46294</v>
      </c>
      <c r="B239" s="133" t="inlineStr">
        <is>
          <t xml:space="preserve">Mondelez</t>
        </is>
      </c>
      <c r="C239" s="134">
        <v>0</v>
      </c>
      <c r="D239" s="134">
        <v>0</v>
      </c>
      <c r="E239" s="135">
        <v>0</v>
      </c>
      <c r="F239" s="134">
        <v>0</v>
      </c>
      <c r="G239" s="134">
        <v>0</v>
      </c>
      <c r="H239" s="135">
        <v>0</v>
      </c>
      <c r="I239" s="134">
        <v>0</v>
      </c>
      <c r="J239" s="134"/>
      <c r="K239" s="134"/>
      <c r="L239" s="134"/>
      <c r="M239" s="134">
        <v>373</v>
      </c>
      <c r="N239" s="134">
        <v>5</v>
      </c>
      <c r="O239" s="134"/>
      <c r="P239" s="134"/>
      <c r="Q239" s="134"/>
      <c r="R239" s="134"/>
      <c r="S239" s="136" t="inlineStr">
        <is>
          <t xml:space="preserve">Spot</t>
        </is>
      </c>
    </row>
    <row r="240">
      <c r="A240" s="127">
        <v>46294</v>
      </c>
      <c r="B240" s="128" t="inlineStr">
        <is>
          <t xml:space="preserve">Nestlé</t>
        </is>
      </c>
      <c r="C240" s="129">
        <v>1</v>
      </c>
      <c r="D240" s="129">
        <v>26</v>
      </c>
      <c r="E240" s="130">
        <v>12.64</v>
      </c>
      <c r="F240" s="129">
        <v>3</v>
      </c>
      <c r="G240" s="129">
        <v>54</v>
      </c>
      <c r="H240" s="130">
        <v>32.94</v>
      </c>
      <c r="I240" s="129">
        <v>0</v>
      </c>
      <c r="J240" s="129"/>
      <c r="K240" s="129"/>
      <c r="L240" s="129">
        <v>1400</v>
      </c>
      <c r="M240" s="129">
        <v>1196</v>
      </c>
      <c r="N240" s="129">
        <v>8</v>
      </c>
      <c r="O240" s="129"/>
      <c r="P240" s="129"/>
      <c r="Q240" s="129"/>
      <c r="R240" s="129"/>
      <c r="S240" s="131" t="inlineStr">
        <is>
          <t xml:space="preserve">Contrato</t>
        </is>
      </c>
    </row>
    <row r="241">
      <c r="A241" s="132">
        <v>46294</v>
      </c>
      <c r="B241" s="133" t="inlineStr">
        <is>
          <t xml:space="preserve">PMB</t>
        </is>
      </c>
      <c r="C241" s="134">
        <v>6</v>
      </c>
      <c r="D241" s="134">
        <v>126</v>
      </c>
      <c r="E241" s="135">
        <v>90.29</v>
      </c>
      <c r="F241" s="134">
        <v>5</v>
      </c>
      <c r="G241" s="134">
        <v>90</v>
      </c>
      <c r="H241" s="135">
        <v>46.27</v>
      </c>
      <c r="I241" s="134">
        <v>0</v>
      </c>
      <c r="J241" s="134"/>
      <c r="K241" s="134"/>
      <c r="L241" s="134"/>
      <c r="M241" s="134">
        <v>221</v>
      </c>
      <c r="N241" s="134">
        <v>3</v>
      </c>
      <c r="O241" s="134"/>
      <c r="P241" s="134"/>
      <c r="Q241" s="134"/>
      <c r="R241" s="134"/>
      <c r="S241" s="136" t="inlineStr">
        <is>
          <t xml:space="preserve">Cross</t>
        </is>
      </c>
    </row>
  </sheetData>
  <mergeCells count="6">
    <mergeCell ref="A1:B1"/>
    <mergeCell ref="C1:E1"/>
    <mergeCell ref="F1:H1"/>
    <mergeCell ref="I1:K1"/>
    <mergeCell ref="L1:M1"/>
    <mergeCell ref="N1:R1"/>
  </mergeCells>
  <conditionalFormatting sqref="A3:B5001">
    <cfRule type="expression" dxfId="0" priority="1" stopIfTrue="1">
      <formula>AND($A3&lt;&gt;"",$B3&lt;&gt;"",COUNTIFS($A$3:$A$5001,$A3,$B$3:$B$5001,$B3)&gt;1)</formula>
    </cfRule>
    <cfRule type="expression" dxfId="2" priority="2">
      <formula>OR(AND($A3&lt;&gt;"",$B3=""),AND($A3="",$B3&lt;&gt;""))</formula>
    </cfRule>
  </conditionalFormatting>
  <conditionalFormatting sqref="M3:M5001">
    <cfRule type="expression" dxfId="2" priority="3">
      <formula>AND(ISNUMBER($L3),ISNUMBER($M3),$M3&gt;$L3)</formula>
    </cfRule>
  </conditionalFormatting>
  <dataValidations count="19">
    <dataValidation type="date" operator="between" allowBlank="1" showInputMessage="1" showErrorMessage="1" errorTitle="Data" error="Digite uma data válida (dd/mm/aaaa)." promptTitle="Data" prompt="Data do registro (dd/mm/aaaa)." sqref="A3:A5001">
      <formula1>DATE(2020,1,1)</formula1>
      <formula2>DATE(2035,12,31)</formula2>
    </dataValidation>
    <dataValidation type="list" allowBlank="1" showInputMessage="1" showErrorMessage="1" errorTitle="Cliente" error="Escolha um cliente da lista." promptTitle="Cliente" prompt="Escolha o cliente na lista." sqref="B3:B5001">
      <formula1>calculos!$AD$13:$AD$17</formula1>
    </dataValidation>
    <dataValidation type="list" allowBlank="1" showInputMessage="1" showErrorMessage="1" errorTitle="Modalidade" error="Escolha Contrato, Spot ou Cross." promptTitle="Modalidade" prompt="Contrato, Spot ou Cross." sqref="S3:S5001">
      <formula1>"Contrato,Spot,Cross"</formula1>
    </dataValidation>
    <dataValidation type="decimal" operator="greaterThanOrEqual" allowBlank="1" showInputMessage="1" showErrorMessage="1" errorTitle="IN Veículos Recebidos" error="Digite um número igual ou maior que zero." promptTitle="IN Veículos Recebidos" prompt="Veículos recebidos no dia." sqref="C3:C5001">
      <formula1>0</formula1>
    </dataValidation>
    <dataValidation type="decimal" operator="greaterThanOrEqual" allowBlank="1" showInputMessage="1" showErrorMessage="1" errorTitle="IN Pallets Movimentados" error="Digite um número igual ou maior que zero." promptTitle="IN Pallets Movimentados" prompt="Pallets recebidos no dia." sqref="D3:D5001">
      <formula1>0</formula1>
    </dataValidation>
    <dataValidation type="decimal" operator="greaterThanOrEqual" allowBlank="1" showInputMessage="1" showErrorMessage="1" errorTitle="IN Toneladas Movimentadas" error="Digite um número igual ou maior que zero." promptTitle="IN Toneladas Movimentadas" prompt="Toneladas recebidas no dia (aceita decimais)." sqref="E3:E5001">
      <formula1>0</formula1>
    </dataValidation>
    <dataValidation type="decimal" operator="greaterThanOrEqual" allowBlank="1" showInputMessage="1" showErrorMessage="1" errorTitle="OUT Veículos Expedidos" error="Digite um número igual ou maior que zero." promptTitle="OUT Veículos Expedidos" prompt="Veículos expedidos no dia." sqref="F3:F5001">
      <formula1>0</formula1>
    </dataValidation>
    <dataValidation type="decimal" operator="greaterThanOrEqual" allowBlank="1" showInputMessage="1" showErrorMessage="1" errorTitle="OUT Pallets Movimentados" error="Digite um número igual ou maior que zero." promptTitle="OUT Pallets Movimentados" prompt="Pallets expedidos no dia." sqref="G3:G5001">
      <formula1>0</formula1>
    </dataValidation>
    <dataValidation type="decimal" operator="greaterThanOrEqual" allowBlank="1" showInputMessage="1" showErrorMessage="1" errorTitle="OUT Toneladas Movimentadas" error="Digite um número igual ou maior que zero." promptTitle="OUT Toneladas Movimentadas" prompt="Toneladas expedidas no dia (aceita decimais)." sqref="H3:H5001">
      <formula1>0</formula1>
    </dataValidation>
    <dataValidation type="decimal" operator="greaterThanOrEqual" allowBlank="1" showInputMessage="1" showErrorMessage="1" errorTitle="NC Incidentes" error="Digite um número igual ou maior que zero." promptTitle="NC Incidentes" prompt="Incidentes no dia." sqref="I3:I5001">
      <formula1>0</formula1>
    </dataValidation>
    <dataValidation type="decimal" operator="greaterThanOrEqual" allowBlank="1" showInputMessage="1" showErrorMessage="1" errorTitle="NC No show" error="Digite um número igual ou maior que zero." promptTitle="NC No show" prompt="No show no dia." sqref="J3:J5001">
      <formula1>0</formula1>
    </dataValidation>
    <dataValidation type="decimal" operator="greaterThanOrEqual" allowBlank="1" showInputMessage="1" showErrorMessage="1" errorTitle="NC Backlog" error="Digite um número igual ou maior que zero." promptTitle="NC Backlog" prompt="Backlog na posição do dia (vale o último do mês)." sqref="K3:K5001">
      <formula1>0</formula1>
    </dataValidation>
    <dataValidation type="decimal" operator="greaterThanOrEqual" allowBlank="1" showInputMessage="1" showErrorMessage="1" errorTitle="Posições Disponíveis" error="Digite um número igual ou maior que zero." promptTitle="Posições Disponíveis" prompt="Posições disponíveis (contrato). Vale o último do mês." sqref="L3:L5001">
      <formula1>0</formula1>
    </dataValidation>
    <dataValidation type="decimal" operator="greaterThanOrEqual" allowBlank="1" showInputMessage="1" showErrorMessage="1" errorTitle="Posições Ocupadas" error="Digite um número igual ou maior que zero." promptTitle="Posições Ocupadas" prompt="Posições ocupadas no dia. Vale o último do mês." sqref="M3:M5001">
      <formula1>0</formula1>
    </dataValidation>
    <dataValidation type="decimal" operator="greaterThanOrEqual" allowBlank="1" showInputMessage="1" showErrorMessage="1" errorTitle="Efetivo Op." error="Digite um número igual ou maior que zero." promptTitle="Efetivo Op." prompt="Efetivo operacional do dia. Vale o último do mês." sqref="N3:N5001">
      <formula1>0</formula1>
    </dataValidation>
    <dataValidation type="decimal" operator="greaterThanOrEqual" allowBlank="1" showInputMessage="1" showErrorMessage="1" errorTitle="Falta" error="Digite um número igual ou maior que zero." promptTitle="Falta" prompt="Faltas no dia." sqref="O3:O5001">
      <formula1>0</formula1>
    </dataValidation>
    <dataValidation type="decimal" operator="greaterThanOrEqual" allowBlank="1" showInputMessage="1" showErrorMessage="1" errorTitle="Folga" error="Digite um número igual ou maior que zero." promptTitle="Folga" prompt="Folgas no dia." sqref="P3:P5001">
      <formula1>0</formula1>
    </dataValidation>
    <dataValidation type="decimal" operator="greaterThanOrEqual" allowBlank="1" showInputMessage="1" showErrorMessage="1" errorTitle="Férias" error="Digite um número igual ou maior que zero." promptTitle="Férias" prompt="Férias no dia." sqref="Q3:Q5001">
      <formula1>0</formula1>
    </dataValidation>
    <dataValidation type="decimal" operator="greaterThanOrEqual" allowBlank="1" showInputMessage="1" showErrorMessage="1" errorTitle="Desligamento" error="Digite um número igual ou maior que zero." promptTitle="Desligamento" prompt="Desligamentos no dia." sqref="R3:R5001">
      <formula1>0</formula1>
    </dataValidation>
  </dataValidations>
  <pageMargins left="0.25" right="0.25" top="0.4" bottom="0.4" header="0.2" footer="0.2"/>
  <pageSetup paperSize="9" orientation="landscape" fitToWidth="1" fitToHeight="0"/>
  <tableParts count="1">
    <tablePart r:id="rIdTb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AH244"/>
  <sheetViews>
    <sheetView showGridLines="0" zoomScale="100" zoomScaleNormal="100" workbookViewId="0">
      <pane xSplit="2" ySplit="11" topLeftCell="C12" activePane="bottomRight" state="frozen"/>
      <selection pane="bottomRight" activeCell="C12" sqref="C12"/>
    </sheetView>
  </sheetViews>
  <sheetFormatPr defaultRowHeight="15"/>
  <cols>
    <col min="1" max="1" width="26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2" customWidth="1"/>
    <col min="28" max="28" width="14" customWidth="1"/>
    <col min="29" max="29" width="2" customWidth="1"/>
    <col min="30" max="30" width="20" customWidth="1"/>
    <col min="31" max="31" width="2" customWidth="1"/>
    <col min="32" max="32" width="52" customWidth="1"/>
    <col min="33" max="33" width="2" customWidth="1"/>
    <col min="34" max="34" width="22" customWidth="1"/>
  </cols>
  <sheetData>
    <row r="1">
      <c r="A1" s="137" t="inlineStr">
        <is>
          <t xml:space="preserve">CÁLCULOS DO QUADRO — base da aba Quadro de Indicadores (mês escolhido no Quadro) (gerado automaticamente; células amarelas podem ser editadas)</t>
        </is>
      </c>
    </row>
    <row r="2">
      <c r="A2" s="138" t="inlineStr">
        <is>
          <t xml:space="preserve">Cliente selecionado</t>
        </is>
      </c>
      <c r="B2" s="138" t="str">
        <f>IF(OR(Indicadores!$D$3="",Indicadores!$D$3="Todos"),"Todos",Indicadores!$D$3)</f>
        <v>Todos</v>
      </c>
    </row>
    <row r="3">
      <c r="A3" s="138" t="inlineStr">
        <is>
          <t xml:space="preserve">Métrica dos gráficos</t>
        </is>
      </c>
      <c r="B3" s="138" t="inlineStr">
        <is>
          <t xml:space="preserve">Veículos</t>
        </is>
      </c>
      <c r="C3" s="139">
        <f>IFERROR(MATCH($B$3,$AB$12:$AB$14,0),1)</f>
        <v>1</v>
      </c>
    </row>
    <row r="4">
      <c r="A4" s="138" t="inlineStr">
        <is>
          <t xml:space="preserve">Capacidade do CD (posições)</t>
        </is>
      </c>
      <c r="B4" s="140">
        <v>5872</v>
      </c>
      <c r="C4" s="120" t="inlineStr">
        <is>
          <t xml:space="preserve">Fonte: informada (meta.capacidadeCD do Power Automate)</t>
        </is>
      </c>
    </row>
    <row r="5">
      <c r="A5" s="138" t="inlineStr">
        <is>
          <t xml:space="preserve">Faixa de atenção (ocupação)</t>
        </is>
      </c>
      <c r="B5" s="141">
        <v>0.7</v>
      </c>
    </row>
    <row r="6">
      <c r="A6" s="138" t="inlineStr">
        <is>
          <t xml:space="preserve">Faixa crítica (ocupação)</t>
        </is>
      </c>
      <c r="B6" s="141">
        <v>0.9</v>
      </c>
    </row>
    <row r="7">
      <c r="A7" s="138" t="inlineStr">
        <is>
          <t xml:space="preserve">Competência</t>
        </is>
      </c>
      <c r="B7" s="142" t="str">
        <f>INDEX({"Janeiro","Fevereiro","Março","Abril","Maio","Junho","Julho","Agosto","Setembro","Outubro","Novembro","Dezembro"},MONTH($C$7))&amp;"/"&amp;YEAR($C$7)</f>
        <v>Setembro/2026</v>
      </c>
      <c r="C7" s="143">
        <f>IF(ISNUMBER('Quadro de Indicadores'!$V$1),DATE(YEAR('Quadro de Indicadores'!$V$1),MONTH('Quadro de Indicadores'!$V$1),1),IFERROR(DATE(VALUE(RIGHT(TRIM('Quadro de Indicadores'!$V$1),4)),MATCH(TRIM(LEFT('Quadro de Indicadores'!$V$1,FIND("·",'Quadro de Indicadores'!$V$1)-1)),{"JANEIRO","FEVEREIRO","MARÇO","ABRIL","MAIO","JUNHO","JULHO","AGOSTO","SETEMBRO","OUTUBRO","NOVEMBRO","DEZEMBRO"},0),1),DATE(2026,9,1)))</f>
        <v>46266</v>
      </c>
      <c r="D7" s="143">
        <f>DATE(YEAR($C$7),MONTH($C$7)+1,0)</f>
        <v>46295</v>
      </c>
    </row>
    <row r="8">
      <c r="A8" s="138" t="inlineStr">
        <is>
          <t xml:space="preserve">Mês anterior (comparação)</t>
        </is>
      </c>
      <c r="B8" s="142" t="str">
        <f>INDEX({"Janeiro","Fevereiro","Março","Abril","Maio","Junho","Julho","Agosto","Setembro","Outubro","Novembro","Dezembro"},MONTH($C$8))&amp;"/"&amp;YEAR($C$8)</f>
        <v>Agosto/2026</v>
      </c>
      <c r="C8" s="143">
        <f>DATE(YEAR($C$7),MONTH($C$7)-1,1)</f>
        <v>46235</v>
      </c>
      <c r="D8" s="143">
        <f>IF($B$9=0,$C$8-1,MIN($C$8+MAX(MIN($B$9,31),1)-1,DATE(YEAR($C$8),MONTH($C$8)+1,0)))</f>
        <v>46263</v>
      </c>
    </row>
    <row r="9">
      <c r="A9" s="138" t="inlineStr">
        <is>
          <t xml:space="preserve">Comparar até o dia</t>
        </is>
      </c>
      <c r="B9" s="144">
        <f>IFERROR(IF(_xlfn.MAXIFS(Base!$A$3:$A$5001,Base!$A$3:$A$5001,"&gt;="&amp;$C$7,Base!$A$3:$A$5001,"&lt;="&amp;$D$7)=0,0,DAY(_xlfn.MAXIFS(Base!$A$3:$A$5001,Base!$A$3:$A$5001,"&gt;="&amp;$C$7,Base!$A$3:$A$5001,"&lt;="&amp;$D$7))),0)</f>
        <v>29</v>
      </c>
      <c r="C9" s="120" t="inlineStr">
        <is>
          <t xml:space="preserve">o mês anterior é somado do dia 1 até este dia (último dia com dado no mês escolhido)</t>
        </is>
      </c>
    </row>
    <row r="11" ht="34" customHeight="1">
      <c r="A11" s="145" t="inlineStr">
        <is>
          <t xml:space="preserve">Dia</t>
        </is>
      </c>
      <c r="B11" s="145" t="inlineStr">
        <is>
          <t xml:space="preserve">Data</t>
        </is>
      </c>
      <c r="C11" s="145" t="inlineStr">
        <is>
          <t xml:space="preserve">IN Veículos Recebidos</t>
        </is>
      </c>
      <c r="D11" s="145" t="inlineStr">
        <is>
          <t xml:space="preserve">IN Pallets Movimentados</t>
        </is>
      </c>
      <c r="E11" s="145" t="inlineStr">
        <is>
          <t xml:space="preserve">IN Toneladas Movimentadas</t>
        </is>
      </c>
      <c r="F11" s="145" t="inlineStr">
        <is>
          <t xml:space="preserve">OUT Veículos Expedidos</t>
        </is>
      </c>
      <c r="G11" s="145" t="inlineStr">
        <is>
          <t xml:space="preserve">OUT Pallets Movimentados</t>
        </is>
      </c>
      <c r="H11" s="145" t="inlineStr">
        <is>
          <t xml:space="preserve">OUT Toneladas Movimentadas</t>
        </is>
      </c>
      <c r="I11" s="145" t="inlineStr">
        <is>
          <t xml:space="preserve">NC Incidentes</t>
        </is>
      </c>
      <c r="J11" s="145" t="inlineStr">
        <is>
          <t xml:space="preserve">NC No show</t>
        </is>
      </c>
      <c r="K11" s="145" t="inlineStr">
        <is>
          <t xml:space="preserve">NC Backlog</t>
        </is>
      </c>
      <c r="L11" s="145" t="inlineStr">
        <is>
          <t xml:space="preserve">OCC Posições Disponíveis</t>
        </is>
      </c>
      <c r="M11" s="145" t="inlineStr">
        <is>
          <t xml:space="preserve">OCC Posições Ocupadas</t>
        </is>
      </c>
      <c r="N11" s="145" t="inlineStr">
        <is>
          <t xml:space="preserve">OCC Taxa de Ocupação</t>
        </is>
      </c>
      <c r="O11" s="145" t="inlineStr">
        <is>
          <t xml:space="preserve">GENTE Efetivo Op.</t>
        </is>
      </c>
      <c r="P11" s="145" t="inlineStr">
        <is>
          <t xml:space="preserve">GENTE Falta</t>
        </is>
      </c>
      <c r="Q11" s="145" t="inlineStr">
        <is>
          <t xml:space="preserve">GENTE Folga</t>
        </is>
      </c>
      <c r="R11" s="145" t="inlineStr">
        <is>
          <t xml:space="preserve">GENTE Férias</t>
        </is>
      </c>
      <c r="S11" s="145" t="inlineStr">
        <is>
          <t xml:space="preserve">GENTE Desligamento</t>
        </is>
      </c>
      <c r="T11" s="145" t="inlineStr">
        <is>
          <t xml:space="preserve">Dia da semana</t>
        </is>
      </c>
      <c r="U11" s="145" t="inlineStr">
        <is>
          <t xml:space="preserve">IN métrica</t>
        </is>
      </c>
      <c r="V11" s="145" t="inlineStr">
        <is>
          <t xml:space="preserve">OUT métrica</t>
        </is>
      </c>
      <c r="W11" s="145" t="inlineStr">
        <is>
          <t xml:space="preserve">Média IN</t>
        </is>
      </c>
      <c r="X11" s="145" t="inlineStr">
        <is>
          <t xml:space="preserve">Média OUT</t>
        </is>
      </c>
      <c r="Y11" s="145" t="inlineStr">
        <is>
          <t xml:space="preserve">Faixa atenção</t>
        </is>
      </c>
      <c r="Z11" s="145" t="inlineStr">
        <is>
          <t xml:space="preserve">Faixa crítica</t>
        </is>
      </c>
      <c r="AB11" s="145" t="inlineStr">
        <is>
          <t xml:space="preserve">Métricas</t>
        </is>
      </c>
      <c r="AD11" s="145" t="inlineStr">
        <is>
          <t xml:space="preserve">Clientes (filtro)</t>
        </is>
      </c>
      <c r="AF11" s="145" t="inlineStr">
        <is>
          <t xml:space="preserve">Títulos dos gráficos (seguem os filtros)</t>
        </is>
      </c>
      <c r="AH11" s="145" t="inlineStr">
        <is>
          <t xml:space="preserve">Meses (filtros das abas)</t>
        </is>
      </c>
    </row>
    <row r="12">
      <c r="A12" s="139">
        <v>1</v>
      </c>
      <c r="B12" s="152">
        <f>IF(ISNUMBER($A12),$C$7+$A12-1,"")</f>
        <v>46266</v>
      </c>
      <c r="C12" s="153">
        <f>IF($B$2="Todos",SUMIFS(Base!$C$3:$C$5001,Base!$A$3:$A$5001,$B12),SUMIFS(Base!$C$3:$C$5001,Base!$A$3:$A$5001,$B12,Base!$B$3:$B$5001,$B$2))</f>
        <v>24</v>
      </c>
      <c r="D12" s="153">
        <f>IF($B$2="Todos",SUMIFS(Base!$D$3:$D$5001,Base!$A$3:$A$5001,$B12),SUMIFS(Base!$D$3:$D$5001,Base!$A$3:$A$5001,$B12,Base!$B$3:$B$5001,$B$2))</f>
        <v>573</v>
      </c>
      <c r="E12" s="154">
        <f>IF($B$2="Todos",SUMIFS(Base!$E$3:$E$5001,Base!$A$3:$A$5001,$B12),SUMIFS(Base!$E$3:$E$5001,Base!$A$3:$A$5001,$B12,Base!$B$3:$B$5001,$B$2))</f>
        <v>426.82</v>
      </c>
      <c r="F12" s="153">
        <f>IF($B$2="Todos",SUMIFS(Base!$F$3:$F$5001,Base!$A$3:$A$5001,$B12),SUMIFS(Base!$F$3:$F$5001,Base!$A$3:$A$5001,$B12,Base!$B$3:$B$5001,$B$2))</f>
        <v>34</v>
      </c>
      <c r="G12" s="153">
        <f>IF($B$2="Todos",SUMIFS(Base!$G$3:$G$5001,Base!$A$3:$A$5001,$B12),SUMIFS(Base!$G$3:$G$5001,Base!$A$3:$A$5001,$B12,Base!$B$3:$B$5001,$B$2))</f>
        <v>612</v>
      </c>
      <c r="H12" s="154">
        <f>IF($B$2="Todos",SUMIFS(Base!$H$3:$H$5001,Base!$A$3:$A$5001,$B12),SUMIFS(Base!$H$3:$H$5001,Base!$A$3:$A$5001,$B12,Base!$B$3:$B$5001,$B$2))</f>
        <v>368.03</v>
      </c>
      <c r="I12" s="153">
        <f>IF($B$2="Todos",SUMIFS(Base!$I$3:$I$5001,Base!$A$3:$A$5001,$B12),SUMIFS(Base!$I$3:$I$5001,Base!$A$3:$A$5001,$B12,Base!$B$3:$B$5001,$B$2))</f>
        <v>1</v>
      </c>
      <c r="J12" s="153">
        <f>IF($B$2="Todos",SUMIFS(Base!$J$3:$J$5001,Base!$A$3:$A$5001,$B12),SUMIFS(Base!$J$3:$J$5001,Base!$A$3:$A$5001,$B12,Base!$B$3:$B$5001,$B$2))</f>
        <v>0</v>
      </c>
      <c r="K12" s="153" t="str">
        <f>IF($B$2="Todos",IF(COUNT($C$109:$G$109)=0,"",SUM($C$109:$G$109)),IFERROR(INDEX($C$109:$G$109,MATCH($B$2,$C$108:$G$108,0)),""))</f>
        <v/>
      </c>
      <c r="L12" s="155">
        <f>IF(M12="","",IF($B$2="Todos",$B$4,IFERROR(INDEX($C$179:$G$179,MATCH($B$2,$C$178:$G$178,0)),"")))</f>
        <v>5872</v>
      </c>
      <c r="M12" s="153">
        <f>IF($B$2="Todos",IF(COUNT($C$144:$G$144)=0,"",SUM($C$144:$G$144)),IFERROR(INDEX($C$144:$G$144,MATCH($B$2,$C$143:$G$143,0)),""))</f>
        <v>3718</v>
      </c>
      <c r="N12" s="156">
        <f>IF(AND(ISNUMBER(M12),ISNUMBER(L12)),IF(L12&gt;0,M12/L12,""),"")</f>
        <v>0.633174386920981</v>
      </c>
      <c r="O12" s="153">
        <f>IF($B$2="Todos",IF(COUNT($C$214:$G$214)=0,"",SUM($C$214:$G$214)),IFERROR(INDEX($C$214:$G$214,MATCH($B$2,$C$213:$G$213,0)),""))</f>
        <v>36</v>
      </c>
      <c r="P12" s="153">
        <f>IF($B$2="Todos",SUMIFS(Base!$O$3:$O$5001,Base!$A$3:$A$5001,$B12),SUMIFS(Base!$O$3:$O$5001,Base!$A$3:$A$5001,$B12,Base!$B$3:$B$5001,$B$2))</f>
        <v>0</v>
      </c>
      <c r="Q12" s="153">
        <f>IF($B$2="Todos",SUMIFS(Base!$P$3:$P$5001,Base!$A$3:$A$5001,$B12),SUMIFS(Base!$P$3:$P$5001,Base!$A$3:$A$5001,$B12,Base!$B$3:$B$5001,$B$2))</f>
        <v>0</v>
      </c>
      <c r="R12" s="153">
        <f>IF($B$2="Todos",SUMIFS(Base!$Q$3:$Q$5001,Base!$A$3:$A$5001,$B12),SUMIFS(Base!$Q$3:$Q$5001,Base!$A$3:$A$5001,$B12,Base!$B$3:$B$5001,$B$2))</f>
        <v>0</v>
      </c>
      <c r="S12" s="153">
        <f>IF($B$2="Todos",SUMIFS(Base!$R$3:$R$5001,Base!$A$3:$A$5001,$B12),SUMIFS(Base!$R$3:$R$5001,Base!$A$3:$A$5001,$B12,Base!$B$3:$B$5001,$B$2))</f>
        <v>0</v>
      </c>
      <c r="T12" s="139">
        <f>IF(ISNUMBER($B12),WEEKDAY($B12,2),"")</f>
        <v>2</v>
      </c>
      <c r="U12" s="157">
        <f>CHOOSE($C$3,C12,D12,E12)</f>
        <v>24</v>
      </c>
      <c r="V12" s="157">
        <f>CHOOSE($C$3,F12,G12,H12)</f>
        <v>34</v>
      </c>
      <c r="W12" s="157">
        <f>IFERROR(AVERAGEIF(U12:U42,"&gt;0"),0)</f>
        <v>17.6153846153846</v>
      </c>
      <c r="X12" s="157">
        <f>IFERROR(AVERAGEIF(V12:V42,"&gt;0"),0)</f>
        <v>25.0714285714286</v>
      </c>
      <c r="Y12" s="158">
        <f>$B$5</f>
        <v>0.7</v>
      </c>
      <c r="Z12" s="158">
        <f>$B$6</f>
        <v>0.9</v>
      </c>
      <c r="AB12" s="159" t="inlineStr">
        <is>
          <t xml:space="preserve">Veículos</t>
        </is>
      </c>
      <c r="AD12" s="159" t="inlineStr">
        <is>
          <t xml:space="preserve">Todos</t>
        </is>
      </c>
      <c r="AF12" s="159" t="str">
        <f>"Recebimento diário · "&amp;LOWER($B$3)&amp;" — "&amp;IF($B$2="Todos","todos os clientes",$B$2)</f>
        <v>Recebimento diário · veículos — todos os clientes</v>
      </c>
      <c r="AH12" s="159" t="inlineStr">
        <is>
          <t xml:space="preserve">JANEIRO · 2026</t>
        </is>
      </c>
    </row>
    <row r="13">
      <c r="A13" s="139">
        <v>2</v>
      </c>
      <c r="B13" s="152">
        <f>IF(ISNUMBER($A13),$C$7+$A13-1,"")</f>
        <v>46267</v>
      </c>
      <c r="C13" s="153">
        <f>IF($B$2="Todos",SUMIFS(Base!$C$3:$C$5001,Base!$A$3:$A$5001,$B13),SUMIFS(Base!$C$3:$C$5001,Base!$A$3:$A$5001,$B13,Base!$B$3:$B$5001,$B$2))</f>
        <v>15</v>
      </c>
      <c r="D13" s="153">
        <f>IF($B$2="Todos",SUMIFS(Base!$D$3:$D$5001,Base!$A$3:$A$5001,$B13),SUMIFS(Base!$D$3:$D$5001,Base!$A$3:$A$5001,$B13,Base!$B$3:$B$5001,$B$2))</f>
        <v>356</v>
      </c>
      <c r="E13" s="154">
        <f>IF($B$2="Todos",SUMIFS(Base!$E$3:$E$5001,Base!$A$3:$A$5001,$B13),SUMIFS(Base!$E$3:$E$5001,Base!$A$3:$A$5001,$B13,Base!$B$3:$B$5001,$B$2))</f>
        <v>242.51</v>
      </c>
      <c r="F13" s="153">
        <f>IF($B$2="Todos",SUMIFS(Base!$F$3:$F$5001,Base!$A$3:$A$5001,$B13),SUMIFS(Base!$F$3:$F$5001,Base!$A$3:$A$5001,$B13,Base!$B$3:$B$5001,$B$2))</f>
        <v>30</v>
      </c>
      <c r="G13" s="153">
        <f>IF($B$2="Todos",SUMIFS(Base!$G$3:$G$5001,Base!$A$3:$A$5001,$B13),SUMIFS(Base!$G$3:$G$5001,Base!$A$3:$A$5001,$B13,Base!$B$3:$B$5001,$B$2))</f>
        <v>540</v>
      </c>
      <c r="H13" s="154">
        <f>IF($B$2="Todos",SUMIFS(Base!$H$3:$H$5001,Base!$A$3:$A$5001,$B13),SUMIFS(Base!$H$3:$H$5001,Base!$A$3:$A$5001,$B13,Base!$B$3:$B$5001,$B$2))</f>
        <v>358.12</v>
      </c>
      <c r="I13" s="153">
        <f>IF($B$2="Todos",SUMIFS(Base!$I$3:$I$5001,Base!$A$3:$A$5001,$B13),SUMIFS(Base!$I$3:$I$5001,Base!$A$3:$A$5001,$B13,Base!$B$3:$B$5001,$B$2))</f>
        <v>0</v>
      </c>
      <c r="J13" s="153">
        <f>IF($B$2="Todos",SUMIFS(Base!$J$3:$J$5001,Base!$A$3:$A$5001,$B13),SUMIFS(Base!$J$3:$J$5001,Base!$A$3:$A$5001,$B13,Base!$B$3:$B$5001,$B$2))</f>
        <v>0</v>
      </c>
      <c r="K13" s="153" t="str">
        <f>IF($B$2="Todos",IF(COUNT($C$110:$G$110)=0,"",SUM($C$110:$G$110)),IFERROR(INDEX($C$110:$G$110,MATCH($B$2,$C$108:$G$108,0)),""))</f>
        <v/>
      </c>
      <c r="L13" s="155">
        <f>IF(M13="","",IF($B$2="Todos",$B$4,IFERROR(INDEX($C$180:$G$180,MATCH($B$2,$C$178:$G$178,0)),"")))</f>
        <v>5872</v>
      </c>
      <c r="M13" s="153">
        <f>IF($B$2="Todos",IF(COUNT($C$145:$G$145)=0,"",SUM($C$145:$G$145)),IFERROR(INDEX($C$145:$G$145,MATCH($B$2,$C$143:$G$143,0)),""))</f>
        <v>3233</v>
      </c>
      <c r="N13" s="156">
        <f>IF(AND(ISNUMBER(M13),ISNUMBER(L13)),IF(L13&gt;0,M13/L13,""),"")</f>
        <v>0.550579019073569</v>
      </c>
      <c r="O13" s="153">
        <f>IF($B$2="Todos",IF(COUNT($C$215:$G$215)=0,"",SUM($C$215:$G$215)),IFERROR(INDEX($C$215:$G$215,MATCH($B$2,$C$213:$G$213,0)),""))</f>
        <v>36</v>
      </c>
      <c r="P13" s="153">
        <f>IF($B$2="Todos",SUMIFS(Base!$O$3:$O$5001,Base!$A$3:$A$5001,$B13),SUMIFS(Base!$O$3:$O$5001,Base!$A$3:$A$5001,$B13,Base!$B$3:$B$5001,$B$2))</f>
        <v>0</v>
      </c>
      <c r="Q13" s="153">
        <f>IF($B$2="Todos",SUMIFS(Base!$P$3:$P$5001,Base!$A$3:$A$5001,$B13),SUMIFS(Base!$P$3:$P$5001,Base!$A$3:$A$5001,$B13,Base!$B$3:$B$5001,$B$2))</f>
        <v>0</v>
      </c>
      <c r="R13" s="153">
        <f>IF($B$2="Todos",SUMIFS(Base!$Q$3:$Q$5001,Base!$A$3:$A$5001,$B13),SUMIFS(Base!$Q$3:$Q$5001,Base!$A$3:$A$5001,$B13,Base!$B$3:$B$5001,$B$2))</f>
        <v>0</v>
      </c>
      <c r="S13" s="153">
        <f>IF($B$2="Todos",SUMIFS(Base!$R$3:$R$5001,Base!$A$3:$A$5001,$B13),SUMIFS(Base!$R$3:$R$5001,Base!$A$3:$A$5001,$B13,Base!$B$3:$B$5001,$B$2))</f>
        <v>0</v>
      </c>
      <c r="T13" s="139">
        <f>IF(ISNUMBER($B13),WEEKDAY($B13,2),"")</f>
        <v>3</v>
      </c>
      <c r="U13" s="157">
        <f>CHOOSE($C$3,C13,D13,E13)</f>
        <v>15</v>
      </c>
      <c r="V13" s="157">
        <f>CHOOSE($C$3,F13,G13,H13)</f>
        <v>30</v>
      </c>
      <c r="W13" s="157">
        <f>IFERROR(AVERAGEIF(U12:U42,"&gt;0"),0)</f>
        <v>17.6153846153846</v>
      </c>
      <c r="X13" s="157">
        <f>IFERROR(AVERAGEIF(V12:V42,"&gt;0"),0)</f>
        <v>25.0714285714286</v>
      </c>
      <c r="Y13" s="158">
        <f>$B$5</f>
        <v>0.7</v>
      </c>
      <c r="Z13" s="158">
        <f>$B$6</f>
        <v>0.9</v>
      </c>
      <c r="AB13" s="159" t="inlineStr">
        <is>
          <t xml:space="preserve">Pallets</t>
        </is>
      </c>
      <c r="AD13" s="159" t="inlineStr">
        <is>
          <t xml:space="preserve">Barry Callebaut</t>
        </is>
      </c>
      <c r="AF13" s="159" t="str">
        <f>"Expedição diária · "&amp;LOWER($B$3)&amp;" — "&amp;IF($B$2="Todos","todos os clientes",$B$2)</f>
        <v>Expedição diária · veículos — todos os clientes</v>
      </c>
      <c r="AH13" s="159" t="inlineStr">
        <is>
          <t xml:space="preserve">FEVEREIRO · 2026</t>
        </is>
      </c>
    </row>
    <row r="14">
      <c r="A14" s="139">
        <v>3</v>
      </c>
      <c r="B14" s="152">
        <f>IF(ISNUMBER($A14),$C$7+$A14-1,"")</f>
        <v>46268</v>
      </c>
      <c r="C14" s="153">
        <f>IF($B$2="Todos",SUMIFS(Base!$C$3:$C$5001,Base!$A$3:$A$5001,$B14),SUMIFS(Base!$C$3:$C$5001,Base!$A$3:$A$5001,$B14,Base!$B$3:$B$5001,$B$2))</f>
        <v>25</v>
      </c>
      <c r="D14" s="153">
        <f>IF($B$2="Todos",SUMIFS(Base!$D$3:$D$5001,Base!$A$3:$A$5001,$B14),SUMIFS(Base!$D$3:$D$5001,Base!$A$3:$A$5001,$B14,Base!$B$3:$B$5001,$B$2))</f>
        <v>572</v>
      </c>
      <c r="E14" s="154">
        <f>IF($B$2="Todos",SUMIFS(Base!$E$3:$E$5001,Base!$A$3:$A$5001,$B14),SUMIFS(Base!$E$3:$E$5001,Base!$A$3:$A$5001,$B14,Base!$B$3:$B$5001,$B$2))</f>
        <v>501.26</v>
      </c>
      <c r="F14" s="153">
        <f>IF($B$2="Todos",SUMIFS(Base!$F$3:$F$5001,Base!$A$3:$A$5001,$B14),SUMIFS(Base!$F$3:$F$5001,Base!$A$3:$A$5001,$B14,Base!$B$3:$B$5001,$B$2))</f>
        <v>33</v>
      </c>
      <c r="G14" s="153">
        <f>IF($B$2="Todos",SUMIFS(Base!$G$3:$G$5001,Base!$A$3:$A$5001,$B14),SUMIFS(Base!$G$3:$G$5001,Base!$A$3:$A$5001,$B14,Base!$B$3:$B$5001,$B$2))</f>
        <v>594</v>
      </c>
      <c r="H14" s="154">
        <f>IF($B$2="Todos",SUMIFS(Base!$H$3:$H$5001,Base!$A$3:$A$5001,$B14),SUMIFS(Base!$H$3:$H$5001,Base!$A$3:$A$5001,$B14,Base!$B$3:$B$5001,$B$2))</f>
        <v>352.11</v>
      </c>
      <c r="I14" s="153">
        <f>IF($B$2="Todos",SUMIFS(Base!$I$3:$I$5001,Base!$A$3:$A$5001,$B14),SUMIFS(Base!$I$3:$I$5001,Base!$A$3:$A$5001,$B14,Base!$B$3:$B$5001,$B$2))</f>
        <v>0</v>
      </c>
      <c r="J14" s="153">
        <f>IF($B$2="Todos",SUMIFS(Base!$J$3:$J$5001,Base!$A$3:$A$5001,$B14),SUMIFS(Base!$J$3:$J$5001,Base!$A$3:$A$5001,$B14,Base!$B$3:$B$5001,$B$2))</f>
        <v>0</v>
      </c>
      <c r="K14" s="153" t="str">
        <f>IF($B$2="Todos",IF(COUNT($C$111:$G$111)=0,"",SUM($C$111:$G$111)),IFERROR(INDEX($C$111:$G$111,MATCH($B$2,$C$108:$G$108,0)),""))</f>
        <v/>
      </c>
      <c r="L14" s="155">
        <f>IF(M14="","",IF($B$2="Todos",$B$4,IFERROR(INDEX($C$181:$G$181,MATCH($B$2,$C$178:$G$178,0)),"")))</f>
        <v>5872</v>
      </c>
      <c r="M14" s="153">
        <f>IF($B$2="Todos",IF(COUNT($C$146:$G$146)=0,"",SUM($C$146:$G$146)),IFERROR(INDEX($C$146:$G$146,MATCH($B$2,$C$143:$G$143,0)),""))</f>
        <v>3968</v>
      </c>
      <c r="N14" s="156">
        <f>IF(AND(ISNUMBER(M14),ISNUMBER(L14)),IF(L14&gt;0,M14/L14,""),"")</f>
        <v>0.67574931880109</v>
      </c>
      <c r="O14" s="153">
        <f>IF($B$2="Todos",IF(COUNT($C$216:$G$216)=0,"",SUM($C$216:$G$216)),IFERROR(INDEX($C$216:$G$216,MATCH($B$2,$C$213:$G$213,0)),""))</f>
        <v>35</v>
      </c>
      <c r="P14" s="153">
        <f>IF($B$2="Todos",SUMIFS(Base!$O$3:$O$5001,Base!$A$3:$A$5001,$B14),SUMIFS(Base!$O$3:$O$5001,Base!$A$3:$A$5001,$B14,Base!$B$3:$B$5001,$B$2))</f>
        <v>0</v>
      </c>
      <c r="Q14" s="153">
        <f>IF($B$2="Todos",SUMIFS(Base!$P$3:$P$5001,Base!$A$3:$A$5001,$B14),SUMIFS(Base!$P$3:$P$5001,Base!$A$3:$A$5001,$B14,Base!$B$3:$B$5001,$B$2))</f>
        <v>0</v>
      </c>
      <c r="R14" s="153">
        <f>IF($B$2="Todos",SUMIFS(Base!$Q$3:$Q$5001,Base!$A$3:$A$5001,$B14),SUMIFS(Base!$Q$3:$Q$5001,Base!$A$3:$A$5001,$B14,Base!$B$3:$B$5001,$B$2))</f>
        <v>0</v>
      </c>
      <c r="S14" s="153">
        <f>IF($B$2="Todos",SUMIFS(Base!$R$3:$R$5001,Base!$A$3:$A$5001,$B14),SUMIFS(Base!$R$3:$R$5001,Base!$A$3:$A$5001,$B14,Base!$B$3:$B$5001,$B$2))</f>
        <v>0</v>
      </c>
      <c r="T14" s="139">
        <f>IF(ISNUMBER($B14),WEEKDAY($B14,2),"")</f>
        <v>4</v>
      </c>
      <c r="U14" s="157">
        <f>CHOOSE($C$3,C14,D14,E14)</f>
        <v>25</v>
      </c>
      <c r="V14" s="157">
        <f>CHOOSE($C$3,F14,G14,H14)</f>
        <v>33</v>
      </c>
      <c r="W14" s="157">
        <f>IFERROR(AVERAGEIF(U12:U42,"&gt;0"),0)</f>
        <v>17.6153846153846</v>
      </c>
      <c r="X14" s="157">
        <f>IFERROR(AVERAGEIF(V12:V42,"&gt;0"),0)</f>
        <v>25.0714285714286</v>
      </c>
      <c r="Y14" s="158">
        <f>$B$5</f>
        <v>0.7</v>
      </c>
      <c r="Z14" s="158">
        <f>$B$6</f>
        <v>0.9</v>
      </c>
      <c r="AB14" s="159" t="inlineStr">
        <is>
          <t xml:space="preserve">Toneladas</t>
        </is>
      </c>
      <c r="AD14" s="159" t="inlineStr">
        <is>
          <t xml:space="preserve">Gm</t>
        </is>
      </c>
      <c r="AF14" s="159" t="str">
        <f>"NC diário · incidentes, no show e backlog — "&amp;IF($B$2="Todos","todos os clientes",$B$2)</f>
        <v>NC diário · incidentes, no show e backlog — todos os clientes</v>
      </c>
      <c r="AH14" s="159" t="inlineStr">
        <is>
          <t xml:space="preserve">MARÇO · 2026</t>
        </is>
      </c>
    </row>
    <row r="15">
      <c r="A15" s="139">
        <v>4</v>
      </c>
      <c r="B15" s="152">
        <f>IF(ISNUMBER($A15),$C$7+$A15-1,"")</f>
        <v>46269</v>
      </c>
      <c r="C15" s="153">
        <f>IF($B$2="Todos",SUMIFS(Base!$C$3:$C$5001,Base!$A$3:$A$5001,$B15),SUMIFS(Base!$C$3:$C$5001,Base!$A$3:$A$5001,$B15,Base!$B$3:$B$5001,$B$2))</f>
        <v>20</v>
      </c>
      <c r="D15" s="153">
        <f>IF($B$2="Todos",SUMIFS(Base!$D$3:$D$5001,Base!$A$3:$A$5001,$B15),SUMIFS(Base!$D$3:$D$5001,Base!$A$3:$A$5001,$B15,Base!$B$3:$B$5001,$B$2))</f>
        <v>490</v>
      </c>
      <c r="E15" s="154">
        <f>IF($B$2="Todos",SUMIFS(Base!$E$3:$E$5001,Base!$A$3:$A$5001,$B15),SUMIFS(Base!$E$3:$E$5001,Base!$A$3:$A$5001,$B15,Base!$B$3:$B$5001,$B$2))</f>
        <v>279.97</v>
      </c>
      <c r="F15" s="153">
        <f>IF($B$2="Todos",SUMIFS(Base!$F$3:$F$5001,Base!$A$3:$A$5001,$B15),SUMIFS(Base!$F$3:$F$5001,Base!$A$3:$A$5001,$B15,Base!$B$3:$B$5001,$B$2))</f>
        <v>36</v>
      </c>
      <c r="G15" s="153">
        <f>IF($B$2="Todos",SUMIFS(Base!$G$3:$G$5001,Base!$A$3:$A$5001,$B15),SUMIFS(Base!$G$3:$G$5001,Base!$A$3:$A$5001,$B15,Base!$B$3:$B$5001,$B$2))</f>
        <v>648</v>
      </c>
      <c r="H15" s="154">
        <f>IF($B$2="Todos",SUMIFS(Base!$H$3:$H$5001,Base!$A$3:$A$5001,$B15),SUMIFS(Base!$H$3:$H$5001,Base!$A$3:$A$5001,$B15,Base!$B$3:$B$5001,$B$2))</f>
        <v>507.85</v>
      </c>
      <c r="I15" s="153">
        <f>IF($B$2="Todos",SUMIFS(Base!$I$3:$I$5001,Base!$A$3:$A$5001,$B15),SUMIFS(Base!$I$3:$I$5001,Base!$A$3:$A$5001,$B15,Base!$B$3:$B$5001,$B$2))</f>
        <v>1</v>
      </c>
      <c r="J15" s="153">
        <f>IF($B$2="Todos",SUMIFS(Base!$J$3:$J$5001,Base!$A$3:$A$5001,$B15),SUMIFS(Base!$J$3:$J$5001,Base!$A$3:$A$5001,$B15,Base!$B$3:$B$5001,$B$2))</f>
        <v>0</v>
      </c>
      <c r="K15" s="153" t="str">
        <f>IF($B$2="Todos",IF(COUNT($C$112:$G$112)=0,"",SUM($C$112:$G$112)),IFERROR(INDEX($C$112:$G$112,MATCH($B$2,$C$108:$G$108,0)),""))</f>
        <v/>
      </c>
      <c r="L15" s="155">
        <f>IF(M15="","",IF($B$2="Todos",$B$4,IFERROR(INDEX($C$182:$G$182,MATCH($B$2,$C$178:$G$178,0)),"")))</f>
        <v>5872</v>
      </c>
      <c r="M15" s="153">
        <f>IF($B$2="Todos",IF(COUNT($C$147:$G$147)=0,"",SUM($C$147:$G$147)),IFERROR(INDEX($C$147:$G$147,MATCH($B$2,$C$143:$G$143,0)),""))</f>
        <v>3082</v>
      </c>
      <c r="N15" s="156">
        <f>IF(AND(ISNUMBER(M15),ISNUMBER(L15)),IF(L15&gt;0,M15/L15,""),"")</f>
        <v>0.524863760217984</v>
      </c>
      <c r="O15" s="153">
        <f>IF($B$2="Todos",IF(COUNT($C$217:$G$217)=0,"",SUM($C$217:$G$217)),IFERROR(INDEX($C$217:$G$217,MATCH($B$2,$C$213:$G$213,0)),""))</f>
        <v>28</v>
      </c>
      <c r="P15" s="153">
        <f>IF($B$2="Todos",SUMIFS(Base!$O$3:$O$5001,Base!$A$3:$A$5001,$B15),SUMIFS(Base!$O$3:$O$5001,Base!$A$3:$A$5001,$B15,Base!$B$3:$B$5001,$B$2))</f>
        <v>0</v>
      </c>
      <c r="Q15" s="153">
        <f>IF($B$2="Todos",SUMIFS(Base!$P$3:$P$5001,Base!$A$3:$A$5001,$B15),SUMIFS(Base!$P$3:$P$5001,Base!$A$3:$A$5001,$B15,Base!$B$3:$B$5001,$B$2))</f>
        <v>0</v>
      </c>
      <c r="R15" s="153">
        <f>IF($B$2="Todos",SUMIFS(Base!$Q$3:$Q$5001,Base!$A$3:$A$5001,$B15),SUMIFS(Base!$Q$3:$Q$5001,Base!$A$3:$A$5001,$B15,Base!$B$3:$B$5001,$B$2))</f>
        <v>0</v>
      </c>
      <c r="S15" s="153">
        <f>IF($B$2="Todos",SUMIFS(Base!$R$3:$R$5001,Base!$A$3:$A$5001,$B15),SUMIFS(Base!$R$3:$R$5001,Base!$A$3:$A$5001,$B15,Base!$B$3:$B$5001,$B$2))</f>
        <v>0</v>
      </c>
      <c r="T15" s="139">
        <f>IF(ISNUMBER($B15),WEEKDAY($B15,2),"")</f>
        <v>5</v>
      </c>
      <c r="U15" s="157">
        <f>CHOOSE($C$3,C15,D15,E15)</f>
        <v>20</v>
      </c>
      <c r="V15" s="157">
        <f>CHOOSE($C$3,F15,G15,H15)</f>
        <v>36</v>
      </c>
      <c r="W15" s="157">
        <f>IFERROR(AVERAGEIF(U12:U42,"&gt;0"),0)</f>
        <v>17.6153846153846</v>
      </c>
      <c r="X15" s="157">
        <f>IFERROR(AVERAGEIF(V12:V42,"&gt;0"),0)</f>
        <v>25.0714285714286</v>
      </c>
      <c r="Y15" s="158">
        <f>$B$5</f>
        <v>0.7</v>
      </c>
      <c r="Z15" s="158">
        <f>$B$6</f>
        <v>0.9</v>
      </c>
      <c r="AD15" s="159" t="inlineStr">
        <is>
          <t xml:space="preserve">Mondelez</t>
        </is>
      </c>
      <c r="AF15" s="159" t="str">
        <f>"Gente diário · efetivo, falta, folga, férias e desligamento — "&amp;IF($B$2="Todos","todos os clientes",$B$2)</f>
        <v>Gente diário · efetivo, falta, folga, férias e desligamento — todos os clientes</v>
      </c>
      <c r="AH15" s="159" t="inlineStr">
        <is>
          <t xml:space="preserve">ABRIL · 2026</t>
        </is>
      </c>
    </row>
    <row r="16">
      <c r="A16" s="139">
        <v>5</v>
      </c>
      <c r="B16" s="152">
        <f>IF(ISNUMBER($A16),$C$7+$A16-1,"")</f>
        <v>46270</v>
      </c>
      <c r="C16" s="153">
        <f>IF($B$2="Todos",SUMIFS(Base!$C$3:$C$5001,Base!$A$3:$A$5001,$B16),SUMIFS(Base!$C$3:$C$5001,Base!$A$3:$A$5001,$B16,Base!$B$3:$B$5001,$B$2))</f>
        <v>3</v>
      </c>
      <c r="D16" s="153">
        <f>IF($B$2="Todos",SUMIFS(Base!$D$3:$D$5001,Base!$A$3:$A$5001,$B16),SUMIFS(Base!$D$3:$D$5001,Base!$A$3:$A$5001,$B16,Base!$B$3:$B$5001,$B$2))</f>
        <v>80</v>
      </c>
      <c r="E16" s="154">
        <f>IF($B$2="Todos",SUMIFS(Base!$E$3:$E$5001,Base!$A$3:$A$5001,$B16),SUMIFS(Base!$E$3:$E$5001,Base!$A$3:$A$5001,$B16,Base!$B$3:$B$5001,$B$2))</f>
        <v>42.41</v>
      </c>
      <c r="F16" s="153">
        <f>IF($B$2="Todos",SUMIFS(Base!$F$3:$F$5001,Base!$A$3:$A$5001,$B16),SUMIFS(Base!$F$3:$F$5001,Base!$A$3:$A$5001,$B16,Base!$B$3:$B$5001,$B$2))</f>
        <v>18</v>
      </c>
      <c r="G16" s="153">
        <f>IF($B$2="Todos",SUMIFS(Base!$G$3:$G$5001,Base!$A$3:$A$5001,$B16),SUMIFS(Base!$G$3:$G$5001,Base!$A$3:$A$5001,$B16,Base!$B$3:$B$5001,$B$2))</f>
        <v>324</v>
      </c>
      <c r="H16" s="154">
        <f>IF($B$2="Todos",SUMIFS(Base!$H$3:$H$5001,Base!$A$3:$A$5001,$B16),SUMIFS(Base!$H$3:$H$5001,Base!$A$3:$A$5001,$B16,Base!$B$3:$B$5001,$B$2))</f>
        <v>277.76</v>
      </c>
      <c r="I16" s="153">
        <f>IF($B$2="Todos",SUMIFS(Base!$I$3:$I$5001,Base!$A$3:$A$5001,$B16),SUMIFS(Base!$I$3:$I$5001,Base!$A$3:$A$5001,$B16,Base!$B$3:$B$5001,$B$2))</f>
        <v>1</v>
      </c>
      <c r="J16" s="153">
        <f>IF($B$2="Todos",SUMIFS(Base!$J$3:$J$5001,Base!$A$3:$A$5001,$B16),SUMIFS(Base!$J$3:$J$5001,Base!$A$3:$A$5001,$B16,Base!$B$3:$B$5001,$B$2))</f>
        <v>0</v>
      </c>
      <c r="K16" s="153" t="str">
        <f>IF($B$2="Todos",IF(COUNT($C$113:$G$113)=0,"",SUM($C$113:$G$113)),IFERROR(INDEX($C$113:$G$113,MATCH($B$2,$C$108:$G$108,0)),""))</f>
        <v/>
      </c>
      <c r="L16" s="155">
        <f>IF(M16="","",IF($B$2="Todos",$B$4,IFERROR(INDEX($C$183:$G$183,MATCH($B$2,$C$178:$G$178,0)),"")))</f>
        <v>5872</v>
      </c>
      <c r="M16" s="153">
        <f>IF($B$2="Todos",IF(COUNT($C$148:$G$148)=0,"",SUM($C$148:$G$148)),IFERROR(INDEX($C$148:$G$148,MATCH($B$2,$C$143:$G$143,0)),""))</f>
        <v>3266</v>
      </c>
      <c r="N16" s="156">
        <f>IF(AND(ISNUMBER(M16),ISNUMBER(L16)),IF(L16&gt;0,M16/L16,""),"")</f>
        <v>0.556198910081744</v>
      </c>
      <c r="O16" s="153">
        <f>IF($B$2="Todos",IF(COUNT($C$218:$G$218)=0,"",SUM($C$218:$G$218)),IFERROR(INDEX($C$218:$G$218,MATCH($B$2,$C$213:$G$213,0)),""))</f>
        <v>20</v>
      </c>
      <c r="P16" s="153">
        <f>IF($B$2="Todos",SUMIFS(Base!$O$3:$O$5001,Base!$A$3:$A$5001,$B16),SUMIFS(Base!$O$3:$O$5001,Base!$A$3:$A$5001,$B16,Base!$B$3:$B$5001,$B$2))</f>
        <v>0</v>
      </c>
      <c r="Q16" s="153">
        <f>IF($B$2="Todos",SUMIFS(Base!$P$3:$P$5001,Base!$A$3:$A$5001,$B16),SUMIFS(Base!$P$3:$P$5001,Base!$A$3:$A$5001,$B16,Base!$B$3:$B$5001,$B$2))</f>
        <v>0</v>
      </c>
      <c r="R16" s="153">
        <f>IF($B$2="Todos",SUMIFS(Base!$Q$3:$Q$5001,Base!$A$3:$A$5001,$B16),SUMIFS(Base!$Q$3:$Q$5001,Base!$A$3:$A$5001,$B16,Base!$B$3:$B$5001,$B$2))</f>
        <v>0</v>
      </c>
      <c r="S16" s="153">
        <f>IF($B$2="Todos",SUMIFS(Base!$R$3:$R$5001,Base!$A$3:$A$5001,$B16),SUMIFS(Base!$R$3:$R$5001,Base!$A$3:$A$5001,$B16,Base!$B$3:$B$5001,$B$2))</f>
        <v>0</v>
      </c>
      <c r="T16" s="139">
        <f>IF(ISNUMBER($B16),WEEKDAY($B16,2),"")</f>
        <v>6</v>
      </c>
      <c r="U16" s="157">
        <f>CHOOSE($C$3,C16,D16,E16)</f>
        <v>3</v>
      </c>
      <c r="V16" s="157">
        <f>CHOOSE($C$3,F16,G16,H16)</f>
        <v>18</v>
      </c>
      <c r="W16" s="157">
        <f>IFERROR(AVERAGEIF(U12:U42,"&gt;0"),0)</f>
        <v>17.6153846153846</v>
      </c>
      <c r="X16" s="157">
        <f>IFERROR(AVERAGEIF(V12:V42,"&gt;0"),0)</f>
        <v>25.0714285714286</v>
      </c>
      <c r="Y16" s="158">
        <f>$B$5</f>
        <v>0.7</v>
      </c>
      <c r="Z16" s="158">
        <f>$B$6</f>
        <v>0.9</v>
      </c>
      <c r="AD16" s="159" t="inlineStr">
        <is>
          <t xml:space="preserve">Nestlé</t>
        </is>
      </c>
      <c r="AF16" s="159" t="str">
        <f>"Posições ocupadas x disponíveis — "&amp;IF($B$2="Todos","todos os clientes",$B$2)</f>
        <v>Posições ocupadas x disponíveis — todos os clientes</v>
      </c>
      <c r="AH16" s="159" t="inlineStr">
        <is>
          <t xml:space="preserve">MAIO · 2026</t>
        </is>
      </c>
    </row>
    <row r="17">
      <c r="A17" s="139">
        <v>6</v>
      </c>
      <c r="B17" s="152">
        <f>IF(ISNUMBER($A17),$C$7+$A17-1,"")</f>
        <v>46271</v>
      </c>
      <c r="C17" s="153">
        <f>IF($B$2="Todos",SUMIFS(Base!$C$3:$C$5001,Base!$A$3:$A$5001,$B17),SUMIFS(Base!$C$3:$C$5001,Base!$A$3:$A$5001,$B17,Base!$B$3:$B$5001,$B$2))</f>
        <v>4</v>
      </c>
      <c r="D17" s="153">
        <f>IF($B$2="Todos",SUMIFS(Base!$D$3:$D$5001,Base!$A$3:$A$5001,$B17),SUMIFS(Base!$D$3:$D$5001,Base!$A$3:$A$5001,$B17,Base!$B$3:$B$5001,$B$2))</f>
        <v>100</v>
      </c>
      <c r="E17" s="154">
        <f>IF($B$2="Todos",SUMIFS(Base!$E$3:$E$5001,Base!$A$3:$A$5001,$B17),SUMIFS(Base!$E$3:$E$5001,Base!$A$3:$A$5001,$B17,Base!$B$3:$B$5001,$B$2))</f>
        <v>74.36</v>
      </c>
      <c r="F17" s="153">
        <f>IF($B$2="Todos",SUMIFS(Base!$F$3:$F$5001,Base!$A$3:$A$5001,$B17),SUMIFS(Base!$F$3:$F$5001,Base!$A$3:$A$5001,$B17,Base!$B$3:$B$5001,$B$2))</f>
        <v>17</v>
      </c>
      <c r="G17" s="153">
        <f>IF($B$2="Todos",SUMIFS(Base!$G$3:$G$5001,Base!$A$3:$A$5001,$B17),SUMIFS(Base!$G$3:$G$5001,Base!$A$3:$A$5001,$B17,Base!$B$3:$B$5001,$B$2))</f>
        <v>306</v>
      </c>
      <c r="H17" s="154">
        <f>IF($B$2="Todos",SUMIFS(Base!$H$3:$H$5001,Base!$A$3:$A$5001,$B17),SUMIFS(Base!$H$3:$H$5001,Base!$A$3:$A$5001,$B17,Base!$B$3:$B$5001,$B$2))</f>
        <v>197.72</v>
      </c>
      <c r="I17" s="153">
        <f>IF($B$2="Todos",SUMIFS(Base!$I$3:$I$5001,Base!$A$3:$A$5001,$B17),SUMIFS(Base!$I$3:$I$5001,Base!$A$3:$A$5001,$B17,Base!$B$3:$B$5001,$B$2))</f>
        <v>0</v>
      </c>
      <c r="J17" s="153">
        <f>IF($B$2="Todos",SUMIFS(Base!$J$3:$J$5001,Base!$A$3:$A$5001,$B17),SUMIFS(Base!$J$3:$J$5001,Base!$A$3:$A$5001,$B17,Base!$B$3:$B$5001,$B$2))</f>
        <v>0</v>
      </c>
      <c r="K17" s="153" t="str">
        <f>IF($B$2="Todos",IF(COUNT($C$114:$G$114)=0,"",SUM($C$114:$G$114)),IFERROR(INDEX($C$114:$G$114,MATCH($B$2,$C$108:$G$108,0)),""))</f>
        <v/>
      </c>
      <c r="L17" s="155">
        <f>IF(M17="","",IF($B$2="Todos",$B$4,IFERROR(INDEX($C$184:$G$184,MATCH($B$2,$C$178:$G$178,0)),"")))</f>
        <v>5872</v>
      </c>
      <c r="M17" s="153">
        <f>IF($B$2="Todos",IF(COUNT($C$149:$G$149)=0,"",SUM($C$149:$G$149)),IFERROR(INDEX($C$149:$G$149,MATCH($B$2,$C$143:$G$143,0)),""))</f>
        <v>3456</v>
      </c>
      <c r="N17" s="156">
        <f>IF(AND(ISNUMBER(M17),ISNUMBER(L17)),IF(L17&gt;0,M17/L17,""),"")</f>
        <v>0.588555858310627</v>
      </c>
      <c r="O17" s="153">
        <f>IF($B$2="Todos",IF(COUNT($C$219:$G$219)=0,"",SUM($C$219:$G$219)),IFERROR(INDEX($C$219:$G$219,MATCH($B$2,$C$213:$G$213,0)),""))</f>
        <v>26</v>
      </c>
      <c r="P17" s="153">
        <f>IF($B$2="Todos",SUMIFS(Base!$O$3:$O$5001,Base!$A$3:$A$5001,$B17),SUMIFS(Base!$O$3:$O$5001,Base!$A$3:$A$5001,$B17,Base!$B$3:$B$5001,$B$2))</f>
        <v>0</v>
      </c>
      <c r="Q17" s="153">
        <f>IF($B$2="Todos",SUMIFS(Base!$P$3:$P$5001,Base!$A$3:$A$5001,$B17),SUMIFS(Base!$P$3:$P$5001,Base!$A$3:$A$5001,$B17,Base!$B$3:$B$5001,$B$2))</f>
        <v>0</v>
      </c>
      <c r="R17" s="153">
        <f>IF($B$2="Todos",SUMIFS(Base!$Q$3:$Q$5001,Base!$A$3:$A$5001,$B17),SUMIFS(Base!$Q$3:$Q$5001,Base!$A$3:$A$5001,$B17,Base!$B$3:$B$5001,$B$2))</f>
        <v>0</v>
      </c>
      <c r="S17" s="153">
        <f>IF($B$2="Todos",SUMIFS(Base!$R$3:$R$5001,Base!$A$3:$A$5001,$B17),SUMIFS(Base!$R$3:$R$5001,Base!$A$3:$A$5001,$B17,Base!$B$3:$B$5001,$B$2))</f>
        <v>0</v>
      </c>
      <c r="T17" s="139">
        <f>IF(ISNUMBER($B17),WEEKDAY($B17,2),"")</f>
        <v>7</v>
      </c>
      <c r="U17" s="157">
        <f>CHOOSE($C$3,C17,D17,E17)</f>
        <v>4</v>
      </c>
      <c r="V17" s="157">
        <f>CHOOSE($C$3,F17,G17,H17)</f>
        <v>17</v>
      </c>
      <c r="W17" s="157">
        <f>IFERROR(AVERAGEIF(U12:U42,"&gt;0"),0)</f>
        <v>17.6153846153846</v>
      </c>
      <c r="X17" s="157">
        <f>IFERROR(AVERAGEIF(V12:V42,"&gt;0"),0)</f>
        <v>25.0714285714286</v>
      </c>
      <c r="Y17" s="158">
        <f>$B$5</f>
        <v>0.7</v>
      </c>
      <c r="Z17" s="158">
        <f>$B$6</f>
        <v>0.9</v>
      </c>
      <c r="AD17" s="159" t="inlineStr">
        <is>
          <t xml:space="preserve">PMB</t>
        </is>
      </c>
      <c r="AF17" s="159" t="str">
        <f>"Taxa de ocupação diária — "&amp;IF($B$2="Todos","todos os clientes",$B$2)</f>
        <v>Taxa de ocupação diária — todos os clientes</v>
      </c>
      <c r="AH17" s="159" t="inlineStr">
        <is>
          <t xml:space="preserve">JUNHO · 2026</t>
        </is>
      </c>
    </row>
    <row r="18">
      <c r="A18" s="139">
        <v>7</v>
      </c>
      <c r="B18" s="152">
        <f>IF(ISNUMBER($A18),$C$7+$A18-1,"")</f>
        <v>46272</v>
      </c>
      <c r="C18" s="153">
        <f>IF($B$2="Todos",SUMIFS(Base!$C$3:$C$5001,Base!$A$3:$A$5001,$B18),SUMIFS(Base!$C$3:$C$5001,Base!$A$3:$A$5001,$B18,Base!$B$3:$B$5001,$B$2))</f>
        <v>16</v>
      </c>
      <c r="D18" s="153">
        <f>IF($B$2="Todos",SUMIFS(Base!$D$3:$D$5001,Base!$A$3:$A$5001,$B18),SUMIFS(Base!$D$3:$D$5001,Base!$A$3:$A$5001,$B18,Base!$B$3:$B$5001,$B$2))</f>
        <v>371</v>
      </c>
      <c r="E18" s="154">
        <f>IF($B$2="Todos",SUMIFS(Base!$E$3:$E$5001,Base!$A$3:$A$5001,$B18),SUMIFS(Base!$E$3:$E$5001,Base!$A$3:$A$5001,$B18,Base!$B$3:$B$5001,$B$2))</f>
        <v>301.93</v>
      </c>
      <c r="F18" s="153">
        <f>IF($B$2="Todos",SUMIFS(Base!$F$3:$F$5001,Base!$A$3:$A$5001,$B18),SUMIFS(Base!$F$3:$F$5001,Base!$A$3:$A$5001,$B18,Base!$B$3:$B$5001,$B$2))</f>
        <v>29</v>
      </c>
      <c r="G18" s="153">
        <f>IF($B$2="Todos",SUMIFS(Base!$G$3:$G$5001,Base!$A$3:$A$5001,$B18),SUMIFS(Base!$G$3:$G$5001,Base!$A$3:$A$5001,$B18,Base!$B$3:$B$5001,$B$2))</f>
        <v>522</v>
      </c>
      <c r="H18" s="154">
        <f>IF($B$2="Todos",SUMIFS(Base!$H$3:$H$5001,Base!$A$3:$A$5001,$B18),SUMIFS(Base!$H$3:$H$5001,Base!$A$3:$A$5001,$B18,Base!$B$3:$B$5001,$B$2))</f>
        <v>342.16</v>
      </c>
      <c r="I18" s="153">
        <f>IF($B$2="Todos",SUMIFS(Base!$I$3:$I$5001,Base!$A$3:$A$5001,$B18),SUMIFS(Base!$I$3:$I$5001,Base!$A$3:$A$5001,$B18,Base!$B$3:$B$5001,$B$2))</f>
        <v>0</v>
      </c>
      <c r="J18" s="153">
        <f>IF($B$2="Todos",SUMIFS(Base!$J$3:$J$5001,Base!$A$3:$A$5001,$B18),SUMIFS(Base!$J$3:$J$5001,Base!$A$3:$A$5001,$B18,Base!$B$3:$B$5001,$B$2))</f>
        <v>0</v>
      </c>
      <c r="K18" s="153" t="str">
        <f>IF($B$2="Todos",IF(COUNT($C$115:$G$115)=0,"",SUM($C$115:$G$115)),IFERROR(INDEX($C$115:$G$115,MATCH($B$2,$C$108:$G$108,0)),""))</f>
        <v/>
      </c>
      <c r="L18" s="155">
        <f>IF(M18="","",IF($B$2="Todos",$B$4,IFERROR(INDEX($C$185:$G$185,MATCH($B$2,$C$178:$G$178,0)),"")))</f>
        <v>5872</v>
      </c>
      <c r="M18" s="153">
        <f>IF($B$2="Todos",IF(COUNT($C$150:$G$150)=0,"",SUM($C$150:$G$150)),IFERROR(INDEX($C$150:$G$150,MATCH($B$2,$C$143:$G$143,0)),""))</f>
        <v>3227</v>
      </c>
      <c r="N18" s="156">
        <f>IF(AND(ISNUMBER(M18),ISNUMBER(L18)),IF(L18&gt;0,M18/L18,""),"")</f>
        <v>0.549557220708447</v>
      </c>
      <c r="O18" s="153">
        <f>IF($B$2="Todos",IF(COUNT($C$220:$G$220)=0,"",SUM($C$220:$G$220)),IFERROR(INDEX($C$220:$G$220,MATCH($B$2,$C$213:$G$213,0)),""))</f>
        <v>38</v>
      </c>
      <c r="P18" s="153">
        <f>IF($B$2="Todos",SUMIFS(Base!$O$3:$O$5001,Base!$A$3:$A$5001,$B18),SUMIFS(Base!$O$3:$O$5001,Base!$A$3:$A$5001,$B18,Base!$B$3:$B$5001,$B$2))</f>
        <v>0</v>
      </c>
      <c r="Q18" s="153">
        <f>IF($B$2="Todos",SUMIFS(Base!$P$3:$P$5001,Base!$A$3:$A$5001,$B18),SUMIFS(Base!$P$3:$P$5001,Base!$A$3:$A$5001,$B18,Base!$B$3:$B$5001,$B$2))</f>
        <v>0</v>
      </c>
      <c r="R18" s="153">
        <f>IF($B$2="Todos",SUMIFS(Base!$Q$3:$Q$5001,Base!$A$3:$A$5001,$B18),SUMIFS(Base!$Q$3:$Q$5001,Base!$A$3:$A$5001,$B18,Base!$B$3:$B$5001,$B$2))</f>
        <v>0</v>
      </c>
      <c r="S18" s="153">
        <f>IF($B$2="Todos",SUMIFS(Base!$R$3:$R$5001,Base!$A$3:$A$5001,$B18),SUMIFS(Base!$R$3:$R$5001,Base!$A$3:$A$5001,$B18,Base!$B$3:$B$5001,$B$2))</f>
        <v>0</v>
      </c>
      <c r="T18" s="139">
        <f>IF(ISNUMBER($B18),WEEKDAY($B18,2),"")</f>
        <v>1</v>
      </c>
      <c r="U18" s="157">
        <f>CHOOSE($C$3,C18,D18,E18)</f>
        <v>16</v>
      </c>
      <c r="V18" s="157">
        <f>CHOOSE($C$3,F18,G18,H18)</f>
        <v>29</v>
      </c>
      <c r="W18" s="157">
        <f>IFERROR(AVERAGEIF(U12:U42,"&gt;0"),0)</f>
        <v>17.6153846153846</v>
      </c>
      <c r="X18" s="157">
        <f>IFERROR(AVERAGEIF(V12:V42,"&gt;0"),0)</f>
        <v>25.0714285714286</v>
      </c>
      <c r="Y18" s="158">
        <f>$B$5</f>
        <v>0.7</v>
      </c>
      <c r="Z18" s="158">
        <f>$B$6</f>
        <v>0.9</v>
      </c>
      <c r="AF18" s="159" t="str">
        <f>"Média por dia da semana · "&amp;LOWER($B$3)&amp;" — "&amp;IF($B$2="Todos","todos os clientes",$B$2)</f>
        <v>Média por dia da semana · veículos — todos os clientes</v>
      </c>
      <c r="AH18" s="159" t="inlineStr">
        <is>
          <t xml:space="preserve">JULHO · 2026</t>
        </is>
      </c>
    </row>
    <row r="19">
      <c r="A19" s="139">
        <v>8</v>
      </c>
      <c r="B19" s="152">
        <f>IF(ISNUMBER($A19),$C$7+$A19-1,"")</f>
        <v>46273</v>
      </c>
      <c r="C19" s="153">
        <f>IF($B$2="Todos",SUMIFS(Base!$C$3:$C$5001,Base!$A$3:$A$5001,$B19),SUMIFS(Base!$C$3:$C$5001,Base!$A$3:$A$5001,$B19,Base!$B$3:$B$5001,$B$2))</f>
        <v>19</v>
      </c>
      <c r="D19" s="153">
        <f>IF($B$2="Todos",SUMIFS(Base!$D$3:$D$5001,Base!$A$3:$A$5001,$B19),SUMIFS(Base!$D$3:$D$5001,Base!$A$3:$A$5001,$B19,Base!$B$3:$B$5001,$B$2))</f>
        <v>473</v>
      </c>
      <c r="E19" s="154">
        <f>IF($B$2="Todos",SUMIFS(Base!$E$3:$E$5001,Base!$A$3:$A$5001,$B19),SUMIFS(Base!$E$3:$E$5001,Base!$A$3:$A$5001,$B19,Base!$B$3:$B$5001,$B$2))</f>
        <v>327.24</v>
      </c>
      <c r="F19" s="153">
        <f>IF($B$2="Todos",SUMIFS(Base!$F$3:$F$5001,Base!$A$3:$A$5001,$B19),SUMIFS(Base!$F$3:$F$5001,Base!$A$3:$A$5001,$B19,Base!$B$3:$B$5001,$B$2))</f>
        <v>40</v>
      </c>
      <c r="G19" s="153">
        <f>IF($B$2="Todos",SUMIFS(Base!$G$3:$G$5001,Base!$A$3:$A$5001,$B19),SUMIFS(Base!$G$3:$G$5001,Base!$A$3:$A$5001,$B19,Base!$B$3:$B$5001,$B$2))</f>
        <v>720</v>
      </c>
      <c r="H19" s="154">
        <f>IF($B$2="Todos",SUMIFS(Base!$H$3:$H$5001,Base!$A$3:$A$5001,$B19),SUMIFS(Base!$H$3:$H$5001,Base!$A$3:$A$5001,$B19,Base!$B$3:$B$5001,$B$2))</f>
        <v>570.18</v>
      </c>
      <c r="I19" s="153">
        <f>IF($B$2="Todos",SUMIFS(Base!$I$3:$I$5001,Base!$A$3:$A$5001,$B19),SUMIFS(Base!$I$3:$I$5001,Base!$A$3:$A$5001,$B19,Base!$B$3:$B$5001,$B$2))</f>
        <v>0</v>
      </c>
      <c r="J19" s="153">
        <f>IF($B$2="Todos",SUMIFS(Base!$J$3:$J$5001,Base!$A$3:$A$5001,$B19),SUMIFS(Base!$J$3:$J$5001,Base!$A$3:$A$5001,$B19,Base!$B$3:$B$5001,$B$2))</f>
        <v>0</v>
      </c>
      <c r="K19" s="153" t="str">
        <f>IF($B$2="Todos",IF(COUNT($C$116:$G$116)=0,"",SUM($C$116:$G$116)),IFERROR(INDEX($C$116:$G$116,MATCH($B$2,$C$108:$G$108,0)),""))</f>
        <v/>
      </c>
      <c r="L19" s="155">
        <f>IF(M19="","",IF($B$2="Todos",$B$4,IFERROR(INDEX($C$186:$G$186,MATCH($B$2,$C$178:$G$178,0)),"")))</f>
        <v>5872</v>
      </c>
      <c r="M19" s="153">
        <f>IF($B$2="Todos",IF(COUNT($C$151:$G$151)=0,"",SUM($C$151:$G$151)),IFERROR(INDEX($C$151:$G$151,MATCH($B$2,$C$143:$G$143,0)),""))</f>
        <v>3353</v>
      </c>
      <c r="N19" s="156">
        <f>IF(AND(ISNUMBER(M19),ISNUMBER(L19)),IF(L19&gt;0,M19/L19,""),"")</f>
        <v>0.571014986376022</v>
      </c>
      <c r="O19" s="153">
        <f>IF($B$2="Todos",IF(COUNT($C$221:$G$221)=0,"",SUM($C$221:$G$221)),IFERROR(INDEX($C$221:$G$221,MATCH($B$2,$C$213:$G$213,0)),""))</f>
        <v>31</v>
      </c>
      <c r="P19" s="153">
        <f>IF($B$2="Todos",SUMIFS(Base!$O$3:$O$5001,Base!$A$3:$A$5001,$B19),SUMIFS(Base!$O$3:$O$5001,Base!$A$3:$A$5001,$B19,Base!$B$3:$B$5001,$B$2))</f>
        <v>0</v>
      </c>
      <c r="Q19" s="153">
        <f>IF($B$2="Todos",SUMIFS(Base!$P$3:$P$5001,Base!$A$3:$A$5001,$B19),SUMIFS(Base!$P$3:$P$5001,Base!$A$3:$A$5001,$B19,Base!$B$3:$B$5001,$B$2))</f>
        <v>0</v>
      </c>
      <c r="R19" s="153">
        <f>IF($B$2="Todos",SUMIFS(Base!$Q$3:$Q$5001,Base!$A$3:$A$5001,$B19),SUMIFS(Base!$Q$3:$Q$5001,Base!$A$3:$A$5001,$B19,Base!$B$3:$B$5001,$B$2))</f>
        <v>0</v>
      </c>
      <c r="S19" s="153">
        <f>IF($B$2="Todos",SUMIFS(Base!$R$3:$R$5001,Base!$A$3:$A$5001,$B19),SUMIFS(Base!$R$3:$R$5001,Base!$A$3:$A$5001,$B19,Base!$B$3:$B$5001,$B$2))</f>
        <v>0</v>
      </c>
      <c r="T19" s="139">
        <f>IF(ISNUMBER($B19),WEEKDAY($B19,2),"")</f>
        <v>2</v>
      </c>
      <c r="U19" s="157">
        <f>CHOOSE($C$3,C19,D19,E19)</f>
        <v>19</v>
      </c>
      <c r="V19" s="157">
        <f>CHOOSE($C$3,F19,G19,H19)</f>
        <v>40</v>
      </c>
      <c r="W19" s="157">
        <f>IFERROR(AVERAGEIF(U12:U42,"&gt;0"),0)</f>
        <v>17.6153846153846</v>
      </c>
      <c r="X19" s="157">
        <f>IFERROR(AVERAGEIF(V12:V42,"&gt;0"),0)</f>
        <v>25.0714285714286</v>
      </c>
      <c r="Y19" s="158">
        <f>$B$5</f>
        <v>0.7</v>
      </c>
      <c r="Z19" s="158">
        <f>$B$6</f>
        <v>0.9</v>
      </c>
      <c r="AF19" s="159" t="str">
        <f>"Veículos por dia · recebidos x expedidos — "&amp;IF($B$2="Todos","todos os clientes",$B$2)</f>
        <v>Veículos por dia · recebidos x expedidos — todos os clientes</v>
      </c>
      <c r="AH19" s="159" t="inlineStr">
        <is>
          <t xml:space="preserve">AGOSTO · 2026</t>
        </is>
      </c>
    </row>
    <row r="20">
      <c r="A20" s="139">
        <v>9</v>
      </c>
      <c r="B20" s="152">
        <f>IF(ISNUMBER($A20),$C$7+$A20-1,"")</f>
        <v>46274</v>
      </c>
      <c r="C20" s="153">
        <f>IF($B$2="Todos",SUMIFS(Base!$C$3:$C$5001,Base!$A$3:$A$5001,$B20),SUMIFS(Base!$C$3:$C$5001,Base!$A$3:$A$5001,$B20,Base!$B$3:$B$5001,$B$2))</f>
        <v>22</v>
      </c>
      <c r="D20" s="153">
        <f>IF($B$2="Todos",SUMIFS(Base!$D$3:$D$5001,Base!$A$3:$A$5001,$B20),SUMIFS(Base!$D$3:$D$5001,Base!$A$3:$A$5001,$B20,Base!$B$3:$B$5001,$B$2))</f>
        <v>563</v>
      </c>
      <c r="E20" s="154">
        <f>IF($B$2="Todos",SUMIFS(Base!$E$3:$E$5001,Base!$A$3:$A$5001,$B20),SUMIFS(Base!$E$3:$E$5001,Base!$A$3:$A$5001,$B20,Base!$B$3:$B$5001,$B$2))</f>
        <v>408.42</v>
      </c>
      <c r="F20" s="153">
        <f>IF($B$2="Todos",SUMIFS(Base!$F$3:$F$5001,Base!$A$3:$A$5001,$B20),SUMIFS(Base!$F$3:$F$5001,Base!$A$3:$A$5001,$B20,Base!$B$3:$B$5001,$B$2))</f>
        <v>27</v>
      </c>
      <c r="G20" s="153">
        <f>IF($B$2="Todos",SUMIFS(Base!$G$3:$G$5001,Base!$A$3:$A$5001,$B20),SUMIFS(Base!$G$3:$G$5001,Base!$A$3:$A$5001,$B20,Base!$B$3:$B$5001,$B$2))</f>
        <v>486</v>
      </c>
      <c r="H20" s="154">
        <f>IF($B$2="Todos",SUMIFS(Base!$H$3:$H$5001,Base!$A$3:$A$5001,$B20),SUMIFS(Base!$H$3:$H$5001,Base!$A$3:$A$5001,$B20,Base!$B$3:$B$5001,$B$2))</f>
        <v>266.78</v>
      </c>
      <c r="I20" s="153">
        <f>IF($B$2="Todos",SUMIFS(Base!$I$3:$I$5001,Base!$A$3:$A$5001,$B20),SUMIFS(Base!$I$3:$I$5001,Base!$A$3:$A$5001,$B20,Base!$B$3:$B$5001,$B$2))</f>
        <v>0</v>
      </c>
      <c r="J20" s="153">
        <f>IF($B$2="Todos",SUMIFS(Base!$J$3:$J$5001,Base!$A$3:$A$5001,$B20),SUMIFS(Base!$J$3:$J$5001,Base!$A$3:$A$5001,$B20,Base!$B$3:$B$5001,$B$2))</f>
        <v>0</v>
      </c>
      <c r="K20" s="153" t="str">
        <f>IF($B$2="Todos",IF(COUNT($C$117:$G$117)=0,"",SUM($C$117:$G$117)),IFERROR(INDEX($C$117:$G$117,MATCH($B$2,$C$108:$G$108,0)),""))</f>
        <v/>
      </c>
      <c r="L20" s="155">
        <f>IF(M20="","",IF($B$2="Todos",$B$4,IFERROR(INDEX($C$187:$G$187,MATCH($B$2,$C$178:$G$178,0)),"")))</f>
        <v>5872</v>
      </c>
      <c r="M20" s="153">
        <f>IF($B$2="Todos",IF(COUNT($C$152:$G$152)=0,"",SUM($C$152:$G$152)),IFERROR(INDEX($C$152:$G$152,MATCH($B$2,$C$143:$G$143,0)),""))</f>
        <v>3025</v>
      </c>
      <c r="N20" s="156">
        <f>IF(AND(ISNUMBER(M20),ISNUMBER(L20)),IF(L20&gt;0,M20/L20,""),"")</f>
        <v>0.515156675749319</v>
      </c>
      <c r="O20" s="153">
        <f>IF($B$2="Todos",IF(COUNT($C$222:$G$222)=0,"",SUM($C$222:$G$222)),IFERROR(INDEX($C$222:$G$222,MATCH($B$2,$C$213:$G$213,0)),""))</f>
        <v>34</v>
      </c>
      <c r="P20" s="153">
        <f>IF($B$2="Todos",SUMIFS(Base!$O$3:$O$5001,Base!$A$3:$A$5001,$B20),SUMIFS(Base!$O$3:$O$5001,Base!$A$3:$A$5001,$B20,Base!$B$3:$B$5001,$B$2))</f>
        <v>0</v>
      </c>
      <c r="Q20" s="153">
        <f>IF($B$2="Todos",SUMIFS(Base!$P$3:$P$5001,Base!$A$3:$A$5001,$B20),SUMIFS(Base!$P$3:$P$5001,Base!$A$3:$A$5001,$B20,Base!$B$3:$B$5001,$B$2))</f>
        <v>0</v>
      </c>
      <c r="R20" s="153">
        <f>IF($B$2="Todos",SUMIFS(Base!$Q$3:$Q$5001,Base!$A$3:$A$5001,$B20),SUMIFS(Base!$Q$3:$Q$5001,Base!$A$3:$A$5001,$B20,Base!$B$3:$B$5001,$B$2))</f>
        <v>0</v>
      </c>
      <c r="S20" s="153">
        <f>IF($B$2="Todos",SUMIFS(Base!$R$3:$R$5001,Base!$A$3:$A$5001,$B20),SUMIFS(Base!$R$3:$R$5001,Base!$A$3:$A$5001,$B20,Base!$B$3:$B$5001,$B$2))</f>
        <v>0</v>
      </c>
      <c r="T20" s="139">
        <f>IF(ISNUMBER($B20),WEEKDAY($B20,2),"")</f>
        <v>3</v>
      </c>
      <c r="U20" s="157">
        <f>CHOOSE($C$3,C20,D20,E20)</f>
        <v>22</v>
      </c>
      <c r="V20" s="157">
        <f>CHOOSE($C$3,F20,G20,H20)</f>
        <v>27</v>
      </c>
      <c r="W20" s="157">
        <f>IFERROR(AVERAGEIF(U12:U42,"&gt;0"),0)</f>
        <v>17.6153846153846</v>
      </c>
      <c r="X20" s="157">
        <f>IFERROR(AVERAGEIF(V12:V42,"&gt;0"),0)</f>
        <v>25.0714285714286</v>
      </c>
      <c r="Y20" s="158">
        <f>$B$5</f>
        <v>0.7</v>
      </c>
      <c r="Z20" s="158">
        <f>$B$6</f>
        <v>0.9</v>
      </c>
      <c r="AF20" s="159" t="str">
        <f>"Taxa de ocupação por dia — "&amp;IF($B$2="Todos","todos os clientes",$B$2)</f>
        <v>Taxa de ocupação por dia — todos os clientes</v>
      </c>
      <c r="AH20" s="159" t="inlineStr">
        <is>
          <t xml:space="preserve">SETEMBRO · 2026</t>
        </is>
      </c>
    </row>
    <row r="21">
      <c r="A21" s="139">
        <v>10</v>
      </c>
      <c r="B21" s="152">
        <f>IF(ISNUMBER($A21),$C$7+$A21-1,"")</f>
        <v>46275</v>
      </c>
      <c r="C21" s="153">
        <f>IF($B$2="Todos",SUMIFS(Base!$C$3:$C$5001,Base!$A$3:$A$5001,$B21),SUMIFS(Base!$C$3:$C$5001,Base!$A$3:$A$5001,$B21,Base!$B$3:$B$5001,$B$2))</f>
        <v>29</v>
      </c>
      <c r="D21" s="153">
        <f>IF($B$2="Todos",SUMIFS(Base!$D$3:$D$5001,Base!$A$3:$A$5001,$B21),SUMIFS(Base!$D$3:$D$5001,Base!$A$3:$A$5001,$B21,Base!$B$3:$B$5001,$B$2))</f>
        <v>750</v>
      </c>
      <c r="E21" s="154">
        <f>IF($B$2="Todos",SUMIFS(Base!$E$3:$E$5001,Base!$A$3:$A$5001,$B21),SUMIFS(Base!$E$3:$E$5001,Base!$A$3:$A$5001,$B21,Base!$B$3:$B$5001,$B$2))</f>
        <v>604.59</v>
      </c>
      <c r="F21" s="153">
        <f>IF($B$2="Todos",SUMIFS(Base!$F$3:$F$5001,Base!$A$3:$A$5001,$B21),SUMIFS(Base!$F$3:$F$5001,Base!$A$3:$A$5001,$B21,Base!$B$3:$B$5001,$B$2))</f>
        <v>26</v>
      </c>
      <c r="G21" s="153">
        <f>IF($B$2="Todos",SUMIFS(Base!$G$3:$G$5001,Base!$A$3:$A$5001,$B21),SUMIFS(Base!$G$3:$G$5001,Base!$A$3:$A$5001,$B21,Base!$B$3:$B$5001,$B$2))</f>
        <v>468</v>
      </c>
      <c r="H21" s="154">
        <f>IF($B$2="Todos",SUMIFS(Base!$H$3:$H$5001,Base!$A$3:$A$5001,$B21),SUMIFS(Base!$H$3:$H$5001,Base!$A$3:$A$5001,$B21,Base!$B$3:$B$5001,$B$2))</f>
        <v>322.06</v>
      </c>
      <c r="I21" s="153">
        <f>IF($B$2="Todos",SUMIFS(Base!$I$3:$I$5001,Base!$A$3:$A$5001,$B21),SUMIFS(Base!$I$3:$I$5001,Base!$A$3:$A$5001,$B21,Base!$B$3:$B$5001,$B$2))</f>
        <v>3</v>
      </c>
      <c r="J21" s="153">
        <f>IF($B$2="Todos",SUMIFS(Base!$J$3:$J$5001,Base!$A$3:$A$5001,$B21),SUMIFS(Base!$J$3:$J$5001,Base!$A$3:$A$5001,$B21,Base!$B$3:$B$5001,$B$2))</f>
        <v>0</v>
      </c>
      <c r="K21" s="153" t="str">
        <f>IF($B$2="Todos",IF(COUNT($C$118:$G$118)=0,"",SUM($C$118:$G$118)),IFERROR(INDEX($C$118:$G$118,MATCH($B$2,$C$108:$G$108,0)),""))</f>
        <v/>
      </c>
      <c r="L21" s="155">
        <f>IF(M21="","",IF($B$2="Todos",$B$4,IFERROR(INDEX($C$188:$G$188,MATCH($B$2,$C$178:$G$178,0)),"")))</f>
        <v>5872</v>
      </c>
      <c r="M21" s="153">
        <f>IF($B$2="Todos",IF(COUNT($C$153:$G$153)=0,"",SUM($C$153:$G$153)),IFERROR(INDEX($C$153:$G$153,MATCH($B$2,$C$143:$G$143,0)),""))</f>
        <v>3468</v>
      </c>
      <c r="N21" s="156">
        <f>IF(AND(ISNUMBER(M21),ISNUMBER(L21)),IF(L21&gt;0,M21/L21,""),"")</f>
        <v>0.590599455040872</v>
      </c>
      <c r="O21" s="153">
        <f>IF($B$2="Todos",IF(COUNT($C$223:$G$223)=0,"",SUM($C$223:$G$223)),IFERROR(INDEX($C$223:$G$223,MATCH($B$2,$C$213:$G$213,0)),""))</f>
        <v>33</v>
      </c>
      <c r="P21" s="153">
        <f>IF($B$2="Todos",SUMIFS(Base!$O$3:$O$5001,Base!$A$3:$A$5001,$B21),SUMIFS(Base!$O$3:$O$5001,Base!$A$3:$A$5001,$B21,Base!$B$3:$B$5001,$B$2))</f>
        <v>0</v>
      </c>
      <c r="Q21" s="153">
        <f>IF($B$2="Todos",SUMIFS(Base!$P$3:$P$5001,Base!$A$3:$A$5001,$B21),SUMIFS(Base!$P$3:$P$5001,Base!$A$3:$A$5001,$B21,Base!$B$3:$B$5001,$B$2))</f>
        <v>0</v>
      </c>
      <c r="R21" s="153">
        <f>IF($B$2="Todos",SUMIFS(Base!$Q$3:$Q$5001,Base!$A$3:$A$5001,$B21),SUMIFS(Base!$Q$3:$Q$5001,Base!$A$3:$A$5001,$B21,Base!$B$3:$B$5001,$B$2))</f>
        <v>0</v>
      </c>
      <c r="S21" s="153">
        <f>IF($B$2="Todos",SUMIFS(Base!$R$3:$R$5001,Base!$A$3:$A$5001,$B21),SUMIFS(Base!$R$3:$R$5001,Base!$A$3:$A$5001,$B21,Base!$B$3:$B$5001,$B$2))</f>
        <v>0</v>
      </c>
      <c r="T21" s="139">
        <f>IF(ISNUMBER($B21),WEEKDAY($B21,2),"")</f>
        <v>4</v>
      </c>
      <c r="U21" s="157">
        <f>CHOOSE($C$3,C21,D21,E21)</f>
        <v>29</v>
      </c>
      <c r="V21" s="157">
        <f>CHOOSE($C$3,F21,G21,H21)</f>
        <v>26</v>
      </c>
      <c r="W21" s="157">
        <f>IFERROR(AVERAGEIF(U12:U42,"&gt;0"),0)</f>
        <v>17.6153846153846</v>
      </c>
      <c r="X21" s="157">
        <f>IFERROR(AVERAGEIF(V12:V42,"&gt;0"),0)</f>
        <v>25.0714285714286</v>
      </c>
      <c r="Y21" s="158">
        <f>$B$5</f>
        <v>0.7</v>
      </c>
      <c r="Z21" s="158">
        <f>$B$6</f>
        <v>0.9</v>
      </c>
      <c r="AF21" s="159" t="str">
        <f>"Toneladas por semana · IN x OUT — "&amp;IF($B$2="Todos","todos os clientes",$B$2)</f>
        <v>Toneladas por semana · IN x OUT — todos os clientes</v>
      </c>
      <c r="AH21" s="159" t="inlineStr">
        <is>
          <t xml:space="preserve">OUTUBRO · 2026</t>
        </is>
      </c>
    </row>
    <row r="22">
      <c r="A22" s="139">
        <v>11</v>
      </c>
      <c r="B22" s="152">
        <f>IF(ISNUMBER($A22),$C$7+$A22-1,"")</f>
        <v>46276</v>
      </c>
      <c r="C22" s="153">
        <f>IF($B$2="Todos",SUMIFS(Base!$C$3:$C$5001,Base!$A$3:$A$5001,$B22),SUMIFS(Base!$C$3:$C$5001,Base!$A$3:$A$5001,$B22,Base!$B$3:$B$5001,$B$2))</f>
        <v>28</v>
      </c>
      <c r="D22" s="153">
        <f>IF($B$2="Todos",SUMIFS(Base!$D$3:$D$5001,Base!$A$3:$A$5001,$B22),SUMIFS(Base!$D$3:$D$5001,Base!$A$3:$A$5001,$B22,Base!$B$3:$B$5001,$B$2))</f>
        <v>665</v>
      </c>
      <c r="E22" s="154">
        <f>IF($B$2="Todos",SUMIFS(Base!$E$3:$E$5001,Base!$A$3:$A$5001,$B22),SUMIFS(Base!$E$3:$E$5001,Base!$A$3:$A$5001,$B22,Base!$B$3:$B$5001,$B$2))</f>
        <v>396.37</v>
      </c>
      <c r="F22" s="153">
        <f>IF($B$2="Todos",SUMIFS(Base!$F$3:$F$5001,Base!$A$3:$A$5001,$B22),SUMIFS(Base!$F$3:$F$5001,Base!$A$3:$A$5001,$B22,Base!$B$3:$B$5001,$B$2))</f>
        <v>54</v>
      </c>
      <c r="G22" s="153">
        <f>IF($B$2="Todos",SUMIFS(Base!$G$3:$G$5001,Base!$A$3:$A$5001,$B22),SUMIFS(Base!$G$3:$G$5001,Base!$A$3:$A$5001,$B22,Base!$B$3:$B$5001,$B$2))</f>
        <v>972</v>
      </c>
      <c r="H22" s="154">
        <f>IF($B$2="Todos",SUMIFS(Base!$H$3:$H$5001,Base!$A$3:$A$5001,$B22),SUMIFS(Base!$H$3:$H$5001,Base!$A$3:$A$5001,$B22,Base!$B$3:$B$5001,$B$2))</f>
        <v>746.88</v>
      </c>
      <c r="I22" s="153">
        <f>IF($B$2="Todos",SUMIFS(Base!$I$3:$I$5001,Base!$A$3:$A$5001,$B22),SUMIFS(Base!$I$3:$I$5001,Base!$A$3:$A$5001,$B22,Base!$B$3:$B$5001,$B$2))</f>
        <v>1</v>
      </c>
      <c r="J22" s="153">
        <f>IF($B$2="Todos",SUMIFS(Base!$J$3:$J$5001,Base!$A$3:$A$5001,$B22),SUMIFS(Base!$J$3:$J$5001,Base!$A$3:$A$5001,$B22,Base!$B$3:$B$5001,$B$2))</f>
        <v>0</v>
      </c>
      <c r="K22" s="153" t="str">
        <f>IF($B$2="Todos",IF(COUNT($C$119:$G$119)=0,"",SUM($C$119:$G$119)),IFERROR(INDEX($C$119:$G$119,MATCH($B$2,$C$108:$G$108,0)),""))</f>
        <v/>
      </c>
      <c r="L22" s="155">
        <f>IF(M22="","",IF($B$2="Todos",$B$4,IFERROR(INDEX($C$189:$G$189,MATCH($B$2,$C$178:$G$178,0)),"")))</f>
        <v>5872</v>
      </c>
      <c r="M22" s="153">
        <f>IF($B$2="Todos",IF(COUNT($C$154:$G$154)=0,"",SUM($C$154:$G$154)),IFERROR(INDEX($C$154:$G$154,MATCH($B$2,$C$143:$G$143,0)),""))</f>
        <v>3249</v>
      </c>
      <c r="N22" s="156">
        <f>IF(AND(ISNUMBER(M22),ISNUMBER(L22)),IF(L22&gt;0,M22/L22,""),"")</f>
        <v>0.553303814713896</v>
      </c>
      <c r="O22" s="153">
        <f>IF($B$2="Todos",IF(COUNT($C$224:$G$224)=0,"",SUM($C$224:$G$224)),IFERROR(INDEX($C$224:$G$224,MATCH($B$2,$C$213:$G$213,0)),""))</f>
        <v>31</v>
      </c>
      <c r="P22" s="153">
        <f>IF($B$2="Todos",SUMIFS(Base!$O$3:$O$5001,Base!$A$3:$A$5001,$B22),SUMIFS(Base!$O$3:$O$5001,Base!$A$3:$A$5001,$B22,Base!$B$3:$B$5001,$B$2))</f>
        <v>0</v>
      </c>
      <c r="Q22" s="153">
        <f>IF($B$2="Todos",SUMIFS(Base!$P$3:$P$5001,Base!$A$3:$A$5001,$B22),SUMIFS(Base!$P$3:$P$5001,Base!$A$3:$A$5001,$B22,Base!$B$3:$B$5001,$B$2))</f>
        <v>0</v>
      </c>
      <c r="R22" s="153">
        <f>IF($B$2="Todos",SUMIFS(Base!$Q$3:$Q$5001,Base!$A$3:$A$5001,$B22),SUMIFS(Base!$Q$3:$Q$5001,Base!$A$3:$A$5001,$B22,Base!$B$3:$B$5001,$B$2))</f>
        <v>0</v>
      </c>
      <c r="S22" s="153">
        <f>IF($B$2="Todos",SUMIFS(Base!$R$3:$R$5001,Base!$A$3:$A$5001,$B22),SUMIFS(Base!$R$3:$R$5001,Base!$A$3:$A$5001,$B22,Base!$B$3:$B$5001,$B$2))</f>
        <v>0</v>
      </c>
      <c r="T22" s="139">
        <f>IF(ISNUMBER($B22),WEEKDAY($B22,2),"")</f>
        <v>5</v>
      </c>
      <c r="U22" s="157">
        <f>CHOOSE($C$3,C22,D22,E22)</f>
        <v>28</v>
      </c>
      <c r="V22" s="157">
        <f>CHOOSE($C$3,F22,G22,H22)</f>
        <v>54</v>
      </c>
      <c r="W22" s="157">
        <f>IFERROR(AVERAGEIF(U12:U42,"&gt;0"),0)</f>
        <v>17.6153846153846</v>
      </c>
      <c r="X22" s="157">
        <f>IFERROR(AVERAGEIF(V12:V42,"&gt;0"),0)</f>
        <v>25.0714285714286</v>
      </c>
      <c r="Y22" s="158">
        <f>$B$5</f>
        <v>0.7</v>
      </c>
      <c r="Z22" s="158">
        <f>$B$6</f>
        <v>0.9</v>
      </c>
      <c r="AH22" s="159" t="inlineStr">
        <is>
          <t xml:space="preserve">NOVEMBRO · 2026</t>
        </is>
      </c>
    </row>
    <row r="23">
      <c r="A23" s="139">
        <v>12</v>
      </c>
      <c r="B23" s="152">
        <f>IF(ISNUMBER($A23),$C$7+$A23-1,"")</f>
        <v>46277</v>
      </c>
      <c r="C23" s="153">
        <f>IF($B$2="Todos",SUMIFS(Base!$C$3:$C$5001,Base!$A$3:$A$5001,$B23),SUMIFS(Base!$C$3:$C$5001,Base!$A$3:$A$5001,$B23,Base!$B$3:$B$5001,$B$2))</f>
        <v>0</v>
      </c>
      <c r="D23" s="153">
        <f>IF($B$2="Todos",SUMIFS(Base!$D$3:$D$5001,Base!$A$3:$A$5001,$B23),SUMIFS(Base!$D$3:$D$5001,Base!$A$3:$A$5001,$B23,Base!$B$3:$B$5001,$B$2))</f>
        <v>0</v>
      </c>
      <c r="E23" s="154">
        <f>IF($B$2="Todos",SUMIFS(Base!$E$3:$E$5001,Base!$A$3:$A$5001,$B23),SUMIFS(Base!$E$3:$E$5001,Base!$A$3:$A$5001,$B23,Base!$B$3:$B$5001,$B$2))</f>
        <v>0</v>
      </c>
      <c r="F23" s="153">
        <f>IF($B$2="Todos",SUMIFS(Base!$F$3:$F$5001,Base!$A$3:$A$5001,$B23),SUMIFS(Base!$F$3:$F$5001,Base!$A$3:$A$5001,$B23,Base!$B$3:$B$5001,$B$2))</f>
        <v>11</v>
      </c>
      <c r="G23" s="153">
        <f>IF($B$2="Todos",SUMIFS(Base!$G$3:$G$5001,Base!$A$3:$A$5001,$B23),SUMIFS(Base!$G$3:$G$5001,Base!$A$3:$A$5001,$B23,Base!$B$3:$B$5001,$B$2))</f>
        <v>198</v>
      </c>
      <c r="H23" s="154">
        <f>IF($B$2="Todos",SUMIFS(Base!$H$3:$H$5001,Base!$A$3:$A$5001,$B23),SUMIFS(Base!$H$3:$H$5001,Base!$A$3:$A$5001,$B23,Base!$B$3:$B$5001,$B$2))</f>
        <v>213.02</v>
      </c>
      <c r="I23" s="153">
        <f>IF($B$2="Todos",SUMIFS(Base!$I$3:$I$5001,Base!$A$3:$A$5001,$B23),SUMIFS(Base!$I$3:$I$5001,Base!$A$3:$A$5001,$B23,Base!$B$3:$B$5001,$B$2))</f>
        <v>0</v>
      </c>
      <c r="J23" s="153">
        <f>IF($B$2="Todos",SUMIFS(Base!$J$3:$J$5001,Base!$A$3:$A$5001,$B23),SUMIFS(Base!$J$3:$J$5001,Base!$A$3:$A$5001,$B23,Base!$B$3:$B$5001,$B$2))</f>
        <v>0</v>
      </c>
      <c r="K23" s="153" t="str">
        <f>IF($B$2="Todos",IF(COUNT($C$120:$G$120)=0,"",SUM($C$120:$G$120)),IFERROR(INDEX($C$120:$G$120,MATCH($B$2,$C$108:$G$108,0)),""))</f>
        <v/>
      </c>
      <c r="L23" s="155">
        <f>IF(M23="","",IF($B$2="Todos",$B$4,IFERROR(INDEX($C$190:$G$190,MATCH($B$2,$C$178:$G$178,0)),"")))</f>
        <v>5872</v>
      </c>
      <c r="M23" s="153">
        <f>IF($B$2="Todos",IF(COUNT($C$155:$G$155)=0,"",SUM($C$155:$G$155)),IFERROR(INDEX($C$155:$G$155,MATCH($B$2,$C$143:$G$143,0)),""))</f>
        <v>3689</v>
      </c>
      <c r="N23" s="156">
        <f>IF(AND(ISNUMBER(M23),ISNUMBER(L23)),IF(L23&gt;0,M23/L23,""),"")</f>
        <v>0.628235694822888</v>
      </c>
      <c r="O23" s="153">
        <f>IF($B$2="Todos",IF(COUNT($C$225:$G$225)=0,"",SUM($C$225:$G$225)),IFERROR(INDEX($C$225:$G$225,MATCH($B$2,$C$213:$G$213,0)),""))</f>
        <v>28</v>
      </c>
      <c r="P23" s="153">
        <f>IF($B$2="Todos",SUMIFS(Base!$O$3:$O$5001,Base!$A$3:$A$5001,$B23),SUMIFS(Base!$O$3:$O$5001,Base!$A$3:$A$5001,$B23,Base!$B$3:$B$5001,$B$2))</f>
        <v>0</v>
      </c>
      <c r="Q23" s="153">
        <f>IF($B$2="Todos",SUMIFS(Base!$P$3:$P$5001,Base!$A$3:$A$5001,$B23),SUMIFS(Base!$P$3:$P$5001,Base!$A$3:$A$5001,$B23,Base!$B$3:$B$5001,$B$2))</f>
        <v>0</v>
      </c>
      <c r="R23" s="153">
        <f>IF($B$2="Todos",SUMIFS(Base!$Q$3:$Q$5001,Base!$A$3:$A$5001,$B23),SUMIFS(Base!$Q$3:$Q$5001,Base!$A$3:$A$5001,$B23,Base!$B$3:$B$5001,$B$2))</f>
        <v>0</v>
      </c>
      <c r="S23" s="153">
        <f>IF($B$2="Todos",SUMIFS(Base!$R$3:$R$5001,Base!$A$3:$A$5001,$B23),SUMIFS(Base!$R$3:$R$5001,Base!$A$3:$A$5001,$B23,Base!$B$3:$B$5001,$B$2))</f>
        <v>0</v>
      </c>
      <c r="T23" s="139">
        <f>IF(ISNUMBER($B23),WEEKDAY($B23,2),"")</f>
        <v>6</v>
      </c>
      <c r="U23" s="157">
        <f>CHOOSE($C$3,C23,D23,E23)</f>
        <v>0</v>
      </c>
      <c r="V23" s="157">
        <f>CHOOSE($C$3,F23,G23,H23)</f>
        <v>11</v>
      </c>
      <c r="W23" s="157">
        <f>IFERROR(AVERAGEIF(U12:U42,"&gt;0"),0)</f>
        <v>17.6153846153846</v>
      </c>
      <c r="X23" s="157">
        <f>IFERROR(AVERAGEIF(V12:V42,"&gt;0"),0)</f>
        <v>25.0714285714286</v>
      </c>
      <c r="Y23" s="158">
        <f>$B$5</f>
        <v>0.7</v>
      </c>
      <c r="Z23" s="158">
        <f>$B$6</f>
        <v>0.9</v>
      </c>
      <c r="AH23" s="159" t="inlineStr">
        <is>
          <t xml:space="preserve">DEZEMBRO · 2026</t>
        </is>
      </c>
    </row>
    <row r="24">
      <c r="A24" s="139">
        <v>13</v>
      </c>
      <c r="B24" s="152">
        <f>IF(ISNUMBER($A24),$C$7+$A24-1,"")</f>
        <v>46278</v>
      </c>
      <c r="C24" s="153">
        <f>IF($B$2="Todos",SUMIFS(Base!$C$3:$C$5001,Base!$A$3:$A$5001,$B24),SUMIFS(Base!$C$3:$C$5001,Base!$A$3:$A$5001,$B24,Base!$B$3:$B$5001,$B$2))</f>
        <v>6</v>
      </c>
      <c r="D24" s="153">
        <f>IF($B$2="Todos",SUMIFS(Base!$D$3:$D$5001,Base!$A$3:$A$5001,$B24),SUMIFS(Base!$D$3:$D$5001,Base!$A$3:$A$5001,$B24,Base!$B$3:$B$5001,$B$2))</f>
        <v>142</v>
      </c>
      <c r="E24" s="154">
        <f>IF($B$2="Todos",SUMIFS(Base!$E$3:$E$5001,Base!$A$3:$A$5001,$B24),SUMIFS(Base!$E$3:$E$5001,Base!$A$3:$A$5001,$B24,Base!$B$3:$B$5001,$B$2))</f>
        <v>116.67</v>
      </c>
      <c r="F24" s="153">
        <f>IF($B$2="Todos",SUMIFS(Base!$F$3:$F$5001,Base!$A$3:$A$5001,$B24),SUMIFS(Base!$F$3:$F$5001,Base!$A$3:$A$5001,$B24,Base!$B$3:$B$5001,$B$2))</f>
        <v>17</v>
      </c>
      <c r="G24" s="153">
        <f>IF($B$2="Todos",SUMIFS(Base!$G$3:$G$5001,Base!$A$3:$A$5001,$B24),SUMIFS(Base!$G$3:$G$5001,Base!$A$3:$A$5001,$B24,Base!$B$3:$B$5001,$B$2))</f>
        <v>306</v>
      </c>
      <c r="H24" s="154">
        <f>IF($B$2="Todos",SUMIFS(Base!$H$3:$H$5001,Base!$A$3:$A$5001,$B24),SUMIFS(Base!$H$3:$H$5001,Base!$A$3:$A$5001,$B24,Base!$B$3:$B$5001,$B$2))</f>
        <v>99.78</v>
      </c>
      <c r="I24" s="153">
        <f>IF($B$2="Todos",SUMIFS(Base!$I$3:$I$5001,Base!$A$3:$A$5001,$B24),SUMIFS(Base!$I$3:$I$5001,Base!$A$3:$A$5001,$B24,Base!$B$3:$B$5001,$B$2))</f>
        <v>0</v>
      </c>
      <c r="J24" s="153">
        <f>IF($B$2="Todos",SUMIFS(Base!$J$3:$J$5001,Base!$A$3:$A$5001,$B24),SUMIFS(Base!$J$3:$J$5001,Base!$A$3:$A$5001,$B24,Base!$B$3:$B$5001,$B$2))</f>
        <v>0</v>
      </c>
      <c r="K24" s="153" t="str">
        <f>IF($B$2="Todos",IF(COUNT($C$121:$G$121)=0,"",SUM($C$121:$G$121)),IFERROR(INDEX($C$121:$G$121,MATCH($B$2,$C$108:$G$108,0)),""))</f>
        <v/>
      </c>
      <c r="L24" s="155">
        <f>IF(M24="","",IF($B$2="Todos",$B$4,IFERROR(INDEX($C$191:$G$191,MATCH($B$2,$C$178:$G$178,0)),"")))</f>
        <v>5872</v>
      </c>
      <c r="M24" s="153">
        <f>IF($B$2="Todos",IF(COUNT($C$156:$G$156)=0,"",SUM($C$156:$G$156)),IFERROR(INDEX($C$156:$G$156,MATCH($B$2,$C$143:$G$143,0)),""))</f>
        <v>3785</v>
      </c>
      <c r="N24" s="156">
        <f>IF(AND(ISNUMBER(M24),ISNUMBER(L24)),IF(L24&gt;0,M24/L24,""),"")</f>
        <v>0.64458446866485</v>
      </c>
      <c r="O24" s="153">
        <f>IF($B$2="Todos",IF(COUNT($C$226:$G$226)=0,"",SUM($C$226:$G$226)),IFERROR(INDEX($C$226:$G$226,MATCH($B$2,$C$213:$G$213,0)),""))</f>
        <v>27</v>
      </c>
      <c r="P24" s="153">
        <f>IF($B$2="Todos",SUMIFS(Base!$O$3:$O$5001,Base!$A$3:$A$5001,$B24),SUMIFS(Base!$O$3:$O$5001,Base!$A$3:$A$5001,$B24,Base!$B$3:$B$5001,$B$2))</f>
        <v>0</v>
      </c>
      <c r="Q24" s="153">
        <f>IF($B$2="Todos",SUMIFS(Base!$P$3:$P$5001,Base!$A$3:$A$5001,$B24),SUMIFS(Base!$P$3:$P$5001,Base!$A$3:$A$5001,$B24,Base!$B$3:$B$5001,$B$2))</f>
        <v>0</v>
      </c>
      <c r="R24" s="153">
        <f>IF($B$2="Todos",SUMIFS(Base!$Q$3:$Q$5001,Base!$A$3:$A$5001,$B24),SUMIFS(Base!$Q$3:$Q$5001,Base!$A$3:$A$5001,$B24,Base!$B$3:$B$5001,$B$2))</f>
        <v>0</v>
      </c>
      <c r="S24" s="153">
        <f>IF($B$2="Todos",SUMIFS(Base!$R$3:$R$5001,Base!$A$3:$A$5001,$B24),SUMIFS(Base!$R$3:$R$5001,Base!$A$3:$A$5001,$B24,Base!$B$3:$B$5001,$B$2))</f>
        <v>0</v>
      </c>
      <c r="T24" s="139">
        <f>IF(ISNUMBER($B24),WEEKDAY($B24,2),"")</f>
        <v>7</v>
      </c>
      <c r="U24" s="157">
        <f>CHOOSE($C$3,C24,D24,E24)</f>
        <v>6</v>
      </c>
      <c r="V24" s="157">
        <f>CHOOSE($C$3,F24,G24,H24)</f>
        <v>17</v>
      </c>
      <c r="W24" s="157">
        <f>IFERROR(AVERAGEIF(U12:U42,"&gt;0"),0)</f>
        <v>17.6153846153846</v>
      </c>
      <c r="X24" s="157">
        <f>IFERROR(AVERAGEIF(V12:V42,"&gt;0"),0)</f>
        <v>25.0714285714286</v>
      </c>
      <c r="Y24" s="158">
        <f>$B$5</f>
        <v>0.7</v>
      </c>
      <c r="Z24" s="158">
        <f>$B$6</f>
        <v>0.9</v>
      </c>
      <c r="AH24" s="159" t="inlineStr">
        <is>
          <t xml:space="preserve">JANEIRO · 2027</t>
        </is>
      </c>
    </row>
    <row r="25">
      <c r="A25" s="139">
        <v>14</v>
      </c>
      <c r="B25" s="152">
        <f>IF(ISNUMBER($A25),$C$7+$A25-1,"")</f>
        <v>46279</v>
      </c>
      <c r="C25" s="153">
        <f>IF($B$2="Todos",SUMIFS(Base!$C$3:$C$5001,Base!$A$3:$A$5001,$B25),SUMIFS(Base!$C$3:$C$5001,Base!$A$3:$A$5001,$B25,Base!$B$3:$B$5001,$B$2))</f>
        <v>21</v>
      </c>
      <c r="D25" s="153">
        <f>IF($B$2="Todos",SUMIFS(Base!$D$3:$D$5001,Base!$A$3:$A$5001,$B25),SUMIFS(Base!$D$3:$D$5001,Base!$A$3:$A$5001,$B25,Base!$B$3:$B$5001,$B$2))</f>
        <v>497</v>
      </c>
      <c r="E25" s="154">
        <f>IF($B$2="Todos",SUMIFS(Base!$E$3:$E$5001,Base!$A$3:$A$5001,$B25),SUMIFS(Base!$E$3:$E$5001,Base!$A$3:$A$5001,$B25,Base!$B$3:$B$5001,$B$2))</f>
        <v>343.36</v>
      </c>
      <c r="F25" s="153">
        <f>IF($B$2="Todos",SUMIFS(Base!$F$3:$F$5001,Base!$A$3:$A$5001,$B25),SUMIFS(Base!$F$3:$F$5001,Base!$A$3:$A$5001,$B25,Base!$B$3:$B$5001,$B$2))</f>
        <v>42</v>
      </c>
      <c r="G25" s="153">
        <f>IF($B$2="Todos",SUMIFS(Base!$G$3:$G$5001,Base!$A$3:$A$5001,$B25),SUMIFS(Base!$G$3:$G$5001,Base!$A$3:$A$5001,$B25,Base!$B$3:$B$5001,$B$2))</f>
        <v>756</v>
      </c>
      <c r="H25" s="154">
        <f>IF($B$2="Todos",SUMIFS(Base!$H$3:$H$5001,Base!$A$3:$A$5001,$B25),SUMIFS(Base!$H$3:$H$5001,Base!$A$3:$A$5001,$B25,Base!$B$3:$B$5001,$B$2))</f>
        <v>639</v>
      </c>
      <c r="I25" s="153">
        <f>IF($B$2="Todos",SUMIFS(Base!$I$3:$I$5001,Base!$A$3:$A$5001,$B25),SUMIFS(Base!$I$3:$I$5001,Base!$A$3:$A$5001,$B25,Base!$B$3:$B$5001,$B$2))</f>
        <v>0</v>
      </c>
      <c r="J25" s="153">
        <f>IF($B$2="Todos",SUMIFS(Base!$J$3:$J$5001,Base!$A$3:$A$5001,$B25),SUMIFS(Base!$J$3:$J$5001,Base!$A$3:$A$5001,$B25,Base!$B$3:$B$5001,$B$2))</f>
        <v>0</v>
      </c>
      <c r="K25" s="153" t="str">
        <f>IF($B$2="Todos",IF(COUNT($C$122:$G$122)=0,"",SUM($C$122:$G$122)),IFERROR(INDEX($C$122:$G$122,MATCH($B$2,$C$108:$G$108,0)),""))</f>
        <v/>
      </c>
      <c r="L25" s="155">
        <f>IF(M25="","",IF($B$2="Todos",$B$4,IFERROR(INDEX($C$192:$G$192,MATCH($B$2,$C$178:$G$178,0)),"")))</f>
        <v>5872</v>
      </c>
      <c r="M25" s="153">
        <f>IF($B$2="Todos",IF(COUNT($C$157:$G$157)=0,"",SUM($C$157:$G$157)),IFERROR(INDEX($C$157:$G$157,MATCH($B$2,$C$143:$G$143,0)),""))</f>
        <v>3631</v>
      </c>
      <c r="N25" s="156">
        <f>IF(AND(ISNUMBER(M25),ISNUMBER(L25)),IF(L25&gt;0,M25/L25,""),"")</f>
        <v>0.618358310626703</v>
      </c>
      <c r="O25" s="153">
        <f>IF($B$2="Todos",IF(COUNT($C$227:$G$227)=0,"",SUM($C$227:$G$227)),IFERROR(INDEX($C$227:$G$227,MATCH($B$2,$C$213:$G$213,0)),""))</f>
        <v>29</v>
      </c>
      <c r="P25" s="153">
        <f>IF($B$2="Todos",SUMIFS(Base!$O$3:$O$5001,Base!$A$3:$A$5001,$B25),SUMIFS(Base!$O$3:$O$5001,Base!$A$3:$A$5001,$B25,Base!$B$3:$B$5001,$B$2))</f>
        <v>0</v>
      </c>
      <c r="Q25" s="153">
        <f>IF($B$2="Todos",SUMIFS(Base!$P$3:$P$5001,Base!$A$3:$A$5001,$B25),SUMIFS(Base!$P$3:$P$5001,Base!$A$3:$A$5001,$B25,Base!$B$3:$B$5001,$B$2))</f>
        <v>0</v>
      </c>
      <c r="R25" s="153">
        <f>IF($B$2="Todos",SUMIFS(Base!$Q$3:$Q$5001,Base!$A$3:$A$5001,$B25),SUMIFS(Base!$Q$3:$Q$5001,Base!$A$3:$A$5001,$B25,Base!$B$3:$B$5001,$B$2))</f>
        <v>0</v>
      </c>
      <c r="S25" s="153">
        <f>IF($B$2="Todos",SUMIFS(Base!$R$3:$R$5001,Base!$A$3:$A$5001,$B25),SUMIFS(Base!$R$3:$R$5001,Base!$A$3:$A$5001,$B25,Base!$B$3:$B$5001,$B$2))</f>
        <v>0</v>
      </c>
      <c r="T25" s="139">
        <f>IF(ISNUMBER($B25),WEEKDAY($B25,2),"")</f>
        <v>1</v>
      </c>
      <c r="U25" s="157">
        <f>CHOOSE($C$3,C25,D25,E25)</f>
        <v>21</v>
      </c>
      <c r="V25" s="157">
        <f>CHOOSE($C$3,F25,G25,H25)</f>
        <v>42</v>
      </c>
      <c r="W25" s="157">
        <f>IFERROR(AVERAGEIF(U12:U42,"&gt;0"),0)</f>
        <v>17.6153846153846</v>
      </c>
      <c r="X25" s="157">
        <f>IFERROR(AVERAGEIF(V12:V42,"&gt;0"),0)</f>
        <v>25.0714285714286</v>
      </c>
      <c r="Y25" s="158">
        <f>$B$5</f>
        <v>0.7</v>
      </c>
      <c r="Z25" s="158">
        <f>$B$6</f>
        <v>0.9</v>
      </c>
      <c r="AH25" s="159" t="inlineStr">
        <is>
          <t xml:space="preserve">FEVEREIRO · 2027</t>
        </is>
      </c>
    </row>
    <row r="26">
      <c r="A26" s="139">
        <v>15</v>
      </c>
      <c r="B26" s="152">
        <f>IF(ISNUMBER($A26),$C$7+$A26-1,"")</f>
        <v>46280</v>
      </c>
      <c r="C26" s="153">
        <f>IF($B$2="Todos",SUMIFS(Base!$C$3:$C$5001,Base!$A$3:$A$5001,$B26),SUMIFS(Base!$C$3:$C$5001,Base!$A$3:$A$5001,$B26,Base!$B$3:$B$5001,$B$2))</f>
        <v>18</v>
      </c>
      <c r="D26" s="153">
        <f>IF($B$2="Todos",SUMIFS(Base!$D$3:$D$5001,Base!$A$3:$A$5001,$B26),SUMIFS(Base!$D$3:$D$5001,Base!$A$3:$A$5001,$B26,Base!$B$3:$B$5001,$B$2))</f>
        <v>395</v>
      </c>
      <c r="E26" s="154">
        <f>IF($B$2="Todos",SUMIFS(Base!$E$3:$E$5001,Base!$A$3:$A$5001,$B26),SUMIFS(Base!$E$3:$E$5001,Base!$A$3:$A$5001,$B26,Base!$B$3:$B$5001,$B$2))</f>
        <v>344.77</v>
      </c>
      <c r="F26" s="153">
        <f>IF($B$2="Todos",SUMIFS(Base!$F$3:$F$5001,Base!$A$3:$A$5001,$B26),SUMIFS(Base!$F$3:$F$5001,Base!$A$3:$A$5001,$B26,Base!$B$3:$B$5001,$B$2))</f>
        <v>20</v>
      </c>
      <c r="G26" s="153">
        <f>IF($B$2="Todos",SUMIFS(Base!$G$3:$G$5001,Base!$A$3:$A$5001,$B26),SUMIFS(Base!$G$3:$G$5001,Base!$A$3:$A$5001,$B26,Base!$B$3:$B$5001,$B$2))</f>
        <v>360</v>
      </c>
      <c r="H26" s="154">
        <f>IF($B$2="Todos",SUMIFS(Base!$H$3:$H$5001,Base!$A$3:$A$5001,$B26),SUMIFS(Base!$H$3:$H$5001,Base!$A$3:$A$5001,$B26,Base!$B$3:$B$5001,$B$2))</f>
        <v>188.88</v>
      </c>
      <c r="I26" s="153">
        <f>IF($B$2="Todos",SUMIFS(Base!$I$3:$I$5001,Base!$A$3:$A$5001,$B26),SUMIFS(Base!$I$3:$I$5001,Base!$A$3:$A$5001,$B26,Base!$B$3:$B$5001,$B$2))</f>
        <v>1</v>
      </c>
      <c r="J26" s="153">
        <f>IF($B$2="Todos",SUMIFS(Base!$J$3:$J$5001,Base!$A$3:$A$5001,$B26),SUMIFS(Base!$J$3:$J$5001,Base!$A$3:$A$5001,$B26,Base!$B$3:$B$5001,$B$2))</f>
        <v>0</v>
      </c>
      <c r="K26" s="153" t="str">
        <f>IF($B$2="Todos",IF(COUNT($C$123:$G$123)=0,"",SUM($C$123:$G$123)),IFERROR(INDEX($C$123:$G$123,MATCH($B$2,$C$108:$G$108,0)),""))</f>
        <v/>
      </c>
      <c r="L26" s="155">
        <f>IF(M26="","",IF($B$2="Todos",$B$4,IFERROR(INDEX($C$193:$G$193,MATCH($B$2,$C$178:$G$178,0)),"")))</f>
        <v>5872</v>
      </c>
      <c r="M26" s="153">
        <f>IF($B$2="Todos",IF(COUNT($C$158:$G$158)=0,"",SUM($C$158:$G$158)),IFERROR(INDEX($C$158:$G$158,MATCH($B$2,$C$143:$G$143,0)),""))</f>
        <v>3618</v>
      </c>
      <c r="N26" s="156">
        <f>IF(AND(ISNUMBER(M26),ISNUMBER(L26)),IF(L26&gt;0,M26/L26,""),"")</f>
        <v>0.616144414168937</v>
      </c>
      <c r="O26" s="153">
        <f>IF($B$2="Todos",IF(COUNT($C$228:$G$228)=0,"",SUM($C$228:$G$228)),IFERROR(INDEX($C$228:$G$228,MATCH($B$2,$C$213:$G$213,0)),""))</f>
        <v>30</v>
      </c>
      <c r="P26" s="153">
        <f>IF($B$2="Todos",SUMIFS(Base!$O$3:$O$5001,Base!$A$3:$A$5001,$B26),SUMIFS(Base!$O$3:$O$5001,Base!$A$3:$A$5001,$B26,Base!$B$3:$B$5001,$B$2))</f>
        <v>0</v>
      </c>
      <c r="Q26" s="153">
        <f>IF($B$2="Todos",SUMIFS(Base!$P$3:$P$5001,Base!$A$3:$A$5001,$B26),SUMIFS(Base!$P$3:$P$5001,Base!$A$3:$A$5001,$B26,Base!$B$3:$B$5001,$B$2))</f>
        <v>0</v>
      </c>
      <c r="R26" s="153">
        <f>IF($B$2="Todos",SUMIFS(Base!$Q$3:$Q$5001,Base!$A$3:$A$5001,$B26),SUMIFS(Base!$Q$3:$Q$5001,Base!$A$3:$A$5001,$B26,Base!$B$3:$B$5001,$B$2))</f>
        <v>0</v>
      </c>
      <c r="S26" s="153">
        <f>IF($B$2="Todos",SUMIFS(Base!$R$3:$R$5001,Base!$A$3:$A$5001,$B26),SUMIFS(Base!$R$3:$R$5001,Base!$A$3:$A$5001,$B26,Base!$B$3:$B$5001,$B$2))</f>
        <v>0</v>
      </c>
      <c r="T26" s="139">
        <f>IF(ISNUMBER($B26),WEEKDAY($B26,2),"")</f>
        <v>2</v>
      </c>
      <c r="U26" s="157">
        <f>CHOOSE($C$3,C26,D26,E26)</f>
        <v>18</v>
      </c>
      <c r="V26" s="157">
        <f>CHOOSE($C$3,F26,G26,H26)</f>
        <v>20</v>
      </c>
      <c r="W26" s="157">
        <f>IFERROR(AVERAGEIF(U12:U42,"&gt;0"),0)</f>
        <v>17.6153846153846</v>
      </c>
      <c r="X26" s="157">
        <f>IFERROR(AVERAGEIF(V12:V42,"&gt;0"),0)</f>
        <v>25.0714285714286</v>
      </c>
      <c r="Y26" s="158">
        <f>$B$5</f>
        <v>0.7</v>
      </c>
      <c r="Z26" s="158">
        <f>$B$6</f>
        <v>0.9</v>
      </c>
      <c r="AH26" s="159" t="inlineStr">
        <is>
          <t xml:space="preserve">MARÇO · 2027</t>
        </is>
      </c>
    </row>
    <row r="27">
      <c r="A27" s="139">
        <v>16</v>
      </c>
      <c r="B27" s="152">
        <f>IF(ISNUMBER($A27),$C$7+$A27-1,"")</f>
        <v>46281</v>
      </c>
      <c r="C27" s="153">
        <f>IF($B$2="Todos",SUMIFS(Base!$C$3:$C$5001,Base!$A$3:$A$5001,$B27),SUMIFS(Base!$C$3:$C$5001,Base!$A$3:$A$5001,$B27,Base!$B$3:$B$5001,$B$2))</f>
        <v>15</v>
      </c>
      <c r="D27" s="153">
        <f>IF($B$2="Todos",SUMIFS(Base!$D$3:$D$5001,Base!$A$3:$A$5001,$B27),SUMIFS(Base!$D$3:$D$5001,Base!$A$3:$A$5001,$B27,Base!$B$3:$B$5001,$B$2))</f>
        <v>380</v>
      </c>
      <c r="E27" s="154">
        <f>IF($B$2="Todos",SUMIFS(Base!$E$3:$E$5001,Base!$A$3:$A$5001,$B27),SUMIFS(Base!$E$3:$E$5001,Base!$A$3:$A$5001,$B27,Base!$B$3:$B$5001,$B$2))</f>
        <v>163.34</v>
      </c>
      <c r="F27" s="153">
        <f>IF($B$2="Todos",SUMIFS(Base!$F$3:$F$5001,Base!$A$3:$A$5001,$B27),SUMIFS(Base!$F$3:$F$5001,Base!$A$3:$A$5001,$B27,Base!$B$3:$B$5001,$B$2))</f>
        <v>23</v>
      </c>
      <c r="G27" s="153">
        <f>IF($B$2="Todos",SUMIFS(Base!$G$3:$G$5001,Base!$A$3:$A$5001,$B27),SUMIFS(Base!$G$3:$G$5001,Base!$A$3:$A$5001,$B27,Base!$B$3:$B$5001,$B$2))</f>
        <v>414</v>
      </c>
      <c r="H27" s="154">
        <f>IF($B$2="Todos",SUMIFS(Base!$H$3:$H$5001,Base!$A$3:$A$5001,$B27),SUMIFS(Base!$H$3:$H$5001,Base!$A$3:$A$5001,$B27,Base!$B$3:$B$5001,$B$2))</f>
        <v>177.94</v>
      </c>
      <c r="I27" s="153">
        <f>IF($B$2="Todos",SUMIFS(Base!$I$3:$I$5001,Base!$A$3:$A$5001,$B27),SUMIFS(Base!$I$3:$I$5001,Base!$A$3:$A$5001,$B27,Base!$B$3:$B$5001,$B$2))</f>
        <v>0</v>
      </c>
      <c r="J27" s="153">
        <f>IF($B$2="Todos",SUMIFS(Base!$J$3:$J$5001,Base!$A$3:$A$5001,$B27),SUMIFS(Base!$J$3:$J$5001,Base!$A$3:$A$5001,$B27,Base!$B$3:$B$5001,$B$2))</f>
        <v>0</v>
      </c>
      <c r="K27" s="153" t="str">
        <f>IF($B$2="Todos",IF(COUNT($C$124:$G$124)=0,"",SUM($C$124:$G$124)),IFERROR(INDEX($C$124:$G$124,MATCH($B$2,$C$108:$G$108,0)),""))</f>
        <v/>
      </c>
      <c r="L27" s="155">
        <f>IF(M27="","",IF($B$2="Todos",$B$4,IFERROR(INDEX($C$194:$G$194,MATCH($B$2,$C$178:$G$178,0)),"")))</f>
        <v>5872</v>
      </c>
      <c r="M27" s="153">
        <f>IF($B$2="Todos",IF(COUNT($C$159:$G$159)=0,"",SUM($C$159:$G$159)),IFERROR(INDEX($C$159:$G$159,MATCH($B$2,$C$143:$G$143,0)),""))</f>
        <v>3543</v>
      </c>
      <c r="N27" s="156">
        <f>IF(AND(ISNUMBER(M27),ISNUMBER(L27)),IF(L27&gt;0,M27/L27,""),"")</f>
        <v>0.603371934604905</v>
      </c>
      <c r="O27" s="153">
        <f>IF($B$2="Todos",IF(COUNT($C$229:$G$229)=0,"",SUM($C$229:$G$229)),IFERROR(INDEX($C$229:$G$229,MATCH($B$2,$C$213:$G$213,0)),""))</f>
        <v>21</v>
      </c>
      <c r="P27" s="153">
        <f>IF($B$2="Todos",SUMIFS(Base!$O$3:$O$5001,Base!$A$3:$A$5001,$B27),SUMIFS(Base!$O$3:$O$5001,Base!$A$3:$A$5001,$B27,Base!$B$3:$B$5001,$B$2))</f>
        <v>0</v>
      </c>
      <c r="Q27" s="153">
        <f>IF($B$2="Todos",SUMIFS(Base!$P$3:$P$5001,Base!$A$3:$A$5001,$B27),SUMIFS(Base!$P$3:$P$5001,Base!$A$3:$A$5001,$B27,Base!$B$3:$B$5001,$B$2))</f>
        <v>0</v>
      </c>
      <c r="R27" s="153">
        <f>IF($B$2="Todos",SUMIFS(Base!$Q$3:$Q$5001,Base!$A$3:$A$5001,$B27),SUMIFS(Base!$Q$3:$Q$5001,Base!$A$3:$A$5001,$B27,Base!$B$3:$B$5001,$B$2))</f>
        <v>0</v>
      </c>
      <c r="S27" s="153">
        <f>IF($B$2="Todos",SUMIFS(Base!$R$3:$R$5001,Base!$A$3:$A$5001,$B27),SUMIFS(Base!$R$3:$R$5001,Base!$A$3:$A$5001,$B27,Base!$B$3:$B$5001,$B$2))</f>
        <v>0</v>
      </c>
      <c r="T27" s="139">
        <f>IF(ISNUMBER($B27),WEEKDAY($B27,2),"")</f>
        <v>3</v>
      </c>
      <c r="U27" s="157">
        <f>CHOOSE($C$3,C27,D27,E27)</f>
        <v>15</v>
      </c>
      <c r="V27" s="157">
        <f>CHOOSE($C$3,F27,G27,H27)</f>
        <v>23</v>
      </c>
      <c r="W27" s="157">
        <f>IFERROR(AVERAGEIF(U12:U42,"&gt;0"),0)</f>
        <v>17.6153846153846</v>
      </c>
      <c r="X27" s="157">
        <f>IFERROR(AVERAGEIF(V12:V42,"&gt;0"),0)</f>
        <v>25.0714285714286</v>
      </c>
      <c r="Y27" s="158">
        <f>$B$5</f>
        <v>0.7</v>
      </c>
      <c r="Z27" s="158">
        <f>$B$6</f>
        <v>0.9</v>
      </c>
      <c r="AH27" s="159" t="inlineStr">
        <is>
          <t xml:space="preserve">ABRIL · 2027</t>
        </is>
      </c>
    </row>
    <row r="28">
      <c r="A28" s="139">
        <v>17</v>
      </c>
      <c r="B28" s="152">
        <f>IF(ISNUMBER($A28),$C$7+$A28-1,"")</f>
        <v>46282</v>
      </c>
      <c r="C28" s="153">
        <f>IF($B$2="Todos",SUMIFS(Base!$C$3:$C$5001,Base!$A$3:$A$5001,$B28),SUMIFS(Base!$C$3:$C$5001,Base!$A$3:$A$5001,$B28,Base!$B$3:$B$5001,$B$2))</f>
        <v>19</v>
      </c>
      <c r="D28" s="153">
        <f>IF($B$2="Todos",SUMIFS(Base!$D$3:$D$5001,Base!$A$3:$A$5001,$B28),SUMIFS(Base!$D$3:$D$5001,Base!$A$3:$A$5001,$B28,Base!$B$3:$B$5001,$B$2))</f>
        <v>456</v>
      </c>
      <c r="E28" s="154">
        <f>IF($B$2="Todos",SUMIFS(Base!$E$3:$E$5001,Base!$A$3:$A$5001,$B28),SUMIFS(Base!$E$3:$E$5001,Base!$A$3:$A$5001,$B28,Base!$B$3:$B$5001,$B$2))</f>
        <v>247.87</v>
      </c>
      <c r="F28" s="153">
        <f>IF($B$2="Todos",SUMIFS(Base!$F$3:$F$5001,Base!$A$3:$A$5001,$B28),SUMIFS(Base!$F$3:$F$5001,Base!$A$3:$A$5001,$B28,Base!$B$3:$B$5001,$B$2))</f>
        <v>28</v>
      </c>
      <c r="G28" s="153">
        <f>IF($B$2="Todos",SUMIFS(Base!$G$3:$G$5001,Base!$A$3:$A$5001,$B28),SUMIFS(Base!$G$3:$G$5001,Base!$A$3:$A$5001,$B28,Base!$B$3:$B$5001,$B$2))</f>
        <v>504</v>
      </c>
      <c r="H28" s="154">
        <f>IF($B$2="Todos",SUMIFS(Base!$H$3:$H$5001,Base!$A$3:$A$5001,$B28),SUMIFS(Base!$H$3:$H$5001,Base!$A$3:$A$5001,$B28,Base!$B$3:$B$5001,$B$2))</f>
        <v>281.45</v>
      </c>
      <c r="I28" s="153">
        <f>IF($B$2="Todos",SUMIFS(Base!$I$3:$I$5001,Base!$A$3:$A$5001,$B28),SUMIFS(Base!$I$3:$I$5001,Base!$A$3:$A$5001,$B28,Base!$B$3:$B$5001,$B$2))</f>
        <v>0</v>
      </c>
      <c r="J28" s="153">
        <f>IF($B$2="Todos",SUMIFS(Base!$J$3:$J$5001,Base!$A$3:$A$5001,$B28),SUMIFS(Base!$J$3:$J$5001,Base!$A$3:$A$5001,$B28,Base!$B$3:$B$5001,$B$2))</f>
        <v>0</v>
      </c>
      <c r="K28" s="153" t="str">
        <f>IF($B$2="Todos",IF(COUNT($C$125:$G$125)=0,"",SUM($C$125:$G$125)),IFERROR(INDEX($C$125:$G$125,MATCH($B$2,$C$108:$G$108,0)),""))</f>
        <v/>
      </c>
      <c r="L28" s="155">
        <f>IF(M28="","",IF($B$2="Todos",$B$4,IFERROR(INDEX($C$195:$G$195,MATCH($B$2,$C$178:$G$178,0)),"")))</f>
        <v>5872</v>
      </c>
      <c r="M28" s="153">
        <f>IF($B$2="Todos",IF(COUNT($C$160:$G$160)=0,"",SUM($C$160:$G$160)),IFERROR(INDEX($C$160:$G$160,MATCH($B$2,$C$143:$G$143,0)),""))</f>
        <v>3112</v>
      </c>
      <c r="N28" s="156">
        <f>IF(AND(ISNUMBER(M28),ISNUMBER(L28)),IF(L28&gt;0,M28/L28,""),"")</f>
        <v>0.529972752043597</v>
      </c>
      <c r="O28" s="153">
        <f>IF($B$2="Todos",IF(COUNT($C$230:$G$230)=0,"",SUM($C$230:$G$230)),IFERROR(INDEX($C$230:$G$230,MATCH($B$2,$C$213:$G$213,0)),""))</f>
        <v>19</v>
      </c>
      <c r="P28" s="153">
        <f>IF($B$2="Todos",SUMIFS(Base!$O$3:$O$5001,Base!$A$3:$A$5001,$B28),SUMIFS(Base!$O$3:$O$5001,Base!$A$3:$A$5001,$B28,Base!$B$3:$B$5001,$B$2))</f>
        <v>0</v>
      </c>
      <c r="Q28" s="153">
        <f>IF($B$2="Todos",SUMIFS(Base!$P$3:$P$5001,Base!$A$3:$A$5001,$B28),SUMIFS(Base!$P$3:$P$5001,Base!$A$3:$A$5001,$B28,Base!$B$3:$B$5001,$B$2))</f>
        <v>0</v>
      </c>
      <c r="R28" s="153">
        <f>IF($B$2="Todos",SUMIFS(Base!$Q$3:$Q$5001,Base!$A$3:$A$5001,$B28),SUMIFS(Base!$Q$3:$Q$5001,Base!$A$3:$A$5001,$B28,Base!$B$3:$B$5001,$B$2))</f>
        <v>0</v>
      </c>
      <c r="S28" s="153">
        <f>IF($B$2="Todos",SUMIFS(Base!$R$3:$R$5001,Base!$A$3:$A$5001,$B28),SUMIFS(Base!$R$3:$R$5001,Base!$A$3:$A$5001,$B28,Base!$B$3:$B$5001,$B$2))</f>
        <v>0</v>
      </c>
      <c r="T28" s="139">
        <f>IF(ISNUMBER($B28),WEEKDAY($B28,2),"")</f>
        <v>4</v>
      </c>
      <c r="U28" s="157">
        <f>CHOOSE($C$3,C28,D28,E28)</f>
        <v>19</v>
      </c>
      <c r="V28" s="157">
        <f>CHOOSE($C$3,F28,G28,H28)</f>
        <v>28</v>
      </c>
      <c r="W28" s="157">
        <f>IFERROR(AVERAGEIF(U12:U42,"&gt;0"),0)</f>
        <v>17.6153846153846</v>
      </c>
      <c r="X28" s="157">
        <f>IFERROR(AVERAGEIF(V12:V42,"&gt;0"),0)</f>
        <v>25.0714285714286</v>
      </c>
      <c r="Y28" s="158">
        <f>$B$5</f>
        <v>0.7</v>
      </c>
      <c r="Z28" s="158">
        <f>$B$6</f>
        <v>0.9</v>
      </c>
      <c r="AH28" s="159" t="inlineStr">
        <is>
          <t xml:space="preserve">MAIO · 2027</t>
        </is>
      </c>
    </row>
    <row r="29">
      <c r="A29" s="139">
        <v>18</v>
      </c>
      <c r="B29" s="152">
        <f>IF(ISNUMBER($A29),$C$7+$A29-1,"")</f>
        <v>46283</v>
      </c>
      <c r="C29" s="153">
        <f>IF($B$2="Todos",SUMIFS(Base!$C$3:$C$5001,Base!$A$3:$A$5001,$B29),SUMIFS(Base!$C$3:$C$5001,Base!$A$3:$A$5001,$B29,Base!$B$3:$B$5001,$B$2))</f>
        <v>22</v>
      </c>
      <c r="D29" s="153">
        <f>IF($B$2="Todos",SUMIFS(Base!$D$3:$D$5001,Base!$A$3:$A$5001,$B29),SUMIFS(Base!$D$3:$D$5001,Base!$A$3:$A$5001,$B29,Base!$B$3:$B$5001,$B$2))</f>
        <v>500</v>
      </c>
      <c r="E29" s="154">
        <f>IF($B$2="Todos",SUMIFS(Base!$E$3:$E$5001,Base!$A$3:$A$5001,$B29),SUMIFS(Base!$E$3:$E$5001,Base!$A$3:$A$5001,$B29,Base!$B$3:$B$5001,$B$2))</f>
        <v>318.29</v>
      </c>
      <c r="F29" s="153">
        <f>IF($B$2="Todos",SUMIFS(Base!$F$3:$F$5001,Base!$A$3:$A$5001,$B29),SUMIFS(Base!$F$3:$F$5001,Base!$A$3:$A$5001,$B29,Base!$B$3:$B$5001,$B$2))</f>
        <v>22</v>
      </c>
      <c r="G29" s="153">
        <f>IF($B$2="Todos",SUMIFS(Base!$G$3:$G$5001,Base!$A$3:$A$5001,$B29),SUMIFS(Base!$G$3:$G$5001,Base!$A$3:$A$5001,$B29,Base!$B$3:$B$5001,$B$2))</f>
        <v>396</v>
      </c>
      <c r="H29" s="154">
        <f>IF($B$2="Todos",SUMIFS(Base!$H$3:$H$5001,Base!$A$3:$A$5001,$B29),SUMIFS(Base!$H$3:$H$5001,Base!$A$3:$A$5001,$B29,Base!$B$3:$B$5001,$B$2))</f>
        <v>287.05</v>
      </c>
      <c r="I29" s="153">
        <f>IF($B$2="Todos",SUMIFS(Base!$I$3:$I$5001,Base!$A$3:$A$5001,$B29),SUMIFS(Base!$I$3:$I$5001,Base!$A$3:$A$5001,$B29,Base!$B$3:$B$5001,$B$2))</f>
        <v>1</v>
      </c>
      <c r="J29" s="153">
        <f>IF($B$2="Todos",SUMIFS(Base!$J$3:$J$5001,Base!$A$3:$A$5001,$B29),SUMIFS(Base!$J$3:$J$5001,Base!$A$3:$A$5001,$B29,Base!$B$3:$B$5001,$B$2))</f>
        <v>0</v>
      </c>
      <c r="K29" s="153" t="str">
        <f>IF($B$2="Todos",IF(COUNT($C$126:$G$126)=0,"",SUM($C$126:$G$126)),IFERROR(INDEX($C$126:$G$126,MATCH($B$2,$C$108:$G$108,0)),""))</f>
        <v/>
      </c>
      <c r="L29" s="155">
        <f>IF(M29="","",IF($B$2="Todos",$B$4,IFERROR(INDEX($C$196:$G$196,MATCH($B$2,$C$178:$G$178,0)),"")))</f>
        <v>5872</v>
      </c>
      <c r="M29" s="153">
        <f>IF($B$2="Todos",IF(COUNT($C$161:$G$161)=0,"",SUM($C$161:$G$161)),IFERROR(INDEX($C$161:$G$161,MATCH($B$2,$C$143:$G$143,0)),""))</f>
        <v>3617</v>
      </c>
      <c r="N29" s="156">
        <f>IF(AND(ISNUMBER(M29),ISNUMBER(L29)),IF(L29&gt;0,M29/L29,""),"")</f>
        <v>0.615974114441417</v>
      </c>
      <c r="O29" s="153">
        <f>IF($B$2="Todos",IF(COUNT($C$231:$G$231)=0,"",SUM($C$231:$G$231)),IFERROR(INDEX($C$231:$G$231,MATCH($B$2,$C$213:$G$213,0)),""))</f>
        <v>28</v>
      </c>
      <c r="P29" s="153">
        <f>IF($B$2="Todos",SUMIFS(Base!$O$3:$O$5001,Base!$A$3:$A$5001,$B29),SUMIFS(Base!$O$3:$O$5001,Base!$A$3:$A$5001,$B29,Base!$B$3:$B$5001,$B$2))</f>
        <v>0</v>
      </c>
      <c r="Q29" s="153">
        <f>IF($B$2="Todos",SUMIFS(Base!$P$3:$P$5001,Base!$A$3:$A$5001,$B29),SUMIFS(Base!$P$3:$P$5001,Base!$A$3:$A$5001,$B29,Base!$B$3:$B$5001,$B$2))</f>
        <v>0</v>
      </c>
      <c r="R29" s="153">
        <f>IF($B$2="Todos",SUMIFS(Base!$Q$3:$Q$5001,Base!$A$3:$A$5001,$B29),SUMIFS(Base!$Q$3:$Q$5001,Base!$A$3:$A$5001,$B29,Base!$B$3:$B$5001,$B$2))</f>
        <v>0</v>
      </c>
      <c r="S29" s="153">
        <f>IF($B$2="Todos",SUMIFS(Base!$R$3:$R$5001,Base!$A$3:$A$5001,$B29),SUMIFS(Base!$R$3:$R$5001,Base!$A$3:$A$5001,$B29,Base!$B$3:$B$5001,$B$2))</f>
        <v>0</v>
      </c>
      <c r="T29" s="139">
        <f>IF(ISNUMBER($B29),WEEKDAY($B29,2),"")</f>
        <v>5</v>
      </c>
      <c r="U29" s="157">
        <f>CHOOSE($C$3,C29,D29,E29)</f>
        <v>22</v>
      </c>
      <c r="V29" s="157">
        <f>CHOOSE($C$3,F29,G29,H29)</f>
        <v>22</v>
      </c>
      <c r="W29" s="157">
        <f>IFERROR(AVERAGEIF(U12:U42,"&gt;0"),0)</f>
        <v>17.6153846153846</v>
      </c>
      <c r="X29" s="157">
        <f>IFERROR(AVERAGEIF(V12:V42,"&gt;0"),0)</f>
        <v>25.0714285714286</v>
      </c>
      <c r="Y29" s="158">
        <f>$B$5</f>
        <v>0.7</v>
      </c>
      <c r="Z29" s="158">
        <f>$B$6</f>
        <v>0.9</v>
      </c>
      <c r="AH29" s="159" t="inlineStr">
        <is>
          <t xml:space="preserve">JUNHO · 2027</t>
        </is>
      </c>
    </row>
    <row r="30">
      <c r="A30" s="139">
        <v>19</v>
      </c>
      <c r="B30" s="152">
        <f>IF(ISNUMBER($A30),$C$7+$A30-1,"")</f>
        <v>46284</v>
      </c>
      <c r="C30" s="153">
        <f>IF($B$2="Todos",SUMIFS(Base!$C$3:$C$5001,Base!$A$3:$A$5001,$B30),SUMIFS(Base!$C$3:$C$5001,Base!$A$3:$A$5001,$B30,Base!$B$3:$B$5001,$B$2))</f>
        <v>0</v>
      </c>
      <c r="D30" s="153">
        <f>IF($B$2="Todos",SUMIFS(Base!$D$3:$D$5001,Base!$A$3:$A$5001,$B30),SUMIFS(Base!$D$3:$D$5001,Base!$A$3:$A$5001,$B30,Base!$B$3:$B$5001,$B$2))</f>
        <v>0</v>
      </c>
      <c r="E30" s="154">
        <f>IF($B$2="Todos",SUMIFS(Base!$E$3:$E$5001,Base!$A$3:$A$5001,$B30),SUMIFS(Base!$E$3:$E$5001,Base!$A$3:$A$5001,$B30,Base!$B$3:$B$5001,$B$2))</f>
        <v>0</v>
      </c>
      <c r="F30" s="153">
        <f>IF($B$2="Todos",SUMIFS(Base!$F$3:$F$5001,Base!$A$3:$A$5001,$B30),SUMIFS(Base!$F$3:$F$5001,Base!$A$3:$A$5001,$B30,Base!$B$3:$B$5001,$B$2))</f>
        <v>0</v>
      </c>
      <c r="G30" s="153">
        <f>IF($B$2="Todos",SUMIFS(Base!$G$3:$G$5001,Base!$A$3:$A$5001,$B30),SUMIFS(Base!$G$3:$G$5001,Base!$A$3:$A$5001,$B30,Base!$B$3:$B$5001,$B$2))</f>
        <v>0</v>
      </c>
      <c r="H30" s="154">
        <f>IF($B$2="Todos",SUMIFS(Base!$H$3:$H$5001,Base!$A$3:$A$5001,$B30),SUMIFS(Base!$H$3:$H$5001,Base!$A$3:$A$5001,$B30,Base!$B$3:$B$5001,$B$2))</f>
        <v>0</v>
      </c>
      <c r="I30" s="153">
        <f>IF($B$2="Todos",SUMIFS(Base!$I$3:$I$5001,Base!$A$3:$A$5001,$B30),SUMIFS(Base!$I$3:$I$5001,Base!$A$3:$A$5001,$B30,Base!$B$3:$B$5001,$B$2))</f>
        <v>0</v>
      </c>
      <c r="J30" s="153">
        <f>IF($B$2="Todos",SUMIFS(Base!$J$3:$J$5001,Base!$A$3:$A$5001,$B30),SUMIFS(Base!$J$3:$J$5001,Base!$A$3:$A$5001,$B30,Base!$B$3:$B$5001,$B$2))</f>
        <v>0</v>
      </c>
      <c r="K30" s="153" t="str">
        <f>IF($B$2="Todos",IF(COUNT($C$127:$G$127)=0,"",SUM($C$127:$G$127)),IFERROR(INDEX($C$127:$G$127,MATCH($B$2,$C$108:$G$108,0)),""))</f>
        <v/>
      </c>
      <c r="L30" s="155">
        <f>IF(M30="","",IF($B$2="Todos",$B$4,IFERROR(INDEX($C$197:$G$197,MATCH($B$2,$C$178:$G$178,0)),"")))</f>
        <v>5872</v>
      </c>
      <c r="M30" s="153">
        <f>IF($B$2="Todos",IF(COUNT($C$162:$G$162)=0,"",SUM($C$162:$G$162)),IFERROR(INDEX($C$162:$G$162,MATCH($B$2,$C$143:$G$143,0)),""))</f>
        <v>3617</v>
      </c>
      <c r="N30" s="156">
        <f>IF(AND(ISNUMBER(M30),ISNUMBER(L30)),IF(L30&gt;0,M30/L30,""),"")</f>
        <v>0.615974114441417</v>
      </c>
      <c r="O30" s="153">
        <f>IF($B$2="Todos",IF(COUNT($C$232:$G$232)=0,"",SUM($C$232:$G$232)),IFERROR(INDEX($C$232:$G$232,MATCH($B$2,$C$213:$G$213,0)),""))</f>
        <v>28</v>
      </c>
      <c r="P30" s="153">
        <f>IF($B$2="Todos",SUMIFS(Base!$O$3:$O$5001,Base!$A$3:$A$5001,$B30),SUMIFS(Base!$O$3:$O$5001,Base!$A$3:$A$5001,$B30,Base!$B$3:$B$5001,$B$2))</f>
        <v>0</v>
      </c>
      <c r="Q30" s="153">
        <f>IF($B$2="Todos",SUMIFS(Base!$P$3:$P$5001,Base!$A$3:$A$5001,$B30),SUMIFS(Base!$P$3:$P$5001,Base!$A$3:$A$5001,$B30,Base!$B$3:$B$5001,$B$2))</f>
        <v>0</v>
      </c>
      <c r="R30" s="153">
        <f>IF($B$2="Todos",SUMIFS(Base!$Q$3:$Q$5001,Base!$A$3:$A$5001,$B30),SUMIFS(Base!$Q$3:$Q$5001,Base!$A$3:$A$5001,$B30,Base!$B$3:$B$5001,$B$2))</f>
        <v>0</v>
      </c>
      <c r="S30" s="153">
        <f>IF($B$2="Todos",SUMIFS(Base!$R$3:$R$5001,Base!$A$3:$A$5001,$B30),SUMIFS(Base!$R$3:$R$5001,Base!$A$3:$A$5001,$B30,Base!$B$3:$B$5001,$B$2))</f>
        <v>0</v>
      </c>
      <c r="T30" s="139">
        <f>IF(ISNUMBER($B30),WEEKDAY($B30,2),"")</f>
        <v>6</v>
      </c>
      <c r="U30" s="157">
        <f>CHOOSE($C$3,C30,D30,E30)</f>
        <v>0</v>
      </c>
      <c r="V30" s="157">
        <f>CHOOSE($C$3,F30,G30,H30)</f>
        <v>0</v>
      </c>
      <c r="W30" s="157">
        <f>IFERROR(AVERAGEIF(U12:U42,"&gt;0"),0)</f>
        <v>17.6153846153846</v>
      </c>
      <c r="X30" s="157">
        <f>IFERROR(AVERAGEIF(V12:V42,"&gt;0"),0)</f>
        <v>25.0714285714286</v>
      </c>
      <c r="Y30" s="158">
        <f>$B$5</f>
        <v>0.7</v>
      </c>
      <c r="Z30" s="158">
        <f>$B$6</f>
        <v>0.9</v>
      </c>
      <c r="AH30" s="159" t="inlineStr">
        <is>
          <t xml:space="preserve">JULHO · 2027</t>
        </is>
      </c>
    </row>
    <row r="31">
      <c r="A31" s="139">
        <v>20</v>
      </c>
      <c r="B31" s="152">
        <f>IF(ISNUMBER($A31),$C$7+$A31-1,"")</f>
        <v>46285</v>
      </c>
      <c r="C31" s="153">
        <f>IF($B$2="Todos",SUMIFS(Base!$C$3:$C$5001,Base!$A$3:$A$5001,$B31),SUMIFS(Base!$C$3:$C$5001,Base!$A$3:$A$5001,$B31,Base!$B$3:$B$5001,$B$2))</f>
        <v>2</v>
      </c>
      <c r="D31" s="153">
        <f>IF($B$2="Todos",SUMIFS(Base!$D$3:$D$5001,Base!$A$3:$A$5001,$B31),SUMIFS(Base!$D$3:$D$5001,Base!$A$3:$A$5001,$B31,Base!$B$3:$B$5001,$B$2))</f>
        <v>40</v>
      </c>
      <c r="E31" s="154">
        <f>IF($B$2="Todos",SUMIFS(Base!$E$3:$E$5001,Base!$A$3:$A$5001,$B31),SUMIFS(Base!$E$3:$E$5001,Base!$A$3:$A$5001,$B31,Base!$B$3:$B$5001,$B$2))</f>
        <v>35.29</v>
      </c>
      <c r="F31" s="153">
        <f>IF($B$2="Todos",SUMIFS(Base!$F$3:$F$5001,Base!$A$3:$A$5001,$B31),SUMIFS(Base!$F$3:$F$5001,Base!$A$3:$A$5001,$B31,Base!$B$3:$B$5001,$B$2))</f>
        <v>11</v>
      </c>
      <c r="G31" s="153">
        <f>IF($B$2="Todos",SUMIFS(Base!$G$3:$G$5001,Base!$A$3:$A$5001,$B31),SUMIFS(Base!$G$3:$G$5001,Base!$A$3:$A$5001,$B31,Base!$B$3:$B$5001,$B$2))</f>
        <v>198</v>
      </c>
      <c r="H31" s="154">
        <f>IF($B$2="Todos",SUMIFS(Base!$H$3:$H$5001,Base!$A$3:$A$5001,$B31),SUMIFS(Base!$H$3:$H$5001,Base!$A$3:$A$5001,$B31,Base!$B$3:$B$5001,$B$2))</f>
        <v>142.53</v>
      </c>
      <c r="I31" s="153">
        <f>IF($B$2="Todos",SUMIFS(Base!$I$3:$I$5001,Base!$A$3:$A$5001,$B31),SUMIFS(Base!$I$3:$I$5001,Base!$A$3:$A$5001,$B31,Base!$B$3:$B$5001,$B$2))</f>
        <v>0</v>
      </c>
      <c r="J31" s="153">
        <f>IF($B$2="Todos",SUMIFS(Base!$J$3:$J$5001,Base!$A$3:$A$5001,$B31),SUMIFS(Base!$J$3:$J$5001,Base!$A$3:$A$5001,$B31,Base!$B$3:$B$5001,$B$2))</f>
        <v>0</v>
      </c>
      <c r="K31" s="153" t="str">
        <f>IF($B$2="Todos",IF(COUNT($C$128:$G$128)=0,"",SUM($C$128:$G$128)),IFERROR(INDEX($C$128:$G$128,MATCH($B$2,$C$108:$G$108,0)),""))</f>
        <v/>
      </c>
      <c r="L31" s="155">
        <f>IF(M31="","",IF($B$2="Todos",$B$4,IFERROR(INDEX($C$198:$G$198,MATCH($B$2,$C$178:$G$178,0)),"")))</f>
        <v>5872</v>
      </c>
      <c r="M31" s="153">
        <f>IF($B$2="Todos",IF(COUNT($C$163:$G$163)=0,"",SUM($C$163:$G$163)),IFERROR(INDEX($C$163:$G$163,MATCH($B$2,$C$143:$G$143,0)),""))</f>
        <v>3640</v>
      </c>
      <c r="N31" s="156">
        <f>IF(AND(ISNUMBER(M31),ISNUMBER(L31)),IF(L31&gt;0,M31/L31,""),"")</f>
        <v>0.619891008174387</v>
      </c>
      <c r="O31" s="153">
        <f>IF($B$2="Todos",IF(COUNT($C$233:$G$233)=0,"",SUM($C$233:$G$233)),IFERROR(INDEX($C$233:$G$233,MATCH($B$2,$C$213:$G$213,0)),""))</f>
        <v>25</v>
      </c>
      <c r="P31" s="153">
        <f>IF($B$2="Todos",SUMIFS(Base!$O$3:$O$5001,Base!$A$3:$A$5001,$B31),SUMIFS(Base!$O$3:$O$5001,Base!$A$3:$A$5001,$B31,Base!$B$3:$B$5001,$B$2))</f>
        <v>0</v>
      </c>
      <c r="Q31" s="153">
        <f>IF($B$2="Todos",SUMIFS(Base!$P$3:$P$5001,Base!$A$3:$A$5001,$B31),SUMIFS(Base!$P$3:$P$5001,Base!$A$3:$A$5001,$B31,Base!$B$3:$B$5001,$B$2))</f>
        <v>0</v>
      </c>
      <c r="R31" s="153">
        <f>IF($B$2="Todos",SUMIFS(Base!$Q$3:$Q$5001,Base!$A$3:$A$5001,$B31),SUMIFS(Base!$Q$3:$Q$5001,Base!$A$3:$A$5001,$B31,Base!$B$3:$B$5001,$B$2))</f>
        <v>0</v>
      </c>
      <c r="S31" s="153">
        <f>IF($B$2="Todos",SUMIFS(Base!$R$3:$R$5001,Base!$A$3:$A$5001,$B31),SUMIFS(Base!$R$3:$R$5001,Base!$A$3:$A$5001,$B31,Base!$B$3:$B$5001,$B$2))</f>
        <v>0</v>
      </c>
      <c r="T31" s="139">
        <f>IF(ISNUMBER($B31),WEEKDAY($B31,2),"")</f>
        <v>7</v>
      </c>
      <c r="U31" s="157">
        <f>CHOOSE($C$3,C31,D31,E31)</f>
        <v>2</v>
      </c>
      <c r="V31" s="157">
        <f>CHOOSE($C$3,F31,G31,H31)</f>
        <v>11</v>
      </c>
      <c r="W31" s="157">
        <f>IFERROR(AVERAGEIF(U12:U42,"&gt;0"),0)</f>
        <v>17.6153846153846</v>
      </c>
      <c r="X31" s="157">
        <f>IFERROR(AVERAGEIF(V12:V42,"&gt;0"),0)</f>
        <v>25.0714285714286</v>
      </c>
      <c r="Y31" s="158">
        <f>$B$5</f>
        <v>0.7</v>
      </c>
      <c r="Z31" s="158">
        <f>$B$6</f>
        <v>0.9</v>
      </c>
      <c r="AH31" s="159" t="inlineStr">
        <is>
          <t xml:space="preserve">AGOSTO · 2027</t>
        </is>
      </c>
    </row>
    <row r="32">
      <c r="A32" s="139">
        <v>21</v>
      </c>
      <c r="B32" s="152">
        <f>IF(ISNUMBER($A32),$C$7+$A32-1,"")</f>
        <v>46286</v>
      </c>
      <c r="C32" s="153">
        <f>IF($B$2="Todos",SUMIFS(Base!$C$3:$C$5001,Base!$A$3:$A$5001,$B32),SUMIFS(Base!$C$3:$C$5001,Base!$A$3:$A$5001,$B32,Base!$B$3:$B$5001,$B$2))</f>
        <v>11</v>
      </c>
      <c r="D32" s="153">
        <f>IF($B$2="Todos",SUMIFS(Base!$D$3:$D$5001,Base!$A$3:$A$5001,$B32),SUMIFS(Base!$D$3:$D$5001,Base!$A$3:$A$5001,$B32,Base!$B$3:$B$5001,$B$2))</f>
        <v>238</v>
      </c>
      <c r="E32" s="154">
        <f>IF($B$2="Todos",SUMIFS(Base!$E$3:$E$5001,Base!$A$3:$A$5001,$B32),SUMIFS(Base!$E$3:$E$5001,Base!$A$3:$A$5001,$B32,Base!$B$3:$B$5001,$B$2))</f>
        <v>181.17</v>
      </c>
      <c r="F32" s="153">
        <f>IF($B$2="Todos",SUMIFS(Base!$F$3:$F$5001,Base!$A$3:$A$5001,$B32),SUMIFS(Base!$F$3:$F$5001,Base!$A$3:$A$5001,$B32,Base!$B$3:$B$5001,$B$2))</f>
        <v>17</v>
      </c>
      <c r="G32" s="153">
        <f>IF($B$2="Todos",SUMIFS(Base!$G$3:$G$5001,Base!$A$3:$A$5001,$B32),SUMIFS(Base!$G$3:$G$5001,Base!$A$3:$A$5001,$B32,Base!$B$3:$B$5001,$B$2))</f>
        <v>306</v>
      </c>
      <c r="H32" s="154">
        <f>IF($B$2="Todos",SUMIFS(Base!$H$3:$H$5001,Base!$A$3:$A$5001,$B32),SUMIFS(Base!$H$3:$H$5001,Base!$A$3:$A$5001,$B32,Base!$B$3:$B$5001,$B$2))</f>
        <v>219.61</v>
      </c>
      <c r="I32" s="153">
        <f>IF($B$2="Todos",SUMIFS(Base!$I$3:$I$5001,Base!$A$3:$A$5001,$B32),SUMIFS(Base!$I$3:$I$5001,Base!$A$3:$A$5001,$B32,Base!$B$3:$B$5001,$B$2))</f>
        <v>1</v>
      </c>
      <c r="J32" s="153">
        <f>IF($B$2="Todos",SUMIFS(Base!$J$3:$J$5001,Base!$A$3:$A$5001,$B32),SUMIFS(Base!$J$3:$J$5001,Base!$A$3:$A$5001,$B32,Base!$B$3:$B$5001,$B$2))</f>
        <v>0</v>
      </c>
      <c r="K32" s="153" t="str">
        <f>IF($B$2="Todos",IF(COUNT($C$129:$G$129)=0,"",SUM($C$129:$G$129)),IFERROR(INDEX($C$129:$G$129,MATCH($B$2,$C$108:$G$108,0)),""))</f>
        <v/>
      </c>
      <c r="L32" s="155">
        <f>IF(M32="","",IF($B$2="Todos",$B$4,IFERROR(INDEX($C$199:$G$199,MATCH($B$2,$C$178:$G$178,0)),"")))</f>
        <v>5872</v>
      </c>
      <c r="M32" s="153">
        <f>IF($B$2="Todos",IF(COUNT($C$164:$G$164)=0,"",SUM($C$164:$G$164)),IFERROR(INDEX($C$164:$G$164,MATCH($B$2,$C$143:$G$143,0)),""))</f>
        <v>3972</v>
      </c>
      <c r="N32" s="156">
        <f>IF(AND(ISNUMBER(M32),ISNUMBER(L32)),IF(L32&gt;0,M32/L32,""),"")</f>
        <v>0.676430517711172</v>
      </c>
      <c r="O32" s="153">
        <f>IF($B$2="Todos",IF(COUNT($C$234:$G$234)=0,"",SUM($C$234:$G$234)),IFERROR(INDEX($C$234:$G$234,MATCH($B$2,$C$213:$G$213,0)),""))</f>
        <v>30</v>
      </c>
      <c r="P32" s="153">
        <f>IF($B$2="Todos",SUMIFS(Base!$O$3:$O$5001,Base!$A$3:$A$5001,$B32),SUMIFS(Base!$O$3:$O$5001,Base!$A$3:$A$5001,$B32,Base!$B$3:$B$5001,$B$2))</f>
        <v>0</v>
      </c>
      <c r="Q32" s="153">
        <f>IF($B$2="Todos",SUMIFS(Base!$P$3:$P$5001,Base!$A$3:$A$5001,$B32),SUMIFS(Base!$P$3:$P$5001,Base!$A$3:$A$5001,$B32,Base!$B$3:$B$5001,$B$2))</f>
        <v>0</v>
      </c>
      <c r="R32" s="153">
        <f>IF($B$2="Todos",SUMIFS(Base!$Q$3:$Q$5001,Base!$A$3:$A$5001,$B32),SUMIFS(Base!$Q$3:$Q$5001,Base!$A$3:$A$5001,$B32,Base!$B$3:$B$5001,$B$2))</f>
        <v>0</v>
      </c>
      <c r="S32" s="153">
        <f>IF($B$2="Todos",SUMIFS(Base!$R$3:$R$5001,Base!$A$3:$A$5001,$B32),SUMIFS(Base!$R$3:$R$5001,Base!$A$3:$A$5001,$B32,Base!$B$3:$B$5001,$B$2))</f>
        <v>0</v>
      </c>
      <c r="T32" s="139">
        <f>IF(ISNUMBER($B32),WEEKDAY($B32,2),"")</f>
        <v>1</v>
      </c>
      <c r="U32" s="157">
        <f>CHOOSE($C$3,C32,D32,E32)</f>
        <v>11</v>
      </c>
      <c r="V32" s="157">
        <f>CHOOSE($C$3,F32,G32,H32)</f>
        <v>17</v>
      </c>
      <c r="W32" s="157">
        <f>IFERROR(AVERAGEIF(U12:U42,"&gt;0"),0)</f>
        <v>17.6153846153846</v>
      </c>
      <c r="X32" s="157">
        <f>IFERROR(AVERAGEIF(V12:V42,"&gt;0"),0)</f>
        <v>25.0714285714286</v>
      </c>
      <c r="Y32" s="158">
        <f>$B$5</f>
        <v>0.7</v>
      </c>
      <c r="Z32" s="158">
        <f>$B$6</f>
        <v>0.9</v>
      </c>
      <c r="AH32" s="159" t="inlineStr">
        <is>
          <t xml:space="preserve">SETEMBRO · 2027</t>
        </is>
      </c>
    </row>
    <row r="33">
      <c r="A33" s="139">
        <v>22</v>
      </c>
      <c r="B33" s="152">
        <f>IF(ISNUMBER($A33),$C$7+$A33-1,"")</f>
        <v>46287</v>
      </c>
      <c r="C33" s="153">
        <f>IF($B$2="Todos",SUMIFS(Base!$C$3:$C$5001,Base!$A$3:$A$5001,$B33),SUMIFS(Base!$C$3:$C$5001,Base!$A$3:$A$5001,$B33,Base!$B$3:$B$5001,$B$2))</f>
        <v>20</v>
      </c>
      <c r="D33" s="153">
        <f>IF($B$2="Todos",SUMIFS(Base!$D$3:$D$5001,Base!$A$3:$A$5001,$B33),SUMIFS(Base!$D$3:$D$5001,Base!$A$3:$A$5001,$B33,Base!$B$3:$B$5001,$B$2))</f>
        <v>475</v>
      </c>
      <c r="E33" s="154">
        <f>IF($B$2="Todos",SUMIFS(Base!$E$3:$E$5001,Base!$A$3:$A$5001,$B33),SUMIFS(Base!$E$3:$E$5001,Base!$A$3:$A$5001,$B33,Base!$B$3:$B$5001,$B$2))</f>
        <v>352.72</v>
      </c>
      <c r="F33" s="153">
        <f>IF($B$2="Todos",SUMIFS(Base!$F$3:$F$5001,Base!$A$3:$A$5001,$B33),SUMIFS(Base!$F$3:$F$5001,Base!$A$3:$A$5001,$B33,Base!$B$3:$B$5001,$B$2))</f>
        <v>19</v>
      </c>
      <c r="G33" s="153">
        <f>IF($B$2="Todos",SUMIFS(Base!$G$3:$G$5001,Base!$A$3:$A$5001,$B33),SUMIFS(Base!$G$3:$G$5001,Base!$A$3:$A$5001,$B33,Base!$B$3:$B$5001,$B$2))</f>
        <v>342</v>
      </c>
      <c r="H33" s="154">
        <f>IF($B$2="Todos",SUMIFS(Base!$H$3:$H$5001,Base!$A$3:$A$5001,$B33),SUMIFS(Base!$H$3:$H$5001,Base!$A$3:$A$5001,$B33,Base!$B$3:$B$5001,$B$2))</f>
        <v>259.36</v>
      </c>
      <c r="I33" s="153">
        <f>IF($B$2="Todos",SUMIFS(Base!$I$3:$I$5001,Base!$A$3:$A$5001,$B33),SUMIFS(Base!$I$3:$I$5001,Base!$A$3:$A$5001,$B33,Base!$B$3:$B$5001,$B$2))</f>
        <v>0</v>
      </c>
      <c r="J33" s="153">
        <f>IF($B$2="Todos",SUMIFS(Base!$J$3:$J$5001,Base!$A$3:$A$5001,$B33),SUMIFS(Base!$J$3:$J$5001,Base!$A$3:$A$5001,$B33,Base!$B$3:$B$5001,$B$2))</f>
        <v>0</v>
      </c>
      <c r="K33" s="153" t="str">
        <f>IF($B$2="Todos",IF(COUNT($C$130:$G$130)=0,"",SUM($C$130:$G$130)),IFERROR(INDEX($C$130:$G$130,MATCH($B$2,$C$108:$G$108,0)),""))</f>
        <v/>
      </c>
      <c r="L33" s="155">
        <f>IF(M33="","",IF($B$2="Todos",$B$4,IFERROR(INDEX($C$200:$G$200,MATCH($B$2,$C$178:$G$178,0)),"")))</f>
        <v>5872</v>
      </c>
      <c r="M33" s="153">
        <f>IF($B$2="Todos",IF(COUNT($C$165:$G$165)=0,"",SUM($C$165:$G$165)),IFERROR(INDEX($C$165:$G$165,MATCH($B$2,$C$143:$G$143,0)),""))</f>
        <v>3828</v>
      </c>
      <c r="N33" s="156">
        <f>IF(AND(ISNUMBER(M33),ISNUMBER(L33)),IF(L33&gt;0,M33/L33,""),"")</f>
        <v>0.651907356948229</v>
      </c>
      <c r="O33" s="153">
        <f>IF($B$2="Todos",IF(COUNT($C$235:$G$235)=0,"",SUM($C$235:$G$235)),IFERROR(INDEX($C$235:$G$235,MATCH($B$2,$C$213:$G$213,0)),""))</f>
        <v>37</v>
      </c>
      <c r="P33" s="153">
        <f>IF($B$2="Todos",SUMIFS(Base!$O$3:$O$5001,Base!$A$3:$A$5001,$B33),SUMIFS(Base!$O$3:$O$5001,Base!$A$3:$A$5001,$B33,Base!$B$3:$B$5001,$B$2))</f>
        <v>0</v>
      </c>
      <c r="Q33" s="153">
        <f>IF($B$2="Todos",SUMIFS(Base!$P$3:$P$5001,Base!$A$3:$A$5001,$B33),SUMIFS(Base!$P$3:$P$5001,Base!$A$3:$A$5001,$B33,Base!$B$3:$B$5001,$B$2))</f>
        <v>0</v>
      </c>
      <c r="R33" s="153">
        <f>IF($B$2="Todos",SUMIFS(Base!$Q$3:$Q$5001,Base!$A$3:$A$5001,$B33),SUMIFS(Base!$Q$3:$Q$5001,Base!$A$3:$A$5001,$B33,Base!$B$3:$B$5001,$B$2))</f>
        <v>0</v>
      </c>
      <c r="S33" s="153">
        <f>IF($B$2="Todos",SUMIFS(Base!$R$3:$R$5001,Base!$A$3:$A$5001,$B33),SUMIFS(Base!$R$3:$R$5001,Base!$A$3:$A$5001,$B33,Base!$B$3:$B$5001,$B$2))</f>
        <v>0</v>
      </c>
      <c r="T33" s="139">
        <f>IF(ISNUMBER($B33),WEEKDAY($B33,2),"")</f>
        <v>2</v>
      </c>
      <c r="U33" s="157">
        <f>CHOOSE($C$3,C33,D33,E33)</f>
        <v>20</v>
      </c>
      <c r="V33" s="157">
        <f>CHOOSE($C$3,F33,G33,H33)</f>
        <v>19</v>
      </c>
      <c r="W33" s="157">
        <f>IFERROR(AVERAGEIF(U12:U42,"&gt;0"),0)</f>
        <v>17.6153846153846</v>
      </c>
      <c r="X33" s="157">
        <f>IFERROR(AVERAGEIF(V12:V42,"&gt;0"),0)</f>
        <v>25.0714285714286</v>
      </c>
      <c r="Y33" s="158">
        <f>$B$5</f>
        <v>0.7</v>
      </c>
      <c r="Z33" s="158">
        <f>$B$6</f>
        <v>0.9</v>
      </c>
      <c r="AH33" s="159" t="inlineStr">
        <is>
          <t xml:space="preserve">OUTUBRO · 2027</t>
        </is>
      </c>
    </row>
    <row r="34">
      <c r="A34" s="139">
        <v>23</v>
      </c>
      <c r="B34" s="152">
        <f>IF(ISNUMBER($A34),$C$7+$A34-1,"")</f>
        <v>46288</v>
      </c>
      <c r="C34" s="153">
        <f>IF($B$2="Todos",SUMIFS(Base!$C$3:$C$5001,Base!$A$3:$A$5001,$B34),SUMIFS(Base!$C$3:$C$5001,Base!$A$3:$A$5001,$B34,Base!$B$3:$B$5001,$B$2))</f>
        <v>35</v>
      </c>
      <c r="D34" s="153">
        <f>IF($B$2="Todos",SUMIFS(Base!$D$3:$D$5001,Base!$A$3:$A$5001,$B34),SUMIFS(Base!$D$3:$D$5001,Base!$A$3:$A$5001,$B34,Base!$B$3:$B$5001,$B$2))</f>
        <v>872</v>
      </c>
      <c r="E34" s="154">
        <f>IF($B$2="Todos",SUMIFS(Base!$E$3:$E$5001,Base!$A$3:$A$5001,$B34),SUMIFS(Base!$E$3:$E$5001,Base!$A$3:$A$5001,$B34,Base!$B$3:$B$5001,$B$2))</f>
        <v>442.29</v>
      </c>
      <c r="F34" s="153">
        <f>IF($B$2="Todos",SUMIFS(Base!$F$3:$F$5001,Base!$A$3:$A$5001,$B34),SUMIFS(Base!$F$3:$F$5001,Base!$A$3:$A$5001,$B34,Base!$B$3:$B$5001,$B$2))</f>
        <v>20</v>
      </c>
      <c r="G34" s="153">
        <f>IF($B$2="Todos",SUMIFS(Base!$G$3:$G$5001,Base!$A$3:$A$5001,$B34),SUMIFS(Base!$G$3:$G$5001,Base!$A$3:$A$5001,$B34,Base!$B$3:$B$5001,$B$2))</f>
        <v>360</v>
      </c>
      <c r="H34" s="154">
        <f>IF($B$2="Todos",SUMIFS(Base!$H$3:$H$5001,Base!$A$3:$A$5001,$B34),SUMIFS(Base!$H$3:$H$5001,Base!$A$3:$A$5001,$B34,Base!$B$3:$B$5001,$B$2))</f>
        <v>183.15</v>
      </c>
      <c r="I34" s="153">
        <f>IF($B$2="Todos",SUMIFS(Base!$I$3:$I$5001,Base!$A$3:$A$5001,$B34),SUMIFS(Base!$I$3:$I$5001,Base!$A$3:$A$5001,$B34,Base!$B$3:$B$5001,$B$2))</f>
        <v>0</v>
      </c>
      <c r="J34" s="153">
        <f>IF($B$2="Todos",SUMIFS(Base!$J$3:$J$5001,Base!$A$3:$A$5001,$B34),SUMIFS(Base!$J$3:$J$5001,Base!$A$3:$A$5001,$B34,Base!$B$3:$B$5001,$B$2))</f>
        <v>0</v>
      </c>
      <c r="K34" s="153" t="str">
        <f>IF($B$2="Todos",IF(COUNT($C$131:$G$131)=0,"",SUM($C$131:$G$131)),IFERROR(INDEX($C$131:$G$131,MATCH($B$2,$C$108:$G$108,0)),""))</f>
        <v/>
      </c>
      <c r="L34" s="155">
        <f>IF(M34="","",IF($B$2="Todos",$B$4,IFERROR(INDEX($C$201:$G$201,MATCH($B$2,$C$178:$G$178,0)),"")))</f>
        <v>5872</v>
      </c>
      <c r="M34" s="153">
        <f>IF($B$2="Todos",IF(COUNT($C$166:$G$166)=0,"",SUM($C$166:$G$166)),IFERROR(INDEX($C$166:$G$166,MATCH($B$2,$C$143:$G$143,0)),""))</f>
        <v>3295</v>
      </c>
      <c r="N34" s="156">
        <f>IF(AND(ISNUMBER(M34),ISNUMBER(L34)),IF(L34&gt;0,M34/L34,""),"")</f>
        <v>0.561137602179837</v>
      </c>
      <c r="O34" s="153">
        <f>IF($B$2="Todos",IF(COUNT($C$236:$G$236)=0,"",SUM($C$236:$G$236)),IFERROR(INDEX($C$236:$G$236,MATCH($B$2,$C$213:$G$213,0)),""))</f>
        <v>29</v>
      </c>
      <c r="P34" s="153">
        <f>IF($B$2="Todos",SUMIFS(Base!$O$3:$O$5001,Base!$A$3:$A$5001,$B34),SUMIFS(Base!$O$3:$O$5001,Base!$A$3:$A$5001,$B34,Base!$B$3:$B$5001,$B$2))</f>
        <v>0</v>
      </c>
      <c r="Q34" s="153">
        <f>IF($B$2="Todos",SUMIFS(Base!$P$3:$P$5001,Base!$A$3:$A$5001,$B34),SUMIFS(Base!$P$3:$P$5001,Base!$A$3:$A$5001,$B34,Base!$B$3:$B$5001,$B$2))</f>
        <v>0</v>
      </c>
      <c r="R34" s="153">
        <f>IF($B$2="Todos",SUMIFS(Base!$Q$3:$Q$5001,Base!$A$3:$A$5001,$B34),SUMIFS(Base!$Q$3:$Q$5001,Base!$A$3:$A$5001,$B34,Base!$B$3:$B$5001,$B$2))</f>
        <v>0</v>
      </c>
      <c r="S34" s="153">
        <f>IF($B$2="Todos",SUMIFS(Base!$R$3:$R$5001,Base!$A$3:$A$5001,$B34),SUMIFS(Base!$R$3:$R$5001,Base!$A$3:$A$5001,$B34,Base!$B$3:$B$5001,$B$2))</f>
        <v>0</v>
      </c>
      <c r="T34" s="139">
        <f>IF(ISNUMBER($B34),WEEKDAY($B34,2),"")</f>
        <v>3</v>
      </c>
      <c r="U34" s="157">
        <f>CHOOSE($C$3,C34,D34,E34)</f>
        <v>35</v>
      </c>
      <c r="V34" s="157">
        <f>CHOOSE($C$3,F34,G34,H34)</f>
        <v>20</v>
      </c>
      <c r="W34" s="157">
        <f>IFERROR(AVERAGEIF(U12:U42,"&gt;0"),0)</f>
        <v>17.6153846153846</v>
      </c>
      <c r="X34" s="157">
        <f>IFERROR(AVERAGEIF(V12:V42,"&gt;0"),0)</f>
        <v>25.0714285714286</v>
      </c>
      <c r="Y34" s="158">
        <f>$B$5</f>
        <v>0.7</v>
      </c>
      <c r="Z34" s="158">
        <f>$B$6</f>
        <v>0.9</v>
      </c>
      <c r="AH34" s="159" t="inlineStr">
        <is>
          <t xml:space="preserve">NOVEMBRO · 2027</t>
        </is>
      </c>
    </row>
    <row r="35">
      <c r="A35" s="139">
        <v>24</v>
      </c>
      <c r="B35" s="152">
        <f>IF(ISNUMBER($A35),$C$7+$A35-1,"")</f>
        <v>46289</v>
      </c>
      <c r="C35" s="153">
        <f>IF($B$2="Todos",SUMIFS(Base!$C$3:$C$5001,Base!$A$3:$A$5001,$B35),SUMIFS(Base!$C$3:$C$5001,Base!$A$3:$A$5001,$B35,Base!$B$3:$B$5001,$B$2))</f>
        <v>27</v>
      </c>
      <c r="D35" s="153">
        <f>IF($B$2="Todos",SUMIFS(Base!$D$3:$D$5001,Base!$A$3:$A$5001,$B35),SUMIFS(Base!$D$3:$D$5001,Base!$A$3:$A$5001,$B35,Base!$B$3:$B$5001,$B$2))</f>
        <v>636</v>
      </c>
      <c r="E35" s="154">
        <f>IF($B$2="Todos",SUMIFS(Base!$E$3:$E$5001,Base!$A$3:$A$5001,$B35),SUMIFS(Base!$E$3:$E$5001,Base!$A$3:$A$5001,$B35,Base!$B$3:$B$5001,$B$2))</f>
        <v>431.05</v>
      </c>
      <c r="F35" s="153">
        <f>IF($B$2="Todos",SUMIFS(Base!$F$3:$F$5001,Base!$A$3:$A$5001,$B35),SUMIFS(Base!$F$3:$F$5001,Base!$A$3:$A$5001,$B35,Base!$B$3:$B$5001,$B$2))</f>
        <v>20</v>
      </c>
      <c r="G35" s="153">
        <f>IF($B$2="Todos",SUMIFS(Base!$G$3:$G$5001,Base!$A$3:$A$5001,$B35),SUMIFS(Base!$G$3:$G$5001,Base!$A$3:$A$5001,$B35,Base!$B$3:$B$5001,$B$2))</f>
        <v>360</v>
      </c>
      <c r="H35" s="154">
        <f>IF($B$2="Todos",SUMIFS(Base!$H$3:$H$5001,Base!$A$3:$A$5001,$B35),SUMIFS(Base!$H$3:$H$5001,Base!$A$3:$A$5001,$B35,Base!$B$3:$B$5001,$B$2))</f>
        <v>196.04</v>
      </c>
      <c r="I35" s="153">
        <f>IF($B$2="Todos",SUMIFS(Base!$I$3:$I$5001,Base!$A$3:$A$5001,$B35),SUMIFS(Base!$I$3:$I$5001,Base!$A$3:$A$5001,$B35,Base!$B$3:$B$5001,$B$2))</f>
        <v>0</v>
      </c>
      <c r="J35" s="153">
        <f>IF($B$2="Todos",SUMIFS(Base!$J$3:$J$5001,Base!$A$3:$A$5001,$B35),SUMIFS(Base!$J$3:$J$5001,Base!$A$3:$A$5001,$B35,Base!$B$3:$B$5001,$B$2))</f>
        <v>0</v>
      </c>
      <c r="K35" s="153" t="str">
        <f>IF($B$2="Todos",IF(COUNT($C$132:$G$132)=0,"",SUM($C$132:$G$132)),IFERROR(INDEX($C$132:$G$132,MATCH($B$2,$C$108:$G$108,0)),""))</f>
        <v/>
      </c>
      <c r="L35" s="155">
        <f>IF(M35="","",IF($B$2="Todos",$B$4,IFERROR(INDEX($C$202:$G$202,MATCH($B$2,$C$178:$G$178,0)),"")))</f>
        <v>5872</v>
      </c>
      <c r="M35" s="153">
        <f>IF($B$2="Todos",IF(COUNT($C$167:$G$167)=0,"",SUM($C$167:$G$167)),IFERROR(INDEX($C$167:$G$167,MATCH($B$2,$C$143:$G$143,0)),""))</f>
        <v>3741</v>
      </c>
      <c r="N35" s="156">
        <f>IF(AND(ISNUMBER(M35),ISNUMBER(L35)),IF(L35&gt;0,M35/L35,""),"")</f>
        <v>0.637091280653951</v>
      </c>
      <c r="O35" s="153">
        <f>IF($B$2="Todos",IF(COUNT($C$237:$G$237)=0,"",SUM($C$237:$G$237)),IFERROR(INDEX($C$237:$G$237,MATCH($B$2,$C$213:$G$213,0)),""))</f>
        <v>36</v>
      </c>
      <c r="P35" s="153">
        <f>IF($B$2="Todos",SUMIFS(Base!$O$3:$O$5001,Base!$A$3:$A$5001,$B35),SUMIFS(Base!$O$3:$O$5001,Base!$A$3:$A$5001,$B35,Base!$B$3:$B$5001,$B$2))</f>
        <v>0</v>
      </c>
      <c r="Q35" s="153">
        <f>IF($B$2="Todos",SUMIFS(Base!$P$3:$P$5001,Base!$A$3:$A$5001,$B35),SUMIFS(Base!$P$3:$P$5001,Base!$A$3:$A$5001,$B35,Base!$B$3:$B$5001,$B$2))</f>
        <v>0</v>
      </c>
      <c r="R35" s="153">
        <f>IF($B$2="Todos",SUMIFS(Base!$Q$3:$Q$5001,Base!$A$3:$A$5001,$B35),SUMIFS(Base!$Q$3:$Q$5001,Base!$A$3:$A$5001,$B35,Base!$B$3:$B$5001,$B$2))</f>
        <v>0</v>
      </c>
      <c r="S35" s="153">
        <f>IF($B$2="Todos",SUMIFS(Base!$R$3:$R$5001,Base!$A$3:$A$5001,$B35),SUMIFS(Base!$R$3:$R$5001,Base!$A$3:$A$5001,$B35,Base!$B$3:$B$5001,$B$2))</f>
        <v>0</v>
      </c>
      <c r="T35" s="139">
        <f>IF(ISNUMBER($B35),WEEKDAY($B35,2),"")</f>
        <v>4</v>
      </c>
      <c r="U35" s="157">
        <f>CHOOSE($C$3,C35,D35,E35)</f>
        <v>27</v>
      </c>
      <c r="V35" s="157">
        <f>CHOOSE($C$3,F35,G35,H35)</f>
        <v>20</v>
      </c>
      <c r="W35" s="157">
        <f>IFERROR(AVERAGEIF(U12:U42,"&gt;0"),0)</f>
        <v>17.6153846153846</v>
      </c>
      <c r="X35" s="157">
        <f>IFERROR(AVERAGEIF(V12:V42,"&gt;0"),0)</f>
        <v>25.0714285714286</v>
      </c>
      <c r="Y35" s="158">
        <f>$B$5</f>
        <v>0.7</v>
      </c>
      <c r="Z35" s="158">
        <f>$B$6</f>
        <v>0.9</v>
      </c>
      <c r="AH35" s="159" t="inlineStr">
        <is>
          <t xml:space="preserve">DEZEMBRO · 2027</t>
        </is>
      </c>
    </row>
    <row r="36">
      <c r="A36" s="139">
        <v>25</v>
      </c>
      <c r="B36" s="152">
        <f>IF(ISNUMBER($A36),$C$7+$A36-1,"")</f>
        <v>46290</v>
      </c>
      <c r="C36" s="153">
        <f>IF($B$2="Todos",SUMIFS(Base!$C$3:$C$5001,Base!$A$3:$A$5001,$B36),SUMIFS(Base!$C$3:$C$5001,Base!$A$3:$A$5001,$B36,Base!$B$3:$B$5001,$B$2))</f>
        <v>20</v>
      </c>
      <c r="D36" s="153">
        <f>IF($B$2="Todos",SUMIFS(Base!$D$3:$D$5001,Base!$A$3:$A$5001,$B36),SUMIFS(Base!$D$3:$D$5001,Base!$A$3:$A$5001,$B36,Base!$B$3:$B$5001,$B$2))</f>
        <v>471</v>
      </c>
      <c r="E36" s="154">
        <f>IF($B$2="Todos",SUMIFS(Base!$E$3:$E$5001,Base!$A$3:$A$5001,$B36),SUMIFS(Base!$E$3:$E$5001,Base!$A$3:$A$5001,$B36,Base!$B$3:$B$5001,$B$2))</f>
        <v>287.19</v>
      </c>
      <c r="F36" s="153">
        <f>IF($B$2="Todos",SUMIFS(Base!$F$3:$F$5001,Base!$A$3:$A$5001,$B36),SUMIFS(Base!$F$3:$F$5001,Base!$A$3:$A$5001,$B36,Base!$B$3:$B$5001,$B$2))</f>
        <v>37</v>
      </c>
      <c r="G36" s="153">
        <f>IF($B$2="Todos",SUMIFS(Base!$G$3:$G$5001,Base!$A$3:$A$5001,$B36),SUMIFS(Base!$G$3:$G$5001,Base!$A$3:$A$5001,$B36,Base!$B$3:$B$5001,$B$2))</f>
        <v>666</v>
      </c>
      <c r="H36" s="154">
        <f>IF($B$2="Todos",SUMIFS(Base!$H$3:$H$5001,Base!$A$3:$A$5001,$B36),SUMIFS(Base!$H$3:$H$5001,Base!$A$3:$A$5001,$B36,Base!$B$3:$B$5001,$B$2))</f>
        <v>439.63</v>
      </c>
      <c r="I36" s="153">
        <f>IF($B$2="Todos",SUMIFS(Base!$I$3:$I$5001,Base!$A$3:$A$5001,$B36),SUMIFS(Base!$I$3:$I$5001,Base!$A$3:$A$5001,$B36,Base!$B$3:$B$5001,$B$2))</f>
        <v>0</v>
      </c>
      <c r="J36" s="153">
        <f>IF($B$2="Todos",SUMIFS(Base!$J$3:$J$5001,Base!$A$3:$A$5001,$B36),SUMIFS(Base!$J$3:$J$5001,Base!$A$3:$A$5001,$B36,Base!$B$3:$B$5001,$B$2))</f>
        <v>0</v>
      </c>
      <c r="K36" s="153" t="str">
        <f>IF($B$2="Todos",IF(COUNT($C$133:$G$133)=0,"",SUM($C$133:$G$133)),IFERROR(INDEX($C$133:$G$133,MATCH($B$2,$C$108:$G$108,0)),""))</f>
        <v/>
      </c>
      <c r="L36" s="155">
        <f>IF(M36="","",IF($B$2="Todos",$B$4,IFERROR(INDEX($C$203:$G$203,MATCH($B$2,$C$178:$G$178,0)),"")))</f>
        <v>5872</v>
      </c>
      <c r="M36" s="153">
        <f>IF($B$2="Todos",IF(COUNT($C$168:$G$168)=0,"",SUM($C$168:$G$168)),IFERROR(INDEX($C$168:$G$168,MATCH($B$2,$C$143:$G$143,0)),""))</f>
        <v>3815</v>
      </c>
      <c r="N36" s="156">
        <f>IF(AND(ISNUMBER(M36),ISNUMBER(L36)),IF(L36&gt;0,M36/L36,""),"")</f>
        <v>0.649693460490463</v>
      </c>
      <c r="O36" s="153">
        <f>IF($B$2="Todos",IF(COUNT($C$238:$G$238)=0,"",SUM($C$238:$G$238)),IFERROR(INDEX($C$238:$G$238,MATCH($B$2,$C$213:$G$213,0)),""))</f>
        <v>33</v>
      </c>
      <c r="P36" s="153">
        <f>IF($B$2="Todos",SUMIFS(Base!$O$3:$O$5001,Base!$A$3:$A$5001,$B36),SUMIFS(Base!$O$3:$O$5001,Base!$A$3:$A$5001,$B36,Base!$B$3:$B$5001,$B$2))</f>
        <v>0</v>
      </c>
      <c r="Q36" s="153">
        <f>IF($B$2="Todos",SUMIFS(Base!$P$3:$P$5001,Base!$A$3:$A$5001,$B36),SUMIFS(Base!$P$3:$P$5001,Base!$A$3:$A$5001,$B36,Base!$B$3:$B$5001,$B$2))</f>
        <v>0</v>
      </c>
      <c r="R36" s="153">
        <f>IF($B$2="Todos",SUMIFS(Base!$Q$3:$Q$5001,Base!$A$3:$A$5001,$B36),SUMIFS(Base!$Q$3:$Q$5001,Base!$A$3:$A$5001,$B36,Base!$B$3:$B$5001,$B$2))</f>
        <v>0</v>
      </c>
      <c r="S36" s="153">
        <f>IF($B$2="Todos",SUMIFS(Base!$R$3:$R$5001,Base!$A$3:$A$5001,$B36),SUMIFS(Base!$R$3:$R$5001,Base!$A$3:$A$5001,$B36,Base!$B$3:$B$5001,$B$2))</f>
        <v>0</v>
      </c>
      <c r="T36" s="139">
        <f>IF(ISNUMBER($B36),WEEKDAY($B36,2),"")</f>
        <v>5</v>
      </c>
      <c r="U36" s="157">
        <f>CHOOSE($C$3,C36,D36,E36)</f>
        <v>20</v>
      </c>
      <c r="V36" s="157">
        <f>CHOOSE($C$3,F36,G36,H36)</f>
        <v>37</v>
      </c>
      <c r="W36" s="157">
        <f>IFERROR(AVERAGEIF(U12:U42,"&gt;0"),0)</f>
        <v>17.6153846153846</v>
      </c>
      <c r="X36" s="157">
        <f>IFERROR(AVERAGEIF(V12:V42,"&gt;0"),0)</f>
        <v>25.0714285714286</v>
      </c>
      <c r="Y36" s="158">
        <f>$B$5</f>
        <v>0.7</v>
      </c>
      <c r="Z36" s="158">
        <f>$B$6</f>
        <v>0.9</v>
      </c>
    </row>
    <row r="37">
      <c r="A37" s="139">
        <v>26</v>
      </c>
      <c r="B37" s="152">
        <f>IF(ISNUMBER($A37),$C$7+$A37-1,"")</f>
        <v>46291</v>
      </c>
      <c r="C37" s="153">
        <f>IF($B$2="Todos",SUMIFS(Base!$C$3:$C$5001,Base!$A$3:$A$5001,$B37),SUMIFS(Base!$C$3:$C$5001,Base!$A$3:$A$5001,$B37,Base!$B$3:$B$5001,$B$2))</f>
        <v>4</v>
      </c>
      <c r="D37" s="153">
        <f>IF($B$2="Todos",SUMIFS(Base!$D$3:$D$5001,Base!$A$3:$A$5001,$B37),SUMIFS(Base!$D$3:$D$5001,Base!$A$3:$A$5001,$B37,Base!$B$3:$B$5001,$B$2))</f>
        <v>112</v>
      </c>
      <c r="E37" s="154">
        <f>IF($B$2="Todos",SUMIFS(Base!$E$3:$E$5001,Base!$A$3:$A$5001,$B37),SUMIFS(Base!$E$3:$E$5001,Base!$A$3:$A$5001,$B37,Base!$B$3:$B$5001,$B$2))</f>
        <v>73.87</v>
      </c>
      <c r="F37" s="153">
        <f>IF($B$2="Todos",SUMIFS(Base!$F$3:$F$5001,Base!$A$3:$A$5001,$B37),SUMIFS(Base!$F$3:$F$5001,Base!$A$3:$A$5001,$B37,Base!$B$3:$B$5001,$B$2))</f>
        <v>7</v>
      </c>
      <c r="G37" s="153">
        <f>IF($B$2="Todos",SUMIFS(Base!$G$3:$G$5001,Base!$A$3:$A$5001,$B37),SUMIFS(Base!$G$3:$G$5001,Base!$A$3:$A$5001,$B37,Base!$B$3:$B$5001,$B$2))</f>
        <v>126</v>
      </c>
      <c r="H37" s="154">
        <f>IF($B$2="Todos",SUMIFS(Base!$H$3:$H$5001,Base!$A$3:$A$5001,$B37),SUMIFS(Base!$H$3:$H$5001,Base!$A$3:$A$5001,$B37,Base!$B$3:$B$5001,$B$2))</f>
        <v>69.98</v>
      </c>
      <c r="I37" s="153">
        <f>IF($B$2="Todos",SUMIFS(Base!$I$3:$I$5001,Base!$A$3:$A$5001,$B37),SUMIFS(Base!$I$3:$I$5001,Base!$A$3:$A$5001,$B37,Base!$B$3:$B$5001,$B$2))</f>
        <v>0</v>
      </c>
      <c r="J37" s="153">
        <f>IF($B$2="Todos",SUMIFS(Base!$J$3:$J$5001,Base!$A$3:$A$5001,$B37),SUMIFS(Base!$J$3:$J$5001,Base!$A$3:$A$5001,$B37,Base!$B$3:$B$5001,$B$2))</f>
        <v>0</v>
      </c>
      <c r="K37" s="153" t="str">
        <f>IF($B$2="Todos",IF(COUNT($C$134:$G$134)=0,"",SUM($C$134:$G$134)),IFERROR(INDEX($C$134:$G$134,MATCH($B$2,$C$108:$G$108,0)),""))</f>
        <v/>
      </c>
      <c r="L37" s="155">
        <f>IF(M37="","",IF($B$2="Todos",$B$4,IFERROR(INDEX($C$204:$G$204,MATCH($B$2,$C$178:$G$178,0)),"")))</f>
        <v>5872</v>
      </c>
      <c r="M37" s="153">
        <f>IF($B$2="Todos",IF(COUNT($C$169:$G$169)=0,"",SUM($C$169:$G$169)),IFERROR(INDEX($C$169:$G$169,MATCH($B$2,$C$143:$G$143,0)),""))</f>
        <v>3734</v>
      </c>
      <c r="N37" s="156">
        <f>IF(AND(ISNUMBER(M37),ISNUMBER(L37)),IF(L37&gt;0,M37/L37,""),"")</f>
        <v>0.635899182561308</v>
      </c>
      <c r="O37" s="153">
        <f>IF($B$2="Todos",IF(COUNT($C$239:$G$239)=0,"",SUM($C$239:$G$239)),IFERROR(INDEX($C$239:$G$239,MATCH($B$2,$C$213:$G$213,0)),""))</f>
        <v>27</v>
      </c>
      <c r="P37" s="153">
        <f>IF($B$2="Todos",SUMIFS(Base!$O$3:$O$5001,Base!$A$3:$A$5001,$B37),SUMIFS(Base!$O$3:$O$5001,Base!$A$3:$A$5001,$B37,Base!$B$3:$B$5001,$B$2))</f>
        <v>0</v>
      </c>
      <c r="Q37" s="153">
        <f>IF($B$2="Todos",SUMIFS(Base!$P$3:$P$5001,Base!$A$3:$A$5001,$B37),SUMIFS(Base!$P$3:$P$5001,Base!$A$3:$A$5001,$B37,Base!$B$3:$B$5001,$B$2))</f>
        <v>0</v>
      </c>
      <c r="R37" s="153">
        <f>IF($B$2="Todos",SUMIFS(Base!$Q$3:$Q$5001,Base!$A$3:$A$5001,$B37),SUMIFS(Base!$Q$3:$Q$5001,Base!$A$3:$A$5001,$B37,Base!$B$3:$B$5001,$B$2))</f>
        <v>0</v>
      </c>
      <c r="S37" s="153">
        <f>IF($B$2="Todos",SUMIFS(Base!$R$3:$R$5001,Base!$A$3:$A$5001,$B37),SUMIFS(Base!$R$3:$R$5001,Base!$A$3:$A$5001,$B37,Base!$B$3:$B$5001,$B$2))</f>
        <v>0</v>
      </c>
      <c r="T37" s="139">
        <f>IF(ISNUMBER($B37),WEEKDAY($B37,2),"")</f>
        <v>6</v>
      </c>
      <c r="U37" s="157">
        <f>CHOOSE($C$3,C37,D37,E37)</f>
        <v>4</v>
      </c>
      <c r="V37" s="157">
        <f>CHOOSE($C$3,F37,G37,H37)</f>
        <v>7</v>
      </c>
      <c r="W37" s="157">
        <f>IFERROR(AVERAGEIF(U12:U42,"&gt;0"),0)</f>
        <v>17.6153846153846</v>
      </c>
      <c r="X37" s="157">
        <f>IFERROR(AVERAGEIF(V12:V42,"&gt;0"),0)</f>
        <v>25.0714285714286</v>
      </c>
      <c r="Y37" s="158">
        <f>$B$5</f>
        <v>0.7</v>
      </c>
      <c r="Z37" s="158">
        <f>$B$6</f>
        <v>0.9</v>
      </c>
    </row>
    <row r="38">
      <c r="A38" s="139">
        <v>27</v>
      </c>
      <c r="B38" s="152">
        <f>IF(ISNUMBER($A38),$C$7+$A38-1,"")</f>
        <v>46292</v>
      </c>
      <c r="C38" s="153">
        <f>IF($B$2="Todos",SUMIFS(Base!$C$3:$C$5001,Base!$A$3:$A$5001,$B38),SUMIFS(Base!$C$3:$C$5001,Base!$A$3:$A$5001,$B38,Base!$B$3:$B$5001,$B$2))</f>
        <v>0</v>
      </c>
      <c r="D38" s="153">
        <f>IF($B$2="Todos",SUMIFS(Base!$D$3:$D$5001,Base!$A$3:$A$5001,$B38),SUMIFS(Base!$D$3:$D$5001,Base!$A$3:$A$5001,$B38,Base!$B$3:$B$5001,$B$2))</f>
        <v>0</v>
      </c>
      <c r="E38" s="154">
        <f>IF($B$2="Todos",SUMIFS(Base!$E$3:$E$5001,Base!$A$3:$A$5001,$B38),SUMIFS(Base!$E$3:$E$5001,Base!$A$3:$A$5001,$B38,Base!$B$3:$B$5001,$B$2))</f>
        <v>0</v>
      </c>
      <c r="F38" s="153">
        <f>IF($B$2="Todos",SUMIFS(Base!$F$3:$F$5001,Base!$A$3:$A$5001,$B38),SUMIFS(Base!$F$3:$F$5001,Base!$A$3:$A$5001,$B38,Base!$B$3:$B$5001,$B$2))</f>
        <v>11</v>
      </c>
      <c r="G38" s="153">
        <f>IF($B$2="Todos",SUMIFS(Base!$G$3:$G$5001,Base!$A$3:$A$5001,$B38),SUMIFS(Base!$G$3:$G$5001,Base!$A$3:$A$5001,$B38,Base!$B$3:$B$5001,$B$2))</f>
        <v>198</v>
      </c>
      <c r="H38" s="154">
        <f>IF($B$2="Todos",SUMIFS(Base!$H$3:$H$5001,Base!$A$3:$A$5001,$B38),SUMIFS(Base!$H$3:$H$5001,Base!$A$3:$A$5001,$B38,Base!$B$3:$B$5001,$B$2))</f>
        <v>55.65</v>
      </c>
      <c r="I38" s="153">
        <f>IF($B$2="Todos",SUMIFS(Base!$I$3:$I$5001,Base!$A$3:$A$5001,$B38),SUMIFS(Base!$I$3:$I$5001,Base!$A$3:$A$5001,$B38,Base!$B$3:$B$5001,$B$2))</f>
        <v>1</v>
      </c>
      <c r="J38" s="153">
        <f>IF($B$2="Todos",SUMIFS(Base!$J$3:$J$5001,Base!$A$3:$A$5001,$B38),SUMIFS(Base!$J$3:$J$5001,Base!$A$3:$A$5001,$B38,Base!$B$3:$B$5001,$B$2))</f>
        <v>0</v>
      </c>
      <c r="K38" s="153" t="str">
        <f>IF($B$2="Todos",IF(COUNT($C$135:$G$135)=0,"",SUM($C$135:$G$135)),IFERROR(INDEX($C$135:$G$135,MATCH($B$2,$C$108:$G$108,0)),""))</f>
        <v/>
      </c>
      <c r="L38" s="155">
        <f>IF(M38="","",IF($B$2="Todos",$B$4,IFERROR(INDEX($C$205:$G$205,MATCH($B$2,$C$178:$G$178,0)),"")))</f>
        <v>5872</v>
      </c>
      <c r="M38" s="153">
        <f>IF($B$2="Todos",IF(COUNT($C$170:$G$170)=0,"",SUM($C$170:$G$170)),IFERROR(INDEX($C$170:$G$170,MATCH($B$2,$C$143:$G$143,0)),""))</f>
        <v>3130</v>
      </c>
      <c r="N38" s="156">
        <f>IF(AND(ISNUMBER(M38),ISNUMBER(L38)),IF(L38&gt;0,M38/L38,""),"")</f>
        <v>0.533038147138965</v>
      </c>
      <c r="O38" s="153">
        <f>IF($B$2="Todos",IF(COUNT($C$240:$G$240)=0,"",SUM($C$240:$G$240)),IFERROR(INDEX($C$240:$G$240,MATCH($B$2,$C$213:$G$213,0)),""))</f>
        <v>31</v>
      </c>
      <c r="P38" s="153">
        <f>IF($B$2="Todos",SUMIFS(Base!$O$3:$O$5001,Base!$A$3:$A$5001,$B38),SUMIFS(Base!$O$3:$O$5001,Base!$A$3:$A$5001,$B38,Base!$B$3:$B$5001,$B$2))</f>
        <v>0</v>
      </c>
      <c r="Q38" s="153">
        <f>IF($B$2="Todos",SUMIFS(Base!$P$3:$P$5001,Base!$A$3:$A$5001,$B38),SUMIFS(Base!$P$3:$P$5001,Base!$A$3:$A$5001,$B38,Base!$B$3:$B$5001,$B$2))</f>
        <v>0</v>
      </c>
      <c r="R38" s="153">
        <f>IF($B$2="Todos",SUMIFS(Base!$Q$3:$Q$5001,Base!$A$3:$A$5001,$B38),SUMIFS(Base!$Q$3:$Q$5001,Base!$A$3:$A$5001,$B38,Base!$B$3:$B$5001,$B$2))</f>
        <v>0</v>
      </c>
      <c r="S38" s="153">
        <f>IF($B$2="Todos",SUMIFS(Base!$R$3:$R$5001,Base!$A$3:$A$5001,$B38),SUMIFS(Base!$R$3:$R$5001,Base!$A$3:$A$5001,$B38,Base!$B$3:$B$5001,$B$2))</f>
        <v>0</v>
      </c>
      <c r="T38" s="139">
        <f>IF(ISNUMBER($B38),WEEKDAY($B38,2),"")</f>
        <v>7</v>
      </c>
      <c r="U38" s="157">
        <f>CHOOSE($C$3,C38,D38,E38)</f>
        <v>0</v>
      </c>
      <c r="V38" s="157">
        <f>CHOOSE($C$3,F38,G38,H38)</f>
        <v>11</v>
      </c>
      <c r="W38" s="157">
        <f>IFERROR(AVERAGEIF(U12:U42,"&gt;0"),0)</f>
        <v>17.6153846153846</v>
      </c>
      <c r="X38" s="157">
        <f>IFERROR(AVERAGEIF(V12:V42,"&gt;0"),0)</f>
        <v>25.0714285714286</v>
      </c>
      <c r="Y38" s="158">
        <f>$B$5</f>
        <v>0.7</v>
      </c>
      <c r="Z38" s="158">
        <f>$B$6</f>
        <v>0.9</v>
      </c>
    </row>
    <row r="39">
      <c r="A39" s="139">
        <v>28</v>
      </c>
      <c r="B39" s="152">
        <f>IF(ISNUMBER($A39),$C$7+$A39-1,"")</f>
        <v>46293</v>
      </c>
      <c r="C39" s="153">
        <f>IF($B$2="Todos",SUMIFS(Base!$C$3:$C$5001,Base!$A$3:$A$5001,$B39),SUMIFS(Base!$C$3:$C$5001,Base!$A$3:$A$5001,$B39,Base!$B$3:$B$5001,$B$2))</f>
        <v>15</v>
      </c>
      <c r="D39" s="153">
        <f>IF($B$2="Todos",SUMIFS(Base!$D$3:$D$5001,Base!$A$3:$A$5001,$B39),SUMIFS(Base!$D$3:$D$5001,Base!$A$3:$A$5001,$B39,Base!$B$3:$B$5001,$B$2))</f>
        <v>343</v>
      </c>
      <c r="E39" s="154">
        <f>IF($B$2="Todos",SUMIFS(Base!$E$3:$E$5001,Base!$A$3:$A$5001,$B39),SUMIFS(Base!$E$3:$E$5001,Base!$A$3:$A$5001,$B39,Base!$B$3:$B$5001,$B$2))</f>
        <v>202.07</v>
      </c>
      <c r="F39" s="153">
        <f>IF($B$2="Todos",SUMIFS(Base!$F$3:$F$5001,Base!$A$3:$A$5001,$B39),SUMIFS(Base!$F$3:$F$5001,Base!$A$3:$A$5001,$B39,Base!$B$3:$B$5001,$B$2))</f>
        <v>38</v>
      </c>
      <c r="G39" s="153">
        <f>IF($B$2="Todos",SUMIFS(Base!$G$3:$G$5001,Base!$A$3:$A$5001,$B39),SUMIFS(Base!$G$3:$G$5001,Base!$A$3:$A$5001,$B39,Base!$B$3:$B$5001,$B$2))</f>
        <v>684</v>
      </c>
      <c r="H39" s="154">
        <f>IF($B$2="Todos",SUMIFS(Base!$H$3:$H$5001,Base!$A$3:$A$5001,$B39),SUMIFS(Base!$H$3:$H$5001,Base!$A$3:$A$5001,$B39,Base!$B$3:$B$5001,$B$2))</f>
        <v>462.33</v>
      </c>
      <c r="I39" s="153">
        <f>IF($B$2="Todos",SUMIFS(Base!$I$3:$I$5001,Base!$A$3:$A$5001,$B39),SUMIFS(Base!$I$3:$I$5001,Base!$A$3:$A$5001,$B39,Base!$B$3:$B$5001,$B$2))</f>
        <v>0</v>
      </c>
      <c r="J39" s="153">
        <f>IF($B$2="Todos",SUMIFS(Base!$J$3:$J$5001,Base!$A$3:$A$5001,$B39),SUMIFS(Base!$J$3:$J$5001,Base!$A$3:$A$5001,$B39,Base!$B$3:$B$5001,$B$2))</f>
        <v>0</v>
      </c>
      <c r="K39" s="153" t="str">
        <f>IF($B$2="Todos",IF(COUNT($C$136:$G$136)=0,"",SUM($C$136:$G$136)),IFERROR(INDEX($C$136:$G$136,MATCH($B$2,$C$108:$G$108,0)),""))</f>
        <v/>
      </c>
      <c r="L39" s="155">
        <f>IF(M39="","",IF($B$2="Todos",$B$4,IFERROR(INDEX($C$206:$G$206,MATCH($B$2,$C$178:$G$178,0)),"")))</f>
        <v>5872</v>
      </c>
      <c r="M39" s="153">
        <f>IF($B$2="Todos",IF(COUNT($C$171:$G$171)=0,"",SUM($C$171:$G$171)),IFERROR(INDEX($C$171:$G$171,MATCH($B$2,$C$143:$G$143,0)),""))</f>
        <v>2787</v>
      </c>
      <c r="N39" s="156">
        <f>IF(AND(ISNUMBER(M39),ISNUMBER(L39)),IF(L39&gt;0,M39/L39,""),"")</f>
        <v>0.474625340599455</v>
      </c>
      <c r="O39" s="153">
        <f>IF($B$2="Todos",IF(COUNT($C$241:$G$241)=0,"",SUM($C$241:$G$241)),IFERROR(INDEX($C$241:$G$241,MATCH($B$2,$C$213:$G$213,0)),""))</f>
        <v>27</v>
      </c>
      <c r="P39" s="153">
        <f>IF($B$2="Todos",SUMIFS(Base!$O$3:$O$5001,Base!$A$3:$A$5001,$B39),SUMIFS(Base!$O$3:$O$5001,Base!$A$3:$A$5001,$B39,Base!$B$3:$B$5001,$B$2))</f>
        <v>0</v>
      </c>
      <c r="Q39" s="153">
        <f>IF($B$2="Todos",SUMIFS(Base!$P$3:$P$5001,Base!$A$3:$A$5001,$B39),SUMIFS(Base!$P$3:$P$5001,Base!$A$3:$A$5001,$B39,Base!$B$3:$B$5001,$B$2))</f>
        <v>0</v>
      </c>
      <c r="R39" s="153">
        <f>IF($B$2="Todos",SUMIFS(Base!$Q$3:$Q$5001,Base!$A$3:$A$5001,$B39),SUMIFS(Base!$Q$3:$Q$5001,Base!$A$3:$A$5001,$B39,Base!$B$3:$B$5001,$B$2))</f>
        <v>0</v>
      </c>
      <c r="S39" s="153">
        <f>IF($B$2="Todos",SUMIFS(Base!$R$3:$R$5001,Base!$A$3:$A$5001,$B39),SUMIFS(Base!$R$3:$R$5001,Base!$A$3:$A$5001,$B39,Base!$B$3:$B$5001,$B$2))</f>
        <v>0</v>
      </c>
      <c r="T39" s="139">
        <f>IF(ISNUMBER($B39),WEEKDAY($B39,2),"")</f>
        <v>1</v>
      </c>
      <c r="U39" s="157">
        <f>CHOOSE($C$3,C39,D39,E39)</f>
        <v>15</v>
      </c>
      <c r="V39" s="157">
        <f>CHOOSE($C$3,F39,G39,H39)</f>
        <v>38</v>
      </c>
      <c r="W39" s="157">
        <f>IFERROR(AVERAGEIF(U12:U42,"&gt;0"),0)</f>
        <v>17.6153846153846</v>
      </c>
      <c r="X39" s="157">
        <f>IFERROR(AVERAGEIF(V12:V42,"&gt;0"),0)</f>
        <v>25.0714285714286</v>
      </c>
      <c r="Y39" s="158">
        <f>$B$5</f>
        <v>0.7</v>
      </c>
      <c r="Z39" s="158">
        <f>$B$6</f>
        <v>0.9</v>
      </c>
    </row>
    <row r="40">
      <c r="A40" s="139">
        <f>IF(DAY($D$7)&gt;=29,29,"")</f>
        <v>29</v>
      </c>
      <c r="B40" s="152">
        <f>IF(ISNUMBER($A40),$C$7+$A40-1,"")</f>
        <v>46294</v>
      </c>
      <c r="C40" s="153">
        <f>IF($B$2="Todos",SUMIFS(Base!$C$3:$C$5001,Base!$A$3:$A$5001,$B40),SUMIFS(Base!$C$3:$C$5001,Base!$A$3:$A$5001,$B40,Base!$B$3:$B$5001,$B$2))</f>
        <v>18</v>
      </c>
      <c r="D40" s="153">
        <f>IF($B$2="Todos",SUMIFS(Base!$D$3:$D$5001,Base!$A$3:$A$5001,$B40),SUMIFS(Base!$D$3:$D$5001,Base!$A$3:$A$5001,$B40,Base!$B$3:$B$5001,$B$2))</f>
        <v>407</v>
      </c>
      <c r="E40" s="154">
        <f>IF($B$2="Todos",SUMIFS(Base!$E$3:$E$5001,Base!$A$3:$A$5001,$B40),SUMIFS(Base!$E$3:$E$5001,Base!$A$3:$A$5001,$B40,Base!$B$3:$B$5001,$B$2))</f>
        <v>227.51</v>
      </c>
      <c r="F40" s="153">
        <f>IF($B$2="Todos",SUMIFS(Base!$F$3:$F$5001,Base!$A$3:$A$5001,$B40),SUMIFS(Base!$F$3:$F$5001,Base!$A$3:$A$5001,$B40,Base!$B$3:$B$5001,$B$2))</f>
        <v>15</v>
      </c>
      <c r="G40" s="153">
        <f>IF($B$2="Todos",SUMIFS(Base!$G$3:$G$5001,Base!$A$3:$A$5001,$B40),SUMIFS(Base!$G$3:$G$5001,Base!$A$3:$A$5001,$B40,Base!$B$3:$B$5001,$B$2))</f>
        <v>270</v>
      </c>
      <c r="H40" s="154">
        <f>IF($B$2="Todos",SUMIFS(Base!$H$3:$H$5001,Base!$A$3:$A$5001,$B40),SUMIFS(Base!$H$3:$H$5001,Base!$A$3:$A$5001,$B40,Base!$B$3:$B$5001,$B$2))</f>
        <v>168.46</v>
      </c>
      <c r="I40" s="153">
        <f>IF($B$2="Todos",SUMIFS(Base!$I$3:$I$5001,Base!$A$3:$A$5001,$B40),SUMIFS(Base!$I$3:$I$5001,Base!$A$3:$A$5001,$B40,Base!$B$3:$B$5001,$B$2))</f>
        <v>0</v>
      </c>
      <c r="J40" s="153">
        <f>IF($B$2="Todos",SUMIFS(Base!$J$3:$J$5001,Base!$A$3:$A$5001,$B40),SUMIFS(Base!$J$3:$J$5001,Base!$A$3:$A$5001,$B40,Base!$B$3:$B$5001,$B$2))</f>
        <v>0</v>
      </c>
      <c r="K40" s="153" t="str">
        <f>IF($B$2="Todos",IF(COUNT($C$137:$G$137)=0,"",SUM($C$137:$G$137)),IFERROR(INDEX($C$137:$G$137,MATCH($B$2,$C$108:$G$108,0)),""))</f>
        <v/>
      </c>
      <c r="L40" s="155">
        <f>IF(M40="","",IF($B$2="Todos",$B$4,IFERROR(INDEX($C$207:$G$207,MATCH($B$2,$C$178:$G$178,0)),"")))</f>
        <v>5872</v>
      </c>
      <c r="M40" s="153">
        <f>IF($B$2="Todos",IF(COUNT($C$172:$G$172)=0,"",SUM($C$172:$G$172)),IFERROR(INDEX($C$172:$G$172,MATCH($B$2,$C$143:$G$143,0)),""))</f>
        <v>4227</v>
      </c>
      <c r="N40" s="156">
        <f>IF(AND(ISNUMBER(M40),ISNUMBER(L40)),IF(L40&gt;0,M40/L40,""),"")</f>
        <v>0.719856948228883</v>
      </c>
      <c r="O40" s="153">
        <f>IF($B$2="Todos",IF(COUNT($C$242:$G$242)=0,"",SUM($C$242:$G$242)),IFERROR(INDEX($C$242:$G$242,MATCH($B$2,$C$213:$G$213,0)),""))</f>
        <v>26</v>
      </c>
      <c r="P40" s="153">
        <f>IF($B$2="Todos",SUMIFS(Base!$O$3:$O$5001,Base!$A$3:$A$5001,$B40),SUMIFS(Base!$O$3:$O$5001,Base!$A$3:$A$5001,$B40,Base!$B$3:$B$5001,$B$2))</f>
        <v>0</v>
      </c>
      <c r="Q40" s="153">
        <f>IF($B$2="Todos",SUMIFS(Base!$P$3:$P$5001,Base!$A$3:$A$5001,$B40),SUMIFS(Base!$P$3:$P$5001,Base!$A$3:$A$5001,$B40,Base!$B$3:$B$5001,$B$2))</f>
        <v>0</v>
      </c>
      <c r="R40" s="153">
        <f>IF($B$2="Todos",SUMIFS(Base!$Q$3:$Q$5001,Base!$A$3:$A$5001,$B40),SUMIFS(Base!$Q$3:$Q$5001,Base!$A$3:$A$5001,$B40,Base!$B$3:$B$5001,$B$2))</f>
        <v>0</v>
      </c>
      <c r="S40" s="153">
        <f>IF($B$2="Todos",SUMIFS(Base!$R$3:$R$5001,Base!$A$3:$A$5001,$B40),SUMIFS(Base!$R$3:$R$5001,Base!$A$3:$A$5001,$B40,Base!$B$3:$B$5001,$B$2))</f>
        <v>0</v>
      </c>
      <c r="T40" s="139">
        <f>IF(ISNUMBER($B40),WEEKDAY($B40,2),"")</f>
        <v>2</v>
      </c>
      <c r="U40" s="157">
        <f>CHOOSE($C$3,C40,D40,E40)</f>
        <v>18</v>
      </c>
      <c r="V40" s="157">
        <f>CHOOSE($C$3,F40,G40,H40)</f>
        <v>15</v>
      </c>
      <c r="W40" s="157">
        <f>IFERROR(AVERAGEIF(U12:U42,"&gt;0"),0)</f>
        <v>17.6153846153846</v>
      </c>
      <c r="X40" s="157">
        <f>IFERROR(AVERAGEIF(V12:V42,"&gt;0"),0)</f>
        <v>25.0714285714286</v>
      </c>
      <c r="Y40" s="158">
        <f>$B$5</f>
        <v>0.7</v>
      </c>
      <c r="Z40" s="158">
        <f>$B$6</f>
        <v>0.9</v>
      </c>
    </row>
    <row r="41">
      <c r="A41" s="139">
        <f>IF(DAY($D$7)&gt;=30,30,"")</f>
        <v>30</v>
      </c>
      <c r="B41" s="152">
        <f>IF(ISNUMBER($A41),$C$7+$A41-1,"")</f>
        <v>46295</v>
      </c>
      <c r="C41" s="153">
        <f>IF($B$2="Todos",SUMIFS(Base!$C$3:$C$5001,Base!$A$3:$A$5001,$B41),SUMIFS(Base!$C$3:$C$5001,Base!$A$3:$A$5001,$B41,Base!$B$3:$B$5001,$B$2))</f>
        <v>0</v>
      </c>
      <c r="D41" s="153">
        <f>IF($B$2="Todos",SUMIFS(Base!$D$3:$D$5001,Base!$A$3:$A$5001,$B41),SUMIFS(Base!$D$3:$D$5001,Base!$A$3:$A$5001,$B41,Base!$B$3:$B$5001,$B$2))</f>
        <v>0</v>
      </c>
      <c r="E41" s="154">
        <f>IF($B$2="Todos",SUMIFS(Base!$E$3:$E$5001,Base!$A$3:$A$5001,$B41),SUMIFS(Base!$E$3:$E$5001,Base!$A$3:$A$5001,$B41,Base!$B$3:$B$5001,$B$2))</f>
        <v>0</v>
      </c>
      <c r="F41" s="153">
        <f>IF($B$2="Todos",SUMIFS(Base!$F$3:$F$5001,Base!$A$3:$A$5001,$B41),SUMIFS(Base!$F$3:$F$5001,Base!$A$3:$A$5001,$B41,Base!$B$3:$B$5001,$B$2))</f>
        <v>0</v>
      </c>
      <c r="G41" s="153">
        <f>IF($B$2="Todos",SUMIFS(Base!$G$3:$G$5001,Base!$A$3:$A$5001,$B41),SUMIFS(Base!$G$3:$G$5001,Base!$A$3:$A$5001,$B41,Base!$B$3:$B$5001,$B$2))</f>
        <v>0</v>
      </c>
      <c r="H41" s="154">
        <f>IF($B$2="Todos",SUMIFS(Base!$H$3:$H$5001,Base!$A$3:$A$5001,$B41),SUMIFS(Base!$H$3:$H$5001,Base!$A$3:$A$5001,$B41,Base!$B$3:$B$5001,$B$2))</f>
        <v>0</v>
      </c>
      <c r="I41" s="153">
        <f>IF($B$2="Todos",SUMIFS(Base!$I$3:$I$5001,Base!$A$3:$A$5001,$B41),SUMIFS(Base!$I$3:$I$5001,Base!$A$3:$A$5001,$B41,Base!$B$3:$B$5001,$B$2))</f>
        <v>0</v>
      </c>
      <c r="J41" s="153">
        <f>IF($B$2="Todos",SUMIFS(Base!$J$3:$J$5001,Base!$A$3:$A$5001,$B41),SUMIFS(Base!$J$3:$J$5001,Base!$A$3:$A$5001,$B41,Base!$B$3:$B$5001,$B$2))</f>
        <v>0</v>
      </c>
      <c r="K41" s="153" t="str">
        <f>IF($B$2="Todos",IF(COUNT($C$138:$G$138)=0,"",SUM($C$138:$G$138)),IFERROR(INDEX($C$138:$G$138,MATCH($B$2,$C$108:$G$108,0)),""))</f>
        <v/>
      </c>
      <c r="L41" s="155" t="str">
        <f>IF(M41="","",IF($B$2="Todos",$B$4,IFERROR(INDEX($C$208:$G$208,MATCH($B$2,$C$178:$G$178,0)),"")))</f>
        <v/>
      </c>
      <c r="M41" s="153" t="str">
        <f>IF($B$2="Todos",IF(COUNT($C$173:$G$173)=0,"",SUM($C$173:$G$173)),IFERROR(INDEX($C$173:$G$173,MATCH($B$2,$C$143:$G$143,0)),""))</f>
        <v/>
      </c>
      <c r="N41" s="156" t="str">
        <f>IF(AND(ISNUMBER(M41),ISNUMBER(L41)),IF(L41&gt;0,M41/L41,""),"")</f>
        <v/>
      </c>
      <c r="O41" s="153" t="str">
        <f>IF($B$2="Todos",IF(COUNT($C$243:$G$243)=0,"",SUM($C$243:$G$243)),IFERROR(INDEX($C$243:$G$243,MATCH($B$2,$C$213:$G$213,0)),""))</f>
        <v/>
      </c>
      <c r="P41" s="153">
        <f>IF($B$2="Todos",SUMIFS(Base!$O$3:$O$5001,Base!$A$3:$A$5001,$B41),SUMIFS(Base!$O$3:$O$5001,Base!$A$3:$A$5001,$B41,Base!$B$3:$B$5001,$B$2))</f>
        <v>0</v>
      </c>
      <c r="Q41" s="153">
        <f>IF($B$2="Todos",SUMIFS(Base!$P$3:$P$5001,Base!$A$3:$A$5001,$B41),SUMIFS(Base!$P$3:$P$5001,Base!$A$3:$A$5001,$B41,Base!$B$3:$B$5001,$B$2))</f>
        <v>0</v>
      </c>
      <c r="R41" s="153">
        <f>IF($B$2="Todos",SUMIFS(Base!$Q$3:$Q$5001,Base!$A$3:$A$5001,$B41),SUMIFS(Base!$Q$3:$Q$5001,Base!$A$3:$A$5001,$B41,Base!$B$3:$B$5001,$B$2))</f>
        <v>0</v>
      </c>
      <c r="S41" s="153">
        <f>IF($B$2="Todos",SUMIFS(Base!$R$3:$R$5001,Base!$A$3:$A$5001,$B41),SUMIFS(Base!$R$3:$R$5001,Base!$A$3:$A$5001,$B41,Base!$B$3:$B$5001,$B$2))</f>
        <v>0</v>
      </c>
      <c r="T41" s="139">
        <f>IF(ISNUMBER($B41),WEEKDAY($B41,2),"")</f>
        <v>3</v>
      </c>
      <c r="U41" s="157">
        <f>CHOOSE($C$3,C41,D41,E41)</f>
        <v>0</v>
      </c>
      <c r="V41" s="157">
        <f>CHOOSE($C$3,F41,G41,H41)</f>
        <v>0</v>
      </c>
      <c r="W41" s="157">
        <f>IFERROR(AVERAGEIF(U12:U42,"&gt;0"),0)</f>
        <v>17.6153846153846</v>
      </c>
      <c r="X41" s="157">
        <f>IFERROR(AVERAGEIF(V12:V42,"&gt;0"),0)</f>
        <v>25.0714285714286</v>
      </c>
      <c r="Y41" s="158">
        <f>$B$5</f>
        <v>0.7</v>
      </c>
      <c r="Z41" s="158">
        <f>$B$6</f>
        <v>0.9</v>
      </c>
    </row>
    <row r="42">
      <c r="A42" s="139" t="str">
        <f>IF(DAY($D$7)&gt;=31,31,"")</f>
        <v/>
      </c>
      <c r="B42" s="152" t="str">
        <f>IF(ISNUMBER($A42),$C$7+$A42-1,"")</f>
        <v/>
      </c>
      <c r="C42" s="153">
        <f>IF($B$2="Todos",SUMIFS(Base!$C$3:$C$5001,Base!$A$3:$A$5001,$B42),SUMIFS(Base!$C$3:$C$5001,Base!$A$3:$A$5001,$B42,Base!$B$3:$B$5001,$B$2))</f>
        <v>0</v>
      </c>
      <c r="D42" s="153">
        <f>IF($B$2="Todos",SUMIFS(Base!$D$3:$D$5001,Base!$A$3:$A$5001,$B42),SUMIFS(Base!$D$3:$D$5001,Base!$A$3:$A$5001,$B42,Base!$B$3:$B$5001,$B$2))</f>
        <v>0</v>
      </c>
      <c r="E42" s="154">
        <f>IF($B$2="Todos",SUMIFS(Base!$E$3:$E$5001,Base!$A$3:$A$5001,$B42),SUMIFS(Base!$E$3:$E$5001,Base!$A$3:$A$5001,$B42,Base!$B$3:$B$5001,$B$2))</f>
        <v>0</v>
      </c>
      <c r="F42" s="153">
        <f>IF($B$2="Todos",SUMIFS(Base!$F$3:$F$5001,Base!$A$3:$A$5001,$B42),SUMIFS(Base!$F$3:$F$5001,Base!$A$3:$A$5001,$B42,Base!$B$3:$B$5001,$B$2))</f>
        <v>0</v>
      </c>
      <c r="G42" s="153">
        <f>IF($B$2="Todos",SUMIFS(Base!$G$3:$G$5001,Base!$A$3:$A$5001,$B42),SUMIFS(Base!$G$3:$G$5001,Base!$A$3:$A$5001,$B42,Base!$B$3:$B$5001,$B$2))</f>
        <v>0</v>
      </c>
      <c r="H42" s="154">
        <f>IF($B$2="Todos",SUMIFS(Base!$H$3:$H$5001,Base!$A$3:$A$5001,$B42),SUMIFS(Base!$H$3:$H$5001,Base!$A$3:$A$5001,$B42,Base!$B$3:$B$5001,$B$2))</f>
        <v>0</v>
      </c>
      <c r="I42" s="153">
        <f>IF($B$2="Todos",SUMIFS(Base!$I$3:$I$5001,Base!$A$3:$A$5001,$B42),SUMIFS(Base!$I$3:$I$5001,Base!$A$3:$A$5001,$B42,Base!$B$3:$B$5001,$B$2))</f>
        <v>0</v>
      </c>
      <c r="J42" s="153">
        <f>IF($B$2="Todos",SUMIFS(Base!$J$3:$J$5001,Base!$A$3:$A$5001,$B42),SUMIFS(Base!$J$3:$J$5001,Base!$A$3:$A$5001,$B42,Base!$B$3:$B$5001,$B$2))</f>
        <v>0</v>
      </c>
      <c r="K42" s="153" t="str">
        <f>IF($B$2="Todos",IF(COUNT($C$139:$G$139)=0,"",SUM($C$139:$G$139)),IFERROR(INDEX($C$139:$G$139,MATCH($B$2,$C$108:$G$108,0)),""))</f>
        <v/>
      </c>
      <c r="L42" s="155" t="str">
        <f>IF(M42="","",IF($B$2="Todos",$B$4,IFERROR(INDEX($C$209:$G$209,MATCH($B$2,$C$178:$G$178,0)),"")))</f>
        <v/>
      </c>
      <c r="M42" s="153" t="str">
        <f>IF($B$2="Todos",IF(COUNT($C$174:$G$174)=0,"",SUM($C$174:$G$174)),IFERROR(INDEX($C$174:$G$174,MATCH($B$2,$C$143:$G$143,0)),""))</f>
        <v/>
      </c>
      <c r="N42" s="156" t="str">
        <f>IF(AND(ISNUMBER(M42),ISNUMBER(L42)),IF(L42&gt;0,M42/L42,""),"")</f>
        <v/>
      </c>
      <c r="O42" s="153" t="str">
        <f>IF($B$2="Todos",IF(COUNT($C$244:$G$244)=0,"",SUM($C$244:$G$244)),IFERROR(INDEX($C$244:$G$244,MATCH($B$2,$C$213:$G$213,0)),""))</f>
        <v/>
      </c>
      <c r="P42" s="153">
        <f>IF($B$2="Todos",SUMIFS(Base!$O$3:$O$5001,Base!$A$3:$A$5001,$B42),SUMIFS(Base!$O$3:$O$5001,Base!$A$3:$A$5001,$B42,Base!$B$3:$B$5001,$B$2))</f>
        <v>0</v>
      </c>
      <c r="Q42" s="153">
        <f>IF($B$2="Todos",SUMIFS(Base!$P$3:$P$5001,Base!$A$3:$A$5001,$B42),SUMIFS(Base!$P$3:$P$5001,Base!$A$3:$A$5001,$B42,Base!$B$3:$B$5001,$B$2))</f>
        <v>0</v>
      </c>
      <c r="R42" s="153">
        <f>IF($B$2="Todos",SUMIFS(Base!$Q$3:$Q$5001,Base!$A$3:$A$5001,$B42),SUMIFS(Base!$Q$3:$Q$5001,Base!$A$3:$A$5001,$B42,Base!$B$3:$B$5001,$B$2))</f>
        <v>0</v>
      </c>
      <c r="S42" s="153">
        <f>IF($B$2="Todos",SUMIFS(Base!$R$3:$R$5001,Base!$A$3:$A$5001,$B42),SUMIFS(Base!$R$3:$R$5001,Base!$A$3:$A$5001,$B42,Base!$B$3:$B$5001,$B$2))</f>
        <v>0</v>
      </c>
      <c r="T42" s="139" t="str">
        <f>IF(ISNUMBER($B42),WEEKDAY($B42,2),"")</f>
        <v/>
      </c>
      <c r="U42" s="157">
        <f>CHOOSE($C$3,C42,D42,E42)</f>
        <v>0</v>
      </c>
      <c r="V42" s="157">
        <f>CHOOSE($C$3,F42,G42,H42)</f>
        <v>0</v>
      </c>
      <c r="W42" s="157">
        <f>IFERROR(AVERAGEIF(U12:U42,"&gt;0"),0)</f>
        <v>17.6153846153846</v>
      </c>
      <c r="X42" s="157">
        <f>IFERROR(AVERAGEIF(V12:V42,"&gt;0"),0)</f>
        <v>25.0714285714286</v>
      </c>
      <c r="Y42" s="158">
        <f>$B$5</f>
        <v>0.7</v>
      </c>
      <c r="Z42" s="158">
        <f>$B$6</f>
        <v>0.9</v>
      </c>
    </row>
    <row r="43">
      <c r="A43" s="162" t="inlineStr">
        <is>
          <t xml:space="preserve">Realizado no mês (soma · último dado em estoque)</t>
        </is>
      </c>
      <c r="C43" s="164">
        <f>SUM(C12:C42)</f>
        <v>458</v>
      </c>
      <c r="D43" s="164">
        <f>SUM(D12:D42)</f>
        <v>10957</v>
      </c>
      <c r="E43" s="170">
        <f>SUM(E12:E42)</f>
        <v>7373.34</v>
      </c>
      <c r="F43" s="164">
        <f>SUM(F12:F42)</f>
        <v>702</v>
      </c>
      <c r="G43" s="164">
        <f>SUM(G12:G42)</f>
        <v>12636</v>
      </c>
      <c r="H43" s="170">
        <f>SUM(H12:H42)</f>
        <v>8393.51</v>
      </c>
      <c r="I43" s="164">
        <f>SUM(I12:I42)</f>
        <v>11</v>
      </c>
      <c r="J43" s="164">
        <f>SUM(J12:J42)</f>
        <v>0</v>
      </c>
      <c r="K43" s="164" t="str">
        <f>IFERROR(LOOKUP(9.99E+307,K12:K42),"")</f>
        <v/>
      </c>
      <c r="L43" s="164">
        <f>IFERROR(LOOKUP(9.99E+307,L12:L42),"")</f>
        <v>5872</v>
      </c>
      <c r="M43" s="164">
        <f>IFERROR(LOOKUP(9.99E+307,M12:M42),"")</f>
        <v>4227</v>
      </c>
      <c r="N43" s="171">
        <f>IFERROR(LOOKUP(9.99E+307,N12:N42),"")</f>
        <v>0.719856948228883</v>
      </c>
      <c r="O43" s="164">
        <f>IFERROR(LOOKUP(9.99E+307,O12:O42),"")</f>
        <v>26</v>
      </c>
      <c r="P43" s="164">
        <f>SUM(P12:P42)</f>
        <v>0</v>
      </c>
      <c r="Q43" s="164">
        <f>SUM(Q12:Q42)</f>
        <v>0</v>
      </c>
      <c r="R43" s="164">
        <f>SUM(R12:R42)</f>
        <v>0</v>
      </c>
      <c r="S43" s="164">
        <f>SUM(S12:S42)</f>
        <v>0</v>
      </c>
      <c r="U43" s="170">
        <f>SUM(U12:U42)</f>
        <v>458</v>
      </c>
      <c r="V43" s="170">
        <f>SUM(V12:V42)</f>
        <v>702</v>
      </c>
    </row>
    <row r="44">
      <c r="A44" s="163" t="inlineStr">
        <is>
          <t xml:space="preserve">Média por dia</t>
        </is>
      </c>
      <c r="C44" s="165">
        <f>IFERROR(AVERAGEIF(C12:C42,"&gt;0"),"")</f>
        <v>17.6153846153846</v>
      </c>
      <c r="D44" s="165">
        <f>IFERROR(AVERAGEIF(D12:D42,"&gt;0"),"")</f>
        <v>421.423076923077</v>
      </c>
      <c r="E44" s="165">
        <f>IFERROR(AVERAGEIF(E12:E42,"&gt;0"),"")</f>
        <v>283.59</v>
      </c>
      <c r="F44" s="165">
        <f>IFERROR(AVERAGEIF(F12:F42,"&gt;0"),"")</f>
        <v>25.0714285714286</v>
      </c>
      <c r="G44" s="165">
        <f>IFERROR(AVERAGEIF(G12:G42,"&gt;0"),"")</f>
        <v>451.285714285714</v>
      </c>
      <c r="H44" s="165">
        <f>IFERROR(AVERAGEIF(H12:H42,"&gt;0"),"")</f>
        <v>299.768214285714</v>
      </c>
      <c r="I44" s="165">
        <f>IFERROR(AVERAGEIF(I12:I42,"&gt;0"),"")</f>
        <v>1.22222222222222</v>
      </c>
      <c r="J44" s="165" t="str">
        <f>IFERROR(AVERAGEIF(J12:J42,"&gt;0"),"")</f>
        <v/>
      </c>
      <c r="K44" s="165" t="str">
        <f>IFERROR(AVERAGE(K12:K42),"")</f>
        <v/>
      </c>
      <c r="L44" s="165">
        <f>IFERROR(AVERAGE(L12:L42),"")</f>
        <v>5872</v>
      </c>
      <c r="M44" s="165">
        <f>IFERROR(AVERAGE(M12:M42),"")</f>
        <v>3511.24137931034</v>
      </c>
      <c r="N44" s="167">
        <f>IFERROR(AVERAGE(N12:N42),"")</f>
        <v>0.597963450155032</v>
      </c>
      <c r="O44" s="165">
        <f>IFERROR(AVERAGE(O12:O42),"")</f>
        <v>29.6206896551724</v>
      </c>
      <c r="P44" s="165" t="str">
        <f>IFERROR(AVERAGEIF(P12:P42,"&gt;0"),"")</f>
        <v/>
      </c>
      <c r="Q44" s="165" t="str">
        <f>IFERROR(AVERAGEIF(Q12:Q42,"&gt;0"),"")</f>
        <v/>
      </c>
      <c r="R44" s="165" t="str">
        <f>IFERROR(AVERAGEIF(R12:R42,"&gt;0"),"")</f>
        <v/>
      </c>
      <c r="S44" s="165" t="str">
        <f>IFERROR(AVERAGEIF(S12:S42,"&gt;0"),"")</f>
        <v/>
      </c>
    </row>
    <row r="45">
      <c r="A45" s="163" t="inlineStr">
        <is>
          <t xml:space="preserve">Máximo em um dia</t>
        </is>
      </c>
      <c r="C45" s="166">
        <f>IF(COUNT(C12:C42)=0,"",MAX(C12:C42))</f>
        <v>35</v>
      </c>
      <c r="D45" s="166">
        <f>IF(COUNT(D12:D42)=0,"",MAX(D12:D42))</f>
        <v>872</v>
      </c>
      <c r="E45" s="165">
        <f>IF(COUNT(E12:E42)=0,"",MAX(E12:E42))</f>
        <v>604.59</v>
      </c>
      <c r="F45" s="166">
        <f>IF(COUNT(F12:F42)=0,"",MAX(F12:F42))</f>
        <v>54</v>
      </c>
      <c r="G45" s="166">
        <f>IF(COUNT(G12:G42)=0,"",MAX(G12:G42))</f>
        <v>972</v>
      </c>
      <c r="H45" s="165">
        <f>IF(COUNT(H12:H42)=0,"",MAX(H12:H42))</f>
        <v>746.88</v>
      </c>
      <c r="I45" s="166">
        <f>IF(COUNT(I12:I42)=0,"",MAX(I12:I42))</f>
        <v>3</v>
      </c>
      <c r="J45" s="166">
        <f>IF(COUNT(J12:J42)=0,"",MAX(J12:J42))</f>
        <v>0</v>
      </c>
      <c r="K45" s="166" t="str">
        <f>IF(COUNT(K12:K42)=0,"",MAX(K12:K42))</f>
        <v/>
      </c>
      <c r="L45" s="166">
        <f>IF(COUNT(L12:L42)=0,"",MAX(L12:L42))</f>
        <v>5872</v>
      </c>
      <c r="M45" s="166">
        <f>IF(COUNT(M12:M42)=0,"",MAX(M12:M42))</f>
        <v>4227</v>
      </c>
      <c r="N45" s="167">
        <f>IF(COUNT(N12:N42)=0,"",MAX(N12:N42))</f>
        <v>0.719856948228883</v>
      </c>
      <c r="O45" s="166">
        <f>IF(COUNT(O12:O42)=0,"",MAX(O12:O42))</f>
        <v>38</v>
      </c>
      <c r="P45" s="166">
        <f>IF(COUNT(P12:P42)=0,"",MAX(P12:P42))</f>
        <v>0</v>
      </c>
      <c r="Q45" s="166">
        <f>IF(COUNT(Q12:Q42)=0,"",MAX(Q12:Q42))</f>
        <v>0</v>
      </c>
      <c r="R45" s="166">
        <f>IF(COUNT(R12:R42)=0,"",MAX(R12:R42))</f>
        <v>0</v>
      </c>
      <c r="S45" s="166">
        <f>IF(COUNT(S12:S42)=0,"",MAX(S12:S42))</f>
        <v>0</v>
      </c>
    </row>
    <row r="46">
      <c r="A46" s="163" t="inlineStr">
        <is>
          <t xml:space="preserve">Mês anterior (mesmo intervalo)</t>
        </is>
      </c>
      <c r="C46" s="166">
        <f>IF($B$2="Todos",SUMIFS(Base!$C$3:$C$5001,Base!$A$3:$A$5001,"&gt;="&amp;$C$8,Base!$A$3:$A$5001,"&lt;="&amp;$D$8),SUMIFS(Base!$C$3:$C$5001,Base!$A$3:$A$5001,"&gt;="&amp;$C$8,Base!$A$3:$A$5001,"&lt;="&amp;$D$8,Base!$B$3:$B$5001,$B$2))</f>
        <v>468</v>
      </c>
      <c r="D46" s="166">
        <f>IF($B$2="Todos",SUMIFS(Base!$D$3:$D$5001,Base!$A$3:$A$5001,"&gt;="&amp;$C$8,Base!$A$3:$A$5001,"&lt;="&amp;$D$8),SUMIFS(Base!$D$3:$D$5001,Base!$A$3:$A$5001,"&gt;="&amp;$C$8,Base!$A$3:$A$5001,"&lt;="&amp;$D$8,Base!$B$3:$B$5001,$B$2))</f>
        <v>11234</v>
      </c>
      <c r="E46" s="165">
        <f>IF($B$2="Todos",SUMIFS(Base!$E$3:$E$5001,Base!$A$3:$A$5001,"&gt;="&amp;$C$8,Base!$A$3:$A$5001,"&lt;="&amp;$D$8),SUMIFS(Base!$E$3:$E$5001,Base!$A$3:$A$5001,"&gt;="&amp;$C$8,Base!$A$3:$A$5001,"&lt;="&amp;$D$8,Base!$B$3:$B$5001,$B$2))</f>
        <v>7575.5</v>
      </c>
      <c r="F46" s="166">
        <f>IF($B$2="Todos",SUMIFS(Base!$F$3:$F$5001,Base!$A$3:$A$5001,"&gt;="&amp;$C$8,Base!$A$3:$A$5001,"&lt;="&amp;$D$8),SUMIFS(Base!$F$3:$F$5001,Base!$A$3:$A$5001,"&gt;="&amp;$C$8,Base!$A$3:$A$5001,"&lt;="&amp;$D$8,Base!$B$3:$B$5001,$B$2))</f>
        <v>698</v>
      </c>
      <c r="G46" s="166">
        <f>IF($B$2="Todos",SUMIFS(Base!$G$3:$G$5001,Base!$A$3:$A$5001,"&gt;="&amp;$C$8,Base!$A$3:$A$5001,"&lt;="&amp;$D$8),SUMIFS(Base!$G$3:$G$5001,Base!$A$3:$A$5001,"&gt;="&amp;$C$8,Base!$A$3:$A$5001,"&lt;="&amp;$D$8,Base!$B$3:$B$5001,$B$2))</f>
        <v>12564</v>
      </c>
      <c r="H46" s="165">
        <f>IF($B$2="Todos",SUMIFS(Base!$H$3:$H$5001,Base!$A$3:$A$5001,"&gt;="&amp;$C$8,Base!$A$3:$A$5001,"&lt;="&amp;$D$8),SUMIFS(Base!$H$3:$H$5001,Base!$A$3:$A$5001,"&gt;="&amp;$C$8,Base!$A$3:$A$5001,"&lt;="&amp;$D$8,Base!$B$3:$B$5001,$B$2))</f>
        <v>8685.76</v>
      </c>
      <c r="I46" s="166">
        <f>IF($B$2="Todos",SUMIFS(Base!$I$3:$I$5001,Base!$A$3:$A$5001,"&gt;="&amp;$C$8,Base!$A$3:$A$5001,"&lt;="&amp;$D$8),SUMIFS(Base!$I$3:$I$5001,Base!$A$3:$A$5001,"&gt;="&amp;$C$8,Base!$A$3:$A$5001,"&lt;="&amp;$D$8,Base!$B$3:$B$5001,$B$2))</f>
        <v>4</v>
      </c>
      <c r="J46" s="166">
        <f>IF($B$2="Todos",SUMIFS(Base!$J$3:$J$5001,Base!$A$3:$A$5001,"&gt;="&amp;$C$8,Base!$A$3:$A$5001,"&lt;="&amp;$D$8),SUMIFS(Base!$J$3:$J$5001,Base!$A$3:$A$5001,"&gt;="&amp;$C$8,Base!$A$3:$A$5001,"&lt;="&amp;$D$8,Base!$B$3:$B$5001,$B$2))</f>
        <v>0</v>
      </c>
      <c r="K46" s="166" t="str">
        <f>IF($B$2="Todos",IF(COUNT($C$140:$G$140)=0,"",SUM($C$140:$G$140)),IFERROR(INDEX($C$140:$G$140,MATCH($B$2,$C$108:$G$108,0)),""))</f>
        <v/>
      </c>
      <c r="L46" s="166">
        <f>IF(M46="","",IF($B$2="Todos",$B$4,IFERROR(INDEX($C$210:$G$210,MATCH($B$2,$C$178:$G$178,0)),"")))</f>
        <v>5872</v>
      </c>
      <c r="M46" s="166">
        <f>IF($B$2="Todos",IF(COUNT($C$175:$G$175)=0,"",SUM($C$175:$G$175)),IFERROR(INDEX($C$175:$G$175,MATCH($B$2,$C$143:$G$143,0)),""))</f>
        <v>3928</v>
      </c>
      <c r="N46" s="167">
        <f>IF(AND(ISNUMBER(M46),ISNUMBER(L46)),IF(L46&gt;0,M46/L46,""),"")</f>
        <v>0.668937329700273</v>
      </c>
      <c r="O46" s="166">
        <f>IF($B$2="Todos",IF(COUNT($C$245:$G$245)=0,"",SUM($C$245:$G$245)),IFERROR(INDEX($C$245:$G$245,MATCH($B$2,$C$213:$G$213,0)),""))</f>
        <v>26</v>
      </c>
      <c r="P46" s="166">
        <f>IF($B$2="Todos",SUMIFS(Base!$O$3:$O$5001,Base!$A$3:$A$5001,"&gt;="&amp;$C$8,Base!$A$3:$A$5001,"&lt;="&amp;$D$8),SUMIFS(Base!$O$3:$O$5001,Base!$A$3:$A$5001,"&gt;="&amp;$C$8,Base!$A$3:$A$5001,"&lt;="&amp;$D$8,Base!$B$3:$B$5001,$B$2))</f>
        <v>0</v>
      </c>
      <c r="Q46" s="166">
        <f>IF($B$2="Todos",SUMIFS(Base!$P$3:$P$5001,Base!$A$3:$A$5001,"&gt;="&amp;$C$8,Base!$A$3:$A$5001,"&lt;="&amp;$D$8),SUMIFS(Base!$P$3:$P$5001,Base!$A$3:$A$5001,"&gt;="&amp;$C$8,Base!$A$3:$A$5001,"&lt;="&amp;$D$8,Base!$B$3:$B$5001,$B$2))</f>
        <v>0</v>
      </c>
      <c r="R46" s="166">
        <f>IF($B$2="Todos",SUMIFS(Base!$Q$3:$Q$5001,Base!$A$3:$A$5001,"&gt;="&amp;$C$8,Base!$A$3:$A$5001,"&lt;="&amp;$D$8),SUMIFS(Base!$Q$3:$Q$5001,Base!$A$3:$A$5001,"&gt;="&amp;$C$8,Base!$A$3:$A$5001,"&lt;="&amp;$D$8,Base!$B$3:$B$5001,$B$2))</f>
        <v>0</v>
      </c>
      <c r="S46" s="166">
        <f>IF($B$2="Todos",SUMIFS(Base!$R$3:$R$5001,Base!$A$3:$A$5001,"&gt;="&amp;$C$8,Base!$A$3:$A$5001,"&lt;="&amp;$D$8),SUMIFS(Base!$R$3:$R$5001,Base!$A$3:$A$5001,"&gt;="&amp;$C$8,Base!$A$3:$A$5001,"&lt;="&amp;$D$8,Base!$B$3:$B$5001,$B$2))</f>
        <v>0</v>
      </c>
    </row>
    <row r="47">
      <c r="A47" s="163" t="inlineStr">
        <is>
          <t xml:space="preserve">Variação vs mês anterior</t>
        </is>
      </c>
      <c r="C47" s="167">
        <f>IF(AND(ISNUMBER(C43),ISNUMBER(C46)),IF(C46&lt;&gt;0,C43/C46-1,""),"")</f>
        <v>-0.0213675213675214</v>
      </c>
      <c r="D47" s="167">
        <f>IF(AND(ISNUMBER(D43),ISNUMBER(D46)),IF(D46&lt;&gt;0,D43/D46-1,""),"")</f>
        <v>-0.0246572903685242</v>
      </c>
      <c r="E47" s="167">
        <f>IF(AND(ISNUMBER(E43),ISNUMBER(E46)),IF(E46&lt;&gt;0,E43/E46-1,""),"")</f>
        <v>-0.026686027324929</v>
      </c>
      <c r="F47" s="167">
        <f>IF(AND(ISNUMBER(F43),ISNUMBER(F46)),IF(F46&lt;&gt;0,F43/F46-1,""),"")</f>
        <v>0.00573065902578795</v>
      </c>
      <c r="G47" s="167">
        <f>IF(AND(ISNUMBER(G43),ISNUMBER(G46)),IF(G46&lt;&gt;0,G43/G46-1,""),"")</f>
        <v>0.00573065902578795</v>
      </c>
      <c r="H47" s="167">
        <f>IF(AND(ISNUMBER(H43),ISNUMBER(H46)),IF(H46&lt;&gt;0,H43/H46-1,""),"")</f>
        <v>-0.0336470268577536</v>
      </c>
      <c r="I47" s="167">
        <f>IF(AND(ISNUMBER(I43),ISNUMBER(I46)),IF(I46&lt;&gt;0,I43/I46-1,""),"")</f>
        <v>1.75</v>
      </c>
      <c r="J47" s="167" t="str">
        <f>IF(AND(ISNUMBER(J43),ISNUMBER(J46)),IF(J46&lt;&gt;0,J43/J46-1,""),"")</f>
        <v/>
      </c>
      <c r="K47" s="167" t="str">
        <f>IF(AND(ISNUMBER(K43),ISNUMBER(K46)),IF(K46&lt;&gt;0,K43/K46-1,""),"")</f>
        <v/>
      </c>
      <c r="L47" s="167">
        <f>IF(AND(ISNUMBER(L43),ISNUMBER(L46)),IF(L46&lt;&gt;0,L43/L46-1,""),"")</f>
        <v>0</v>
      </c>
      <c r="M47" s="167">
        <f>IF(AND(ISNUMBER(M43),ISNUMBER(M46)),IF(M46&lt;&gt;0,M43/M46-1,""),"")</f>
        <v>0.0761201629327901</v>
      </c>
      <c r="N47" s="167">
        <f>IF(AND(ISNUMBER(N43),ISNUMBER(N46)),IF(N46&lt;&gt;0,N43/N46-1,""),"")</f>
        <v>0.0761201629327901</v>
      </c>
      <c r="O47" s="167">
        <f>IF(AND(ISNUMBER(O43),ISNUMBER(O46)),IF(O46&lt;&gt;0,O43/O46-1,""),"")</f>
        <v>0</v>
      </c>
      <c r="P47" s="167" t="str">
        <f>IF(AND(ISNUMBER(P43),ISNUMBER(P46)),IF(P46&lt;&gt;0,P43/P46-1,""),"")</f>
        <v/>
      </c>
      <c r="Q47" s="167" t="str">
        <f>IF(AND(ISNUMBER(Q43),ISNUMBER(Q46)),IF(Q46&lt;&gt;0,Q43/Q46-1,""),"")</f>
        <v/>
      </c>
      <c r="R47" s="167" t="str">
        <f>IF(AND(ISNUMBER(R43),ISNUMBER(R46)),IF(R46&lt;&gt;0,R43/R46-1,""),"")</f>
        <v/>
      </c>
      <c r="S47" s="167" t="str">
        <f>IF(AND(ISNUMBER(S43),ISNUMBER(S46)),IF(S46&lt;&gt;0,S43/S46-1,""),"")</f>
        <v/>
      </c>
    </row>
    <row r="48">
      <c r="A48" s="163" t="inlineStr">
        <is>
          <t xml:space="preserve">Meta (cliente selecionado)</t>
        </is>
      </c>
      <c r="C48" s="166" t="str">
        <f>IFERROR(1/(1/INDEX($B$56:$G$56,MATCH($B$2,$B$55:$G$55,0))),"")</f>
        <v/>
      </c>
      <c r="D48" s="166" t="str">
        <f>IFERROR(1/(1/INDEX($B$57:$G$57,MATCH($B$2,$B$55:$G$55,0))),"")</f>
        <v/>
      </c>
      <c r="E48" s="166" t="str">
        <f>IFERROR(1/(1/INDEX($B$58:$G$58,MATCH($B$2,$B$55:$G$55,0))),"")</f>
        <v/>
      </c>
      <c r="F48" s="166" t="str">
        <f>IFERROR(1/(1/INDEX($B$59:$G$59,MATCH($B$2,$B$55:$G$55,0))),"")</f>
        <v/>
      </c>
      <c r="G48" s="166" t="str">
        <f>IFERROR(1/(1/INDEX($B$60:$G$60,MATCH($B$2,$B$55:$G$55,0))),"")</f>
        <v/>
      </c>
      <c r="H48" s="166" t="str">
        <f>IFERROR(1/(1/INDEX($B$61:$G$61,MATCH($B$2,$B$55:$G$55,0))),"")</f>
        <v/>
      </c>
      <c r="I48" s="166" t="str">
        <f>IFERROR(1/(1/INDEX($B$62:$G$62,MATCH($B$2,$B$55:$G$55,0))),"")</f>
        <v/>
      </c>
      <c r="J48" s="166" t="str">
        <f>IFERROR(1/(1/INDEX($B$63:$G$63,MATCH($B$2,$B$55:$G$55,0))),"")</f>
        <v/>
      </c>
      <c r="K48" s="166" t="str">
        <f>IFERROR(1/(1/INDEX($B$64:$G$64,MATCH($B$2,$B$55:$G$55,0))),"")</f>
        <v/>
      </c>
      <c r="L48" s="166" t="str">
        <f>IFERROR(1/(1/INDEX($B$65:$G$65,MATCH($B$2,$B$55:$G$55,0))),"")</f>
        <v/>
      </c>
      <c r="M48" s="166" t="str">
        <f>IFERROR(1/(1/INDEX($B$66:$G$66,MATCH($B$2,$B$55:$G$55,0))),"")</f>
        <v/>
      </c>
      <c r="N48" s="168" t="str">
        <f>IFERROR(1/(1/INDEX($B$67:$G$67,MATCH($B$2,$B$55:$G$55,0))),"")</f>
        <v/>
      </c>
      <c r="O48" s="166" t="str">
        <f>IFERROR(1/(1/INDEX($B$68:$G$68,MATCH($B$2,$B$55:$G$55,0))),"")</f>
        <v/>
      </c>
      <c r="P48" s="166" t="str">
        <f>IFERROR(1/(1/INDEX($B$69:$G$69,MATCH($B$2,$B$55:$G$55,0))),"")</f>
        <v/>
      </c>
      <c r="Q48" s="166" t="str">
        <f>IFERROR(1/(1/INDEX($B$70:$G$70,MATCH($B$2,$B$55:$G$55,0))),"")</f>
        <v/>
      </c>
      <c r="R48" s="166" t="str">
        <f>IFERROR(1/(1/INDEX($B$71:$G$71,MATCH($B$2,$B$55:$G$55,0))),"")</f>
        <v/>
      </c>
      <c r="S48" s="166" t="str">
        <f>IFERROR(1/(1/INDEX($B$72:$G$72,MATCH($B$2,$B$55:$G$55,0))),"")</f>
        <v/>
      </c>
    </row>
    <row r="49">
      <c r="A49" s="163" t="inlineStr">
        <is>
          <t xml:space="preserve">% da meta</t>
        </is>
      </c>
      <c r="C49" s="168" t="str">
        <f>IF(AND(ISNUMBER(C48),ISNUMBER(C43)),IF(C48&gt;0,C43/C48,""),"")</f>
        <v/>
      </c>
      <c r="D49" s="168" t="str">
        <f>IF(AND(ISNUMBER(D48),ISNUMBER(D43)),IF(D48&gt;0,D43/D48,""),"")</f>
        <v/>
      </c>
      <c r="E49" s="168" t="str">
        <f>IF(AND(ISNUMBER(E48),ISNUMBER(E43)),IF(E48&gt;0,E43/E48,""),"")</f>
        <v/>
      </c>
      <c r="F49" s="168" t="str">
        <f>IF(AND(ISNUMBER(F48),ISNUMBER(F43)),IF(F48&gt;0,F43/F48,""),"")</f>
        <v/>
      </c>
      <c r="G49" s="168" t="str">
        <f>IF(AND(ISNUMBER(G48),ISNUMBER(G43)),IF(G48&gt;0,G43/G48,""),"")</f>
        <v/>
      </c>
      <c r="H49" s="168" t="str">
        <f>IF(AND(ISNUMBER(H48),ISNUMBER(H43)),IF(H48&gt;0,H43/H48,""),"")</f>
        <v/>
      </c>
      <c r="I49" s="168" t="str">
        <f>IF(AND(ISNUMBER(I48),ISNUMBER(I43)),IF(I48&gt;0,I43/I48,""),"")</f>
        <v/>
      </c>
      <c r="J49" s="168" t="str">
        <f>IF(AND(ISNUMBER(J48),ISNUMBER(J43)),IF(J48&gt;0,J43/J48,""),"")</f>
        <v/>
      </c>
      <c r="K49" s="168" t="str">
        <f>IF(AND(ISNUMBER(K48),ISNUMBER(K43)),IF(K48&gt;0,K43/K48,""),"")</f>
        <v/>
      </c>
      <c r="L49" s="168" t="str">
        <f>IF(AND(ISNUMBER(L48),ISNUMBER(L43)),IF(L48&gt;0,L43/L48,""),"")</f>
        <v/>
      </c>
      <c r="M49" s="168" t="str">
        <f>IF(AND(ISNUMBER(M48),ISNUMBER(M43)),IF(M48&gt;0,M43/M48,""),"")</f>
        <v/>
      </c>
      <c r="N49" s="168" t="str">
        <f>IF(AND(ISNUMBER(N48),ISNUMBER(N43)),IF(N48&gt;0,N43/N48,""),"")</f>
        <v/>
      </c>
      <c r="O49" s="168" t="str">
        <f>IF(AND(ISNUMBER(O48),ISNUMBER(O43)),IF(O48&gt;0,O43/O48,""),"")</f>
        <v/>
      </c>
      <c r="P49" s="168" t="str">
        <f>IF(AND(ISNUMBER(P48),ISNUMBER(P43)),IF(P48&gt;0,P43/P48,""),"")</f>
        <v/>
      </c>
      <c r="Q49" s="168" t="str">
        <f>IF(AND(ISNUMBER(Q48),ISNUMBER(Q43)),IF(Q48&gt;0,Q43/Q48,""),"")</f>
        <v/>
      </c>
      <c r="R49" s="168" t="str">
        <f>IF(AND(ISNUMBER(R48),ISNUMBER(R43)),IF(R48&gt;0,R43/R48,""),"")</f>
        <v/>
      </c>
      <c r="S49" s="168" t="str">
        <f>IF(AND(ISNUMBER(S48),ISNUMBER(S43)),IF(S48&gt;0,S43/S48,""),"")</f>
        <v/>
      </c>
    </row>
    <row r="50">
      <c r="A50" s="163" t="inlineStr">
        <is>
          <t xml:space="preserve">Status</t>
        </is>
      </c>
      <c r="C50" s="169" t="str">
        <f>IF(ISNUMBER(C49),IF(C49&gt;=1,"meta atingida","abaixo da meta"),"")</f>
        <v/>
      </c>
      <c r="D50" s="169" t="str">
        <f>IF(ISNUMBER(D49),IF(D49&gt;=1,"meta atingida","abaixo da meta"),"")</f>
        <v/>
      </c>
      <c r="E50" s="169" t="str">
        <f>IF(ISNUMBER(E49),IF(E49&gt;=1,"meta atingida","abaixo da meta"),"")</f>
        <v/>
      </c>
      <c r="F50" s="169" t="str">
        <f>IF(ISNUMBER(F49),IF(F49&gt;=1,"meta atingida","abaixo da meta"),"")</f>
        <v/>
      </c>
      <c r="G50" s="169" t="str">
        <f>IF(ISNUMBER(G49),IF(G49&gt;=1,"meta atingida","abaixo da meta"),"")</f>
        <v/>
      </c>
      <c r="H50" s="169" t="str">
        <f>IF(ISNUMBER(H49),IF(H49&gt;=1,"meta atingida","abaixo da meta"),"")</f>
        <v/>
      </c>
      <c r="I50" s="169" t="str">
        <f>IF(AND(ISNUMBER(I48),ISNUMBER(I43)),IF(I43&lt;=I48,"dentro do limite","acima do limite"),"")</f>
        <v/>
      </c>
      <c r="J50" s="169" t="str">
        <f>IF(AND(ISNUMBER(J48),ISNUMBER(J43)),IF(J43&lt;=J48,"dentro do limite","acima do limite"),"")</f>
        <v/>
      </c>
      <c r="K50" s="169" t="str">
        <f>IF(AND(ISNUMBER(K48),ISNUMBER(K43)),IF(K43&lt;=K48,"dentro do limite","acima do limite"),"")</f>
        <v/>
      </c>
      <c r="L50" s="169" t="str">
        <f>IF(ISNUMBER(L49),IF(L49&gt;=1,"meta atingida","abaixo da meta"),"")</f>
        <v/>
      </c>
      <c r="M50" s="169" t="str">
        <f>IF(ISNUMBER(M49),IF(M49&gt;=1,"meta atingida","abaixo da meta"),"")</f>
        <v/>
      </c>
      <c r="N50" s="169" t="str">
        <f>IF(ISNUMBER(N43),IF(N43&gt;=$B$6,"crítico",IF(N43&gt;=$B$5,"atenção","dentro da faixa")),"")</f>
        <v>atenção</v>
      </c>
      <c r="O50" s="169" t="str">
        <f>IF(ISNUMBER(O49),IF(O49&gt;=1,"meta atingida","abaixo da meta"),"")</f>
        <v/>
      </c>
      <c r="P50" s="169" t="str">
        <f>IF(AND(ISNUMBER(P48),ISNUMBER(P43)),IF(P43&lt;=P48,"dentro do limite","acima do limite"),"")</f>
        <v/>
      </c>
      <c r="Q50" s="169" t="str">
        <f>IF(ISNUMBER(Q49),IF(Q49&gt;=1,"meta atingida","abaixo da meta"),"")</f>
        <v/>
      </c>
      <c r="R50" s="169" t="str">
        <f>IF(ISNUMBER(R49),IF(R49&gt;=1,"meta atingida","abaixo da meta"),"")</f>
        <v/>
      </c>
      <c r="S50" s="169" t="str">
        <f>IF(AND(ISNUMBER(S48),ISNUMBER(S43)),IF(S43&lt;=S48,"dentro do limite","acima do limite"),"")</f>
        <v/>
      </c>
    </row>
    <row r="54">
      <c r="A54" s="146" t="inlineStr">
        <is>
          <t xml:space="preserve">METAS DO MÊS por indicador (edite as células amarelas; vazio = sem meta). Taxa de ocupação: meta em %.</t>
        </is>
      </c>
    </row>
    <row r="55" ht="30" customHeight="1">
      <c r="A55" s="145" t="inlineStr">
        <is>
          <t xml:space="preserve">Indicador</t>
        </is>
      </c>
      <c r="B55" s="145" t="inlineStr">
        <is>
          <t xml:space="preserve">Todos</t>
        </is>
      </c>
      <c r="C55" s="145" t="inlineStr">
        <is>
          <t xml:space="preserve">Barry Callebaut</t>
        </is>
      </c>
      <c r="D55" s="145" t="inlineStr">
        <is>
          <t xml:space="preserve">Gm</t>
        </is>
      </c>
      <c r="E55" s="145" t="inlineStr">
        <is>
          <t xml:space="preserve">Mondelez</t>
        </is>
      </c>
      <c r="F55" s="145" t="inlineStr">
        <is>
          <t xml:space="preserve">Nestlé</t>
        </is>
      </c>
      <c r="G55" s="145" t="inlineStr">
        <is>
          <t xml:space="preserve">PMB</t>
        </is>
      </c>
    </row>
    <row r="56">
      <c r="A56" s="159" t="inlineStr">
        <is>
          <t xml:space="preserve">IN · Veículos Recebidos</t>
        </is>
      </c>
      <c r="B56" s="160" t="str">
        <f>IF(calculos!B56="","",calculos!B56)</f>
        <v/>
      </c>
      <c r="C56" s="160">
        <f>IF(calculos!C56="","",calculos!C56)</f>
        <v>150</v>
      </c>
      <c r="D56" s="160" t="str">
        <f>IF(calculos!D56="","",calculos!D56)</f>
        <v/>
      </c>
      <c r="E56" s="160" t="str">
        <f>IF(calculos!E56="","",calculos!E56)</f>
        <v/>
      </c>
      <c r="F56" s="160" t="str">
        <f>IF(calculos!F56="","",calculos!F56)</f>
        <v/>
      </c>
      <c r="G56" s="160" t="str">
        <f>IF(calculos!G56="","",calculos!G56)</f>
        <v/>
      </c>
    </row>
    <row r="57">
      <c r="A57" s="159" t="inlineStr">
        <is>
          <t xml:space="preserve">IN · Pallets Movimentados</t>
        </is>
      </c>
      <c r="B57" s="160" t="str">
        <f>IF(calculos!B57="","",calculos!B57)</f>
        <v/>
      </c>
      <c r="C57" s="160" t="str">
        <f>IF(calculos!C57="","",calculos!C57)</f>
        <v/>
      </c>
      <c r="D57" s="160" t="str">
        <f>IF(calculos!D57="","",calculos!D57)</f>
        <v/>
      </c>
      <c r="E57" s="160" t="str">
        <f>IF(calculos!E57="","",calculos!E57)</f>
        <v/>
      </c>
      <c r="F57" s="160" t="str">
        <f>IF(calculos!F57="","",calculos!F57)</f>
        <v/>
      </c>
      <c r="G57" s="160" t="str">
        <f>IF(calculos!G57="","",calculos!G57)</f>
        <v/>
      </c>
    </row>
    <row r="58">
      <c r="A58" s="159" t="inlineStr">
        <is>
          <t xml:space="preserve">IN · Toneladas Movimentadas</t>
        </is>
      </c>
      <c r="B58" s="160" t="str">
        <f>IF(calculos!B58="","",calculos!B58)</f>
        <v/>
      </c>
      <c r="C58" s="160" t="str">
        <f>IF(calculos!C58="","",calculos!C58)</f>
        <v/>
      </c>
      <c r="D58" s="160" t="str">
        <f>IF(calculos!D58="","",calculos!D58)</f>
        <v/>
      </c>
      <c r="E58" s="160" t="str">
        <f>IF(calculos!E58="","",calculos!E58)</f>
        <v/>
      </c>
      <c r="F58" s="160" t="str">
        <f>IF(calculos!F58="","",calculos!F58)</f>
        <v/>
      </c>
      <c r="G58" s="160" t="str">
        <f>IF(calculos!G58="","",calculos!G58)</f>
        <v/>
      </c>
    </row>
    <row r="59">
      <c r="A59" s="159" t="inlineStr">
        <is>
          <t xml:space="preserve">OUT · Veículos Expedidos</t>
        </is>
      </c>
      <c r="B59" s="160" t="str">
        <f>IF(calculos!B59="","",calculos!B59)</f>
        <v/>
      </c>
      <c r="C59" s="160">
        <f>IF(calculos!C59="","",calculos!C59)</f>
        <v>200</v>
      </c>
      <c r="D59" s="160" t="str">
        <f>IF(calculos!D59="","",calculos!D59)</f>
        <v/>
      </c>
      <c r="E59" s="160" t="str">
        <f>IF(calculos!E59="","",calculos!E59)</f>
        <v/>
      </c>
      <c r="F59" s="160" t="str">
        <f>IF(calculos!F59="","",calculos!F59)</f>
        <v/>
      </c>
      <c r="G59" s="160" t="str">
        <f>IF(calculos!G59="","",calculos!G59)</f>
        <v/>
      </c>
    </row>
    <row r="60">
      <c r="A60" s="159" t="inlineStr">
        <is>
          <t xml:space="preserve">OUT · Pallets Movimentados</t>
        </is>
      </c>
      <c r="B60" s="160" t="str">
        <f>IF(calculos!B60="","",calculos!B60)</f>
        <v/>
      </c>
      <c r="C60" s="160" t="str">
        <f>IF(calculos!C60="","",calculos!C60)</f>
        <v/>
      </c>
      <c r="D60" s="160" t="str">
        <f>IF(calculos!D60="","",calculos!D60)</f>
        <v/>
      </c>
      <c r="E60" s="160" t="str">
        <f>IF(calculos!E60="","",calculos!E60)</f>
        <v/>
      </c>
      <c r="F60" s="160" t="str">
        <f>IF(calculos!F60="","",calculos!F60)</f>
        <v/>
      </c>
      <c r="G60" s="160" t="str">
        <f>IF(calculos!G60="","",calculos!G60)</f>
        <v/>
      </c>
    </row>
    <row r="61">
      <c r="A61" s="159" t="inlineStr">
        <is>
          <t xml:space="preserve">OUT · Toneladas Movimentadas</t>
        </is>
      </c>
      <c r="B61" s="160" t="str">
        <f>IF(calculos!B61="","",calculos!B61)</f>
        <v/>
      </c>
      <c r="C61" s="160" t="str">
        <f>IF(calculos!C61="","",calculos!C61)</f>
        <v/>
      </c>
      <c r="D61" s="160" t="str">
        <f>IF(calculos!D61="","",calculos!D61)</f>
        <v/>
      </c>
      <c r="E61" s="160" t="str">
        <f>IF(calculos!E61="","",calculos!E61)</f>
        <v/>
      </c>
      <c r="F61" s="160" t="str">
        <f>IF(calculos!F61="","",calculos!F61)</f>
        <v/>
      </c>
      <c r="G61" s="160" t="str">
        <f>IF(calculos!G61="","",calculos!G61)</f>
        <v/>
      </c>
    </row>
    <row r="62">
      <c r="A62" s="159" t="inlineStr">
        <is>
          <t xml:space="preserve">NC · Incidentes</t>
        </is>
      </c>
      <c r="B62" s="160" t="str">
        <f>IF(calculos!B62="","",calculos!B62)</f>
        <v/>
      </c>
      <c r="C62" s="160" t="str">
        <f>IF(calculos!C62="","",calculos!C62)</f>
        <v/>
      </c>
      <c r="D62" s="160" t="str">
        <f>IF(calculos!D62="","",calculos!D62)</f>
        <v/>
      </c>
      <c r="E62" s="160" t="str">
        <f>IF(calculos!E62="","",calculos!E62)</f>
        <v/>
      </c>
      <c r="F62" s="160" t="str">
        <f>IF(calculos!F62="","",calculos!F62)</f>
        <v/>
      </c>
      <c r="G62" s="160" t="str">
        <f>IF(calculos!G62="","",calculos!G62)</f>
        <v/>
      </c>
    </row>
    <row r="63">
      <c r="A63" s="159" t="inlineStr">
        <is>
          <t xml:space="preserve">NC · No show</t>
        </is>
      </c>
      <c r="B63" s="160" t="str">
        <f>IF(calculos!B63="","",calculos!B63)</f>
        <v/>
      </c>
      <c r="C63" s="160" t="str">
        <f>IF(calculos!C63="","",calculos!C63)</f>
        <v/>
      </c>
      <c r="D63" s="160" t="str">
        <f>IF(calculos!D63="","",calculos!D63)</f>
        <v/>
      </c>
      <c r="E63" s="160" t="str">
        <f>IF(calculos!E63="","",calculos!E63)</f>
        <v/>
      </c>
      <c r="F63" s="160" t="str">
        <f>IF(calculos!F63="","",calculos!F63)</f>
        <v/>
      </c>
      <c r="G63" s="160" t="str">
        <f>IF(calculos!G63="","",calculos!G63)</f>
        <v/>
      </c>
    </row>
    <row r="64">
      <c r="A64" s="159" t="inlineStr">
        <is>
          <t xml:space="preserve">NC · Backlog</t>
        </is>
      </c>
      <c r="B64" s="160" t="str">
        <f>IF(calculos!B64="","",calculos!B64)</f>
        <v/>
      </c>
      <c r="C64" s="160" t="str">
        <f>IF(calculos!C64="","",calculos!C64)</f>
        <v/>
      </c>
      <c r="D64" s="160" t="str">
        <f>IF(calculos!D64="","",calculos!D64)</f>
        <v/>
      </c>
      <c r="E64" s="160" t="str">
        <f>IF(calculos!E64="","",calculos!E64)</f>
        <v/>
      </c>
      <c r="F64" s="160" t="str">
        <f>IF(calculos!F64="","",calculos!F64)</f>
        <v/>
      </c>
      <c r="G64" s="160" t="str">
        <f>IF(calculos!G64="","",calculos!G64)</f>
        <v/>
      </c>
    </row>
    <row r="65">
      <c r="A65" s="159" t="inlineStr">
        <is>
          <t xml:space="preserve">OCUPAÇÃO (P.P) · Posições Disponíveis</t>
        </is>
      </c>
      <c r="B65" s="160" t="str">
        <f>IF(calculos!B65="","",calculos!B65)</f>
        <v/>
      </c>
      <c r="C65" s="160" t="str">
        <f>IF(calculos!C65="","",calculos!C65)</f>
        <v/>
      </c>
      <c r="D65" s="160" t="str">
        <f>IF(calculos!D65="","",calculos!D65)</f>
        <v/>
      </c>
      <c r="E65" s="160" t="str">
        <f>IF(calculos!E65="","",calculos!E65)</f>
        <v/>
      </c>
      <c r="F65" s="160" t="str">
        <f>IF(calculos!F65="","",calculos!F65)</f>
        <v/>
      </c>
      <c r="G65" s="160" t="str">
        <f>IF(calculos!G65="","",calculos!G65)</f>
        <v/>
      </c>
    </row>
    <row r="66">
      <c r="A66" s="159" t="inlineStr">
        <is>
          <t xml:space="preserve">OCUPAÇÃO (P.P) · Posições Ocupadas</t>
        </is>
      </c>
      <c r="B66" s="160" t="str">
        <f>IF(calculos!B66="","",calculos!B66)</f>
        <v/>
      </c>
      <c r="C66" s="160" t="str">
        <f>IF(calculos!C66="","",calculos!C66)</f>
        <v/>
      </c>
      <c r="D66" s="160" t="str">
        <f>IF(calculos!D66="","",calculos!D66)</f>
        <v/>
      </c>
      <c r="E66" s="160" t="str">
        <f>IF(calculos!E66="","",calculos!E66)</f>
        <v/>
      </c>
      <c r="F66" s="160" t="str">
        <f>IF(calculos!F66="","",calculos!F66)</f>
        <v/>
      </c>
      <c r="G66" s="160" t="str">
        <f>IF(calculos!G66="","",calculos!G66)</f>
        <v/>
      </c>
    </row>
    <row r="67">
      <c r="A67" s="159" t="inlineStr">
        <is>
          <t xml:space="preserve">OCUPAÇÃO (P.P) · Taxa de Ocupação</t>
        </is>
      </c>
      <c r="B67" s="161" t="str">
        <f>IF(calculos!B67="","",calculos!B67)</f>
        <v/>
      </c>
      <c r="C67" s="161">
        <f>IF(calculos!C67="","",calculos!C67)</f>
        <v>0.85</v>
      </c>
      <c r="D67" s="161" t="str">
        <f>IF(calculos!D67="","",calculos!D67)</f>
        <v/>
      </c>
      <c r="E67" s="161" t="str">
        <f>IF(calculos!E67="","",calculos!E67)</f>
        <v/>
      </c>
      <c r="F67" s="161" t="str">
        <f>IF(calculos!F67="","",calculos!F67)</f>
        <v/>
      </c>
      <c r="G67" s="161" t="str">
        <f>IF(calculos!G67="","",calculos!G67)</f>
        <v/>
      </c>
    </row>
    <row r="68">
      <c r="A68" s="159" t="inlineStr">
        <is>
          <t xml:space="preserve">GENTE · Efetivo Op.</t>
        </is>
      </c>
      <c r="B68" s="160" t="str">
        <f>IF(calculos!B68="","",calculos!B68)</f>
        <v/>
      </c>
      <c r="C68" s="160" t="str">
        <f>IF(calculos!C68="","",calculos!C68)</f>
        <v/>
      </c>
      <c r="D68" s="160" t="str">
        <f>IF(calculos!D68="","",calculos!D68)</f>
        <v/>
      </c>
      <c r="E68" s="160" t="str">
        <f>IF(calculos!E68="","",calculos!E68)</f>
        <v/>
      </c>
      <c r="F68" s="160" t="str">
        <f>IF(calculos!F68="","",calculos!F68)</f>
        <v/>
      </c>
      <c r="G68" s="160" t="str">
        <f>IF(calculos!G68="","",calculos!G68)</f>
        <v/>
      </c>
    </row>
    <row r="69">
      <c r="A69" s="159" t="inlineStr">
        <is>
          <t xml:space="preserve">GENTE · Falta</t>
        </is>
      </c>
      <c r="B69" s="160" t="str">
        <f>IF(calculos!B69="","",calculos!B69)</f>
        <v/>
      </c>
      <c r="C69" s="160" t="str">
        <f>IF(calculos!C69="","",calculos!C69)</f>
        <v/>
      </c>
      <c r="D69" s="160" t="str">
        <f>IF(calculos!D69="","",calculos!D69)</f>
        <v/>
      </c>
      <c r="E69" s="160" t="str">
        <f>IF(calculos!E69="","",calculos!E69)</f>
        <v/>
      </c>
      <c r="F69" s="160" t="str">
        <f>IF(calculos!F69="","",calculos!F69)</f>
        <v/>
      </c>
      <c r="G69" s="160" t="str">
        <f>IF(calculos!G69="","",calculos!G69)</f>
        <v/>
      </c>
    </row>
    <row r="70">
      <c r="A70" s="159" t="inlineStr">
        <is>
          <t xml:space="preserve">GENTE · Folga</t>
        </is>
      </c>
      <c r="B70" s="160" t="str">
        <f>IF(calculos!B70="","",calculos!B70)</f>
        <v/>
      </c>
      <c r="C70" s="160" t="str">
        <f>IF(calculos!C70="","",calculos!C70)</f>
        <v/>
      </c>
      <c r="D70" s="160" t="str">
        <f>IF(calculos!D70="","",calculos!D70)</f>
        <v/>
      </c>
      <c r="E70" s="160" t="str">
        <f>IF(calculos!E70="","",calculos!E70)</f>
        <v/>
      </c>
      <c r="F70" s="160" t="str">
        <f>IF(calculos!F70="","",calculos!F70)</f>
        <v/>
      </c>
      <c r="G70" s="160" t="str">
        <f>IF(calculos!G70="","",calculos!G70)</f>
        <v/>
      </c>
    </row>
    <row r="71">
      <c r="A71" s="159" t="inlineStr">
        <is>
          <t xml:space="preserve">GENTE · Férias</t>
        </is>
      </c>
      <c r="B71" s="160" t="str">
        <f>IF(calculos!B71="","",calculos!B71)</f>
        <v/>
      </c>
      <c r="C71" s="160" t="str">
        <f>IF(calculos!C71="","",calculos!C71)</f>
        <v/>
      </c>
      <c r="D71" s="160" t="str">
        <f>IF(calculos!D71="","",calculos!D71)</f>
        <v/>
      </c>
      <c r="E71" s="160" t="str">
        <f>IF(calculos!E71="","",calculos!E71)</f>
        <v/>
      </c>
      <c r="F71" s="160" t="str">
        <f>IF(calculos!F71="","",calculos!F71)</f>
        <v/>
      </c>
      <c r="G71" s="160" t="str">
        <f>IF(calculos!G71="","",calculos!G71)</f>
        <v/>
      </c>
    </row>
    <row r="72">
      <c r="A72" s="159" t="inlineStr">
        <is>
          <t xml:space="preserve">GENTE · Desligamento</t>
        </is>
      </c>
      <c r="B72" s="160" t="str">
        <f>IF(calculos!B72="","",calculos!B72)</f>
        <v/>
      </c>
      <c r="C72" s="160" t="str">
        <f>IF(calculos!C72="","",calculos!C72)</f>
        <v/>
      </c>
      <c r="D72" s="160" t="str">
        <f>IF(calculos!D72="","",calculos!D72)</f>
        <v/>
      </c>
      <c r="E72" s="160" t="str">
        <f>IF(calculos!E72="","",calculos!E72)</f>
        <v/>
      </c>
      <c r="F72" s="160" t="str">
        <f>IF(calculos!F72="","",calculos!F72)</f>
        <v/>
      </c>
      <c r="G72" s="160" t="str">
        <f>IF(calculos!G72="","",calculos!G72)</f>
        <v/>
      </c>
    </row>
    <row r="75">
      <c r="A75" s="146" t="inlineStr">
        <is>
          <t xml:space="preserve">PERFIL POR DIA DA SEMANA (média dos dias com operação, métrica escolhida)</t>
        </is>
      </c>
      <c r="F75" s="146" t="inlineStr">
        <is>
          <t xml:space="preserve">TONELADAS POR SEMANA (segue o filtro de cliente)</t>
        </is>
      </c>
    </row>
    <row r="76">
      <c r="A76" s="145" t="inlineStr">
        <is>
          <t xml:space="preserve">Dia da semana</t>
        </is>
      </c>
      <c r="B76" s="145" t="inlineStr">
        <is>
          <t xml:space="preserve">Nº</t>
        </is>
      </c>
      <c r="C76" s="145" t="inlineStr">
        <is>
          <t xml:space="preserve">IN</t>
        </is>
      </c>
      <c r="D76" s="145" t="inlineStr">
        <is>
          <t xml:space="preserve">OUT</t>
        </is>
      </c>
      <c r="F76" s="145" t="inlineStr">
        <is>
          <t xml:space="preserve">Semana</t>
        </is>
      </c>
      <c r="G76" s="145" t="inlineStr">
        <is>
          <t xml:space="preserve">Do dia</t>
        </is>
      </c>
      <c r="H76" s="145" t="inlineStr">
        <is>
          <t xml:space="preserve">Ao dia</t>
        </is>
      </c>
      <c r="I76" s="145" t="inlineStr">
        <is>
          <t xml:space="preserve">IN</t>
        </is>
      </c>
      <c r="J76" s="145" t="inlineStr">
        <is>
          <t xml:space="preserve">OUT</t>
        </is>
      </c>
    </row>
    <row r="77">
      <c r="A77" s="159" t="inlineStr">
        <is>
          <t xml:space="preserve">Seg</t>
        </is>
      </c>
      <c r="B77" s="139">
        <v>1</v>
      </c>
      <c r="C77" s="157">
        <f>IFERROR(AVERAGEIFS(U12:U42,T12:T42,$B77,U12:U42,"&gt;0"),0)</f>
        <v>15.75</v>
      </c>
      <c r="D77" s="157">
        <f>IFERROR(AVERAGEIFS(V12:V42,T12:T42,$B77,V12:V42,"&gt;0"),0)</f>
        <v>31.5</v>
      </c>
      <c r="F77" s="159" t="inlineStr">
        <is>
          <t xml:space="preserve">Sem 1 (01–07)</t>
        </is>
      </c>
      <c r="G77" s="139">
        <v>1</v>
      </c>
      <c r="H77" s="139">
        <v>7</v>
      </c>
      <c r="I77" s="157">
        <f>SUMIFS(E12:E42,A12:A42,"&gt;="&amp;$G77,A12:A42,"&lt;="&amp;$H77)</f>
        <v>1869.26</v>
      </c>
      <c r="J77" s="157">
        <f>SUMIFS(H12:H42,A12:A42,"&gt;="&amp;$G77,A12:A42,"&lt;="&amp;$H77)</f>
        <v>2403.75</v>
      </c>
    </row>
    <row r="78">
      <c r="A78" s="159" t="inlineStr">
        <is>
          <t xml:space="preserve">Ter</t>
        </is>
      </c>
      <c r="B78" s="139">
        <v>2</v>
      </c>
      <c r="C78" s="157">
        <f>IFERROR(AVERAGEIFS(U12:U42,T12:T42,$B78,U12:U42,"&gt;0"),0)</f>
        <v>19.8</v>
      </c>
      <c r="D78" s="157">
        <f>IFERROR(AVERAGEIFS(V12:V42,T12:T42,$B78,V12:V42,"&gt;0"),0)</f>
        <v>25.6</v>
      </c>
      <c r="F78" s="159" t="inlineStr">
        <is>
          <t xml:space="preserve">Sem 2 (08–14)</t>
        </is>
      </c>
      <c r="G78" s="139">
        <v>8</v>
      </c>
      <c r="H78" s="139">
        <v>14</v>
      </c>
      <c r="I78" s="157">
        <f>SUMIFS(E12:E42,A12:A42,"&gt;="&amp;$G78,A12:A42,"&lt;="&amp;$H78)</f>
        <v>2196.65</v>
      </c>
      <c r="J78" s="157">
        <f>SUMIFS(H12:H42,A12:A42,"&gt;="&amp;$G78,A12:A42,"&lt;="&amp;$H78)</f>
        <v>2857.7</v>
      </c>
    </row>
    <row r="79">
      <c r="A79" s="159" t="inlineStr">
        <is>
          <t xml:space="preserve">Qua</t>
        </is>
      </c>
      <c r="B79" s="139">
        <v>3</v>
      </c>
      <c r="C79" s="157">
        <f>IFERROR(AVERAGEIFS(U12:U42,T12:T42,$B79,U12:U42,"&gt;0"),0)</f>
        <v>21.75</v>
      </c>
      <c r="D79" s="157">
        <f>IFERROR(AVERAGEIFS(V12:V42,T12:T42,$B79,V12:V42,"&gt;0"),0)</f>
        <v>25</v>
      </c>
      <c r="F79" s="159" t="inlineStr">
        <is>
          <t xml:space="preserve">Sem 3 (15–21)</t>
        </is>
      </c>
      <c r="G79" s="139">
        <v>15</v>
      </c>
      <c r="H79" s="139">
        <v>21</v>
      </c>
      <c r="I79" s="157">
        <f>SUMIFS(E12:E42,A12:A42,"&gt;="&amp;$G79,A12:A42,"&lt;="&amp;$H79)</f>
        <v>1290.73</v>
      </c>
      <c r="J79" s="157">
        <f>SUMIFS(H12:H42,A12:A42,"&gt;="&amp;$G79,A12:A42,"&lt;="&amp;$H79)</f>
        <v>1297.46</v>
      </c>
    </row>
    <row r="80">
      <c r="A80" s="159" t="inlineStr">
        <is>
          <t xml:space="preserve">Qui</t>
        </is>
      </c>
      <c r="B80" s="139">
        <v>4</v>
      </c>
      <c r="C80" s="157">
        <f>IFERROR(AVERAGEIFS(U12:U42,T12:T42,$B80,U12:U42,"&gt;0"),0)</f>
        <v>25</v>
      </c>
      <c r="D80" s="157">
        <f>IFERROR(AVERAGEIFS(V12:V42,T12:T42,$B80,V12:V42,"&gt;0"),0)</f>
        <v>26.75</v>
      </c>
      <c r="F80" s="159" t="inlineStr">
        <is>
          <t xml:space="preserve">Sem 4 (22–28)</t>
        </is>
      </c>
      <c r="G80" s="139">
        <v>22</v>
      </c>
      <c r="H80" s="139">
        <v>28</v>
      </c>
      <c r="I80" s="157">
        <f>SUMIFS(E12:E42,A12:A42,"&gt;="&amp;$G80,A12:A42,"&lt;="&amp;$H80)</f>
        <v>1789.19</v>
      </c>
      <c r="J80" s="157">
        <f>SUMIFS(H12:H42,A12:A42,"&gt;="&amp;$G80,A12:A42,"&lt;="&amp;$H80)</f>
        <v>1666.14</v>
      </c>
    </row>
    <row r="81">
      <c r="A81" s="159" t="inlineStr">
        <is>
          <t xml:space="preserve">Sex</t>
        </is>
      </c>
      <c r="B81" s="139">
        <v>5</v>
      </c>
      <c r="C81" s="157">
        <f>IFERROR(AVERAGEIFS(U12:U42,T12:T42,$B81,U12:U42,"&gt;0"),0)</f>
        <v>22.5</v>
      </c>
      <c r="D81" s="157">
        <f>IFERROR(AVERAGEIFS(V12:V42,T12:T42,$B81,V12:V42,"&gt;0"),0)</f>
        <v>37.25</v>
      </c>
      <c r="F81" s="159" t="str">
        <f>IF(DAY($D$7)&lt;29,"Sem 5 (—)","Sem 5 (29–"&amp;DAY($D$7)&amp;")")</f>
        <v>Sem 5 (29–30)</v>
      </c>
      <c r="G81" s="139">
        <v>29</v>
      </c>
      <c r="H81" s="139">
        <f>DAY($D$7)</f>
        <v>30</v>
      </c>
      <c r="I81" s="157">
        <f>SUMIFS(E12:E42,A12:A42,"&gt;="&amp;$G81,A12:A42,"&lt;="&amp;$H81)</f>
        <v>227.51</v>
      </c>
      <c r="J81" s="157">
        <f>SUMIFS(H12:H42,A12:A42,"&gt;="&amp;$G81,A12:A42,"&lt;="&amp;$H81)</f>
        <v>168.46</v>
      </c>
    </row>
    <row r="82">
      <c r="A82" s="159" t="inlineStr">
        <is>
          <t xml:space="preserve">Sáb</t>
        </is>
      </c>
      <c r="B82" s="139">
        <v>6</v>
      </c>
      <c r="C82" s="157">
        <f>IFERROR(AVERAGEIFS(U12:U42,T12:T42,$B82,U12:U42,"&gt;0"),0)</f>
        <v>3.5</v>
      </c>
      <c r="D82" s="157">
        <f>IFERROR(AVERAGEIFS(V12:V42,T12:T42,$B82,V12:V42,"&gt;0"),0)</f>
        <v>12</v>
      </c>
    </row>
    <row r="83">
      <c r="A83" s="159" t="inlineStr">
        <is>
          <t xml:space="preserve">Dom</t>
        </is>
      </c>
      <c r="B83" s="139">
        <v>7</v>
      </c>
      <c r="C83" s="157">
        <f>IFERROR(AVERAGEIFS(U12:U42,T12:T42,$B83,U12:U42,"&gt;0"),0)</f>
        <v>4</v>
      </c>
      <c r="D83" s="157">
        <f>IFERROR(AVERAGEIFS(V12:V42,T12:T42,$B83,V12:V42,"&gt;0"),0)</f>
        <v>14</v>
      </c>
    </row>
    <row r="86">
      <c r="A86" s="146" t="inlineStr">
        <is>
          <t xml:space="preserve">POR CLIENTE — mês inteiro (todos os clientes, independe do filtro). Estoque = último dado do mês.</t>
        </is>
      </c>
    </row>
    <row r="87" ht="30" customHeight="1">
      <c r="A87" s="145" t="inlineStr">
        <is>
          <t xml:space="preserve">Indicador</t>
        </is>
      </c>
      <c r="B87" s="145" t="inlineStr">
        <is>
          <t xml:space="preserve">Barry Callebaut</t>
        </is>
      </c>
      <c r="C87" s="145" t="inlineStr">
        <is>
          <t xml:space="preserve">PMB</t>
        </is>
      </c>
      <c r="D87" s="145" t="inlineStr">
        <is>
          <t xml:space="preserve">Nestlé</t>
        </is>
      </c>
      <c r="E87" s="145" t="inlineStr">
        <is>
          <t xml:space="preserve">Mondelez</t>
        </is>
      </c>
      <c r="F87" s="145" t="inlineStr">
        <is>
          <t xml:space="preserve">Gm</t>
        </is>
      </c>
      <c r="G87" s="145" t="inlineStr">
        <is>
          <t xml:space="preserve">TOTAL CD</t>
        </is>
      </c>
    </row>
    <row r="88">
      <c r="A88" s="159" t="inlineStr">
        <is>
          <t xml:space="preserve">IN · Veículos Recebidos</t>
        </is>
      </c>
      <c r="B88" s="153">
        <f>SUMIFS(Base!$C$3:$C$5001,Base!$B$3:$B$5001,B$87,Base!$A$3:$A$5001,"&gt;="&amp;$C$7,Base!$A$3:$A$5001,"&lt;="&amp;$D$7)</f>
        <v>84</v>
      </c>
      <c r="C88" s="153">
        <f>SUMIFS(Base!$C$3:$C$5001,Base!$B$3:$B$5001,C$87,Base!$A$3:$A$5001,"&gt;="&amp;$C$7,Base!$A$3:$A$5001,"&lt;="&amp;$D$7)</f>
        <v>102</v>
      </c>
      <c r="D88" s="153">
        <f>SUMIFS(Base!$C$3:$C$5001,Base!$B$3:$B$5001,D$87,Base!$A$3:$A$5001,"&gt;="&amp;$C$7,Base!$A$3:$A$5001,"&lt;="&amp;$D$7)</f>
        <v>104</v>
      </c>
      <c r="E88" s="153">
        <f>SUMIFS(Base!$C$3:$C$5001,Base!$B$3:$B$5001,E$87,Base!$A$3:$A$5001,"&gt;="&amp;$C$7,Base!$A$3:$A$5001,"&lt;="&amp;$D$7)</f>
        <v>88</v>
      </c>
      <c r="F88" s="153">
        <f>SUMIFS(Base!$C$3:$C$5001,Base!$B$3:$B$5001,F$87,Base!$A$3:$A$5001,"&gt;="&amp;$C$7,Base!$A$3:$A$5001,"&lt;="&amp;$D$7)</f>
        <v>80</v>
      </c>
      <c r="G88" s="172">
        <f>SUM(B88:F88)</f>
        <v>458</v>
      </c>
    </row>
    <row r="89">
      <c r="A89" s="159" t="inlineStr">
        <is>
          <t xml:space="preserve">IN · Pallets Movimentados</t>
        </is>
      </c>
      <c r="B89" s="153">
        <f>SUMIFS(Base!$D$3:$D$5001,Base!$B$3:$B$5001,B$87,Base!$A$3:$A$5001,"&gt;="&amp;$C$7,Base!$A$3:$A$5001,"&lt;="&amp;$D$7)</f>
        <v>1960</v>
      </c>
      <c r="C89" s="153">
        <f>SUMIFS(Base!$D$3:$D$5001,Base!$B$3:$B$5001,C$87,Base!$A$3:$A$5001,"&gt;="&amp;$C$7,Base!$A$3:$A$5001,"&lt;="&amp;$D$7)</f>
        <v>2417</v>
      </c>
      <c r="D89" s="153">
        <f>SUMIFS(Base!$D$3:$D$5001,Base!$B$3:$B$5001,D$87,Base!$A$3:$A$5001,"&gt;="&amp;$C$7,Base!$A$3:$A$5001,"&lt;="&amp;$D$7)</f>
        <v>2547</v>
      </c>
      <c r="E89" s="153">
        <f>SUMIFS(Base!$D$3:$D$5001,Base!$B$3:$B$5001,E$87,Base!$A$3:$A$5001,"&gt;="&amp;$C$7,Base!$A$3:$A$5001,"&lt;="&amp;$D$7)</f>
        <v>2131</v>
      </c>
      <c r="F89" s="153">
        <f>SUMIFS(Base!$D$3:$D$5001,Base!$B$3:$B$5001,F$87,Base!$A$3:$A$5001,"&gt;="&amp;$C$7,Base!$A$3:$A$5001,"&lt;="&amp;$D$7)</f>
        <v>1902</v>
      </c>
      <c r="G89" s="172">
        <f>SUM(B89:F89)</f>
        <v>10957</v>
      </c>
    </row>
    <row r="90">
      <c r="A90" s="159" t="inlineStr">
        <is>
          <t xml:space="preserve">IN · Toneladas Movimentadas</t>
        </is>
      </c>
      <c r="B90" s="157">
        <f>SUMIFS(Base!$E$3:$E$5001,Base!$B$3:$B$5001,B$87,Base!$A$3:$A$5001,"&gt;="&amp;$C$7,Base!$A$3:$A$5001,"&lt;="&amp;$D$7)</f>
        <v>1445.28</v>
      </c>
      <c r="C90" s="157">
        <f>SUMIFS(Base!$E$3:$E$5001,Base!$B$3:$B$5001,C$87,Base!$A$3:$A$5001,"&gt;="&amp;$C$7,Base!$A$3:$A$5001,"&lt;="&amp;$D$7)</f>
        <v>1557.8</v>
      </c>
      <c r="D90" s="157">
        <f>SUMIFS(Base!$E$3:$E$5001,Base!$B$3:$B$5001,D$87,Base!$A$3:$A$5001,"&gt;="&amp;$C$7,Base!$A$3:$A$5001,"&lt;="&amp;$D$7)</f>
        <v>1592.76</v>
      </c>
      <c r="E90" s="157">
        <f>SUMIFS(Base!$E$3:$E$5001,Base!$B$3:$B$5001,E$87,Base!$A$3:$A$5001,"&gt;="&amp;$C$7,Base!$A$3:$A$5001,"&lt;="&amp;$D$7)</f>
        <v>1409.33</v>
      </c>
      <c r="F90" s="157">
        <f>SUMIFS(Base!$E$3:$E$5001,Base!$B$3:$B$5001,F$87,Base!$A$3:$A$5001,"&gt;="&amp;$C$7,Base!$A$3:$A$5001,"&lt;="&amp;$D$7)</f>
        <v>1368.17</v>
      </c>
      <c r="G90" s="173">
        <f>SUM(B90:F90)</f>
        <v>7373.34</v>
      </c>
    </row>
    <row r="91">
      <c r="A91" s="159" t="inlineStr">
        <is>
          <t xml:space="preserve">OUT · Veículos Expedidos</t>
        </is>
      </c>
      <c r="B91" s="153">
        <f>SUMIFS(Base!$F$3:$F$5001,Base!$B$3:$B$5001,B$87,Base!$A$3:$A$5001,"&gt;="&amp;$C$7,Base!$A$3:$A$5001,"&lt;="&amp;$D$7)</f>
        <v>205</v>
      </c>
      <c r="C91" s="153">
        <f>SUMIFS(Base!$F$3:$F$5001,Base!$B$3:$B$5001,C$87,Base!$A$3:$A$5001,"&gt;="&amp;$C$7,Base!$A$3:$A$5001,"&lt;="&amp;$D$7)</f>
        <v>141</v>
      </c>
      <c r="D91" s="153">
        <f>SUMIFS(Base!$F$3:$F$5001,Base!$B$3:$B$5001,D$87,Base!$A$3:$A$5001,"&gt;="&amp;$C$7,Base!$A$3:$A$5001,"&lt;="&amp;$D$7)</f>
        <v>130</v>
      </c>
      <c r="E91" s="153">
        <f>SUMIFS(Base!$F$3:$F$5001,Base!$B$3:$B$5001,E$87,Base!$A$3:$A$5001,"&gt;="&amp;$C$7,Base!$A$3:$A$5001,"&lt;="&amp;$D$7)</f>
        <v>140</v>
      </c>
      <c r="F91" s="153">
        <f>SUMIFS(Base!$F$3:$F$5001,Base!$B$3:$B$5001,F$87,Base!$A$3:$A$5001,"&gt;="&amp;$C$7,Base!$A$3:$A$5001,"&lt;="&amp;$D$7)</f>
        <v>86</v>
      </c>
      <c r="G91" s="172">
        <f>SUM(B91:F91)</f>
        <v>702</v>
      </c>
    </row>
    <row r="92">
      <c r="A92" s="159" t="inlineStr">
        <is>
          <t xml:space="preserve">OUT · Pallets Movimentados</t>
        </is>
      </c>
      <c r="B92" s="153">
        <f>SUMIFS(Base!$G$3:$G$5001,Base!$B$3:$B$5001,B$87,Base!$A$3:$A$5001,"&gt;="&amp;$C$7,Base!$A$3:$A$5001,"&lt;="&amp;$D$7)</f>
        <v>3690</v>
      </c>
      <c r="C92" s="153">
        <f>SUMIFS(Base!$G$3:$G$5001,Base!$B$3:$B$5001,C$87,Base!$A$3:$A$5001,"&gt;="&amp;$C$7,Base!$A$3:$A$5001,"&lt;="&amp;$D$7)</f>
        <v>2538</v>
      </c>
      <c r="D92" s="153">
        <f>SUMIFS(Base!$G$3:$G$5001,Base!$B$3:$B$5001,D$87,Base!$A$3:$A$5001,"&gt;="&amp;$C$7,Base!$A$3:$A$5001,"&lt;="&amp;$D$7)</f>
        <v>2340</v>
      </c>
      <c r="E92" s="153">
        <f>SUMIFS(Base!$G$3:$G$5001,Base!$B$3:$B$5001,E$87,Base!$A$3:$A$5001,"&gt;="&amp;$C$7,Base!$A$3:$A$5001,"&lt;="&amp;$D$7)</f>
        <v>2520</v>
      </c>
      <c r="F92" s="153">
        <f>SUMIFS(Base!$G$3:$G$5001,Base!$B$3:$B$5001,F$87,Base!$A$3:$A$5001,"&gt;="&amp;$C$7,Base!$A$3:$A$5001,"&lt;="&amp;$D$7)</f>
        <v>1548</v>
      </c>
      <c r="G92" s="172">
        <f>SUM(B92:F92)</f>
        <v>12636</v>
      </c>
    </row>
    <row r="93">
      <c r="A93" s="159" t="inlineStr">
        <is>
          <t xml:space="preserve">OUT · Toneladas Movimentadas</t>
        </is>
      </c>
      <c r="B93" s="157">
        <f>SUMIFS(Base!$H$3:$H$5001,Base!$B$3:$B$5001,B$87,Base!$A$3:$A$5001,"&gt;="&amp;$C$7,Base!$A$3:$A$5001,"&lt;="&amp;$D$7)</f>
        <v>2495.13</v>
      </c>
      <c r="C93" s="157">
        <f>SUMIFS(Base!$H$3:$H$5001,Base!$B$3:$B$5001,C$87,Base!$A$3:$A$5001,"&gt;="&amp;$C$7,Base!$A$3:$A$5001,"&lt;="&amp;$D$7)</f>
        <v>1592.22</v>
      </c>
      <c r="D93" s="157">
        <f>SUMIFS(Base!$H$3:$H$5001,Base!$B$3:$B$5001,D$87,Base!$A$3:$A$5001,"&gt;="&amp;$C$7,Base!$A$3:$A$5001,"&lt;="&amp;$D$7)</f>
        <v>1318.34</v>
      </c>
      <c r="E93" s="157">
        <f>SUMIFS(Base!$H$3:$H$5001,Base!$B$3:$B$5001,E$87,Base!$A$3:$A$5001,"&gt;="&amp;$C$7,Base!$A$3:$A$5001,"&lt;="&amp;$D$7)</f>
        <v>1864.14</v>
      </c>
      <c r="F93" s="157">
        <f>SUMIFS(Base!$H$3:$H$5001,Base!$B$3:$B$5001,F$87,Base!$A$3:$A$5001,"&gt;="&amp;$C$7,Base!$A$3:$A$5001,"&lt;="&amp;$D$7)</f>
        <v>1123.68</v>
      </c>
      <c r="G93" s="173">
        <f>SUM(B93:F93)</f>
        <v>8393.51</v>
      </c>
    </row>
    <row r="94">
      <c r="A94" s="159" t="inlineStr">
        <is>
          <t xml:space="preserve">NC · Incidentes</t>
        </is>
      </c>
      <c r="B94" s="153">
        <f>SUMIFS(Base!$I$3:$I$5001,Base!$B$3:$B$5001,B$87,Base!$A$3:$A$5001,"&gt;="&amp;$C$7,Base!$A$3:$A$5001,"&lt;="&amp;$D$7)</f>
        <v>2</v>
      </c>
      <c r="C94" s="153">
        <f>SUMIFS(Base!$I$3:$I$5001,Base!$B$3:$B$5001,C$87,Base!$A$3:$A$5001,"&gt;="&amp;$C$7,Base!$A$3:$A$5001,"&lt;="&amp;$D$7)</f>
        <v>2</v>
      </c>
      <c r="D94" s="153">
        <f>SUMIFS(Base!$I$3:$I$5001,Base!$B$3:$B$5001,D$87,Base!$A$3:$A$5001,"&gt;="&amp;$C$7,Base!$A$3:$A$5001,"&lt;="&amp;$D$7)</f>
        <v>5</v>
      </c>
      <c r="E94" s="153">
        <f>SUMIFS(Base!$I$3:$I$5001,Base!$B$3:$B$5001,E$87,Base!$A$3:$A$5001,"&gt;="&amp;$C$7,Base!$A$3:$A$5001,"&lt;="&amp;$D$7)</f>
        <v>1</v>
      </c>
      <c r="F94" s="153">
        <f>SUMIFS(Base!$I$3:$I$5001,Base!$B$3:$B$5001,F$87,Base!$A$3:$A$5001,"&gt;="&amp;$C$7,Base!$A$3:$A$5001,"&lt;="&amp;$D$7)</f>
        <v>1</v>
      </c>
      <c r="G94" s="172">
        <f>SUM(B94:F94)</f>
        <v>11</v>
      </c>
    </row>
    <row r="95">
      <c r="A95" s="159" t="inlineStr">
        <is>
          <t xml:space="preserve">NC · No show</t>
        </is>
      </c>
      <c r="B95" s="153">
        <f>SUMIFS(Base!$J$3:$J$5001,Base!$B$3:$B$5001,B$87,Base!$A$3:$A$5001,"&gt;="&amp;$C$7,Base!$A$3:$A$5001,"&lt;="&amp;$D$7)</f>
        <v>0</v>
      </c>
      <c r="C95" s="153">
        <f>SUMIFS(Base!$J$3:$J$5001,Base!$B$3:$B$5001,C$87,Base!$A$3:$A$5001,"&gt;="&amp;$C$7,Base!$A$3:$A$5001,"&lt;="&amp;$D$7)</f>
        <v>0</v>
      </c>
      <c r="D95" s="153">
        <f>SUMIFS(Base!$J$3:$J$5001,Base!$B$3:$B$5001,D$87,Base!$A$3:$A$5001,"&gt;="&amp;$C$7,Base!$A$3:$A$5001,"&lt;="&amp;$D$7)</f>
        <v>0</v>
      </c>
      <c r="E95" s="153">
        <f>SUMIFS(Base!$J$3:$J$5001,Base!$B$3:$B$5001,E$87,Base!$A$3:$A$5001,"&gt;="&amp;$C$7,Base!$A$3:$A$5001,"&lt;="&amp;$D$7)</f>
        <v>0</v>
      </c>
      <c r="F95" s="153">
        <f>SUMIFS(Base!$J$3:$J$5001,Base!$B$3:$B$5001,F$87,Base!$A$3:$A$5001,"&gt;="&amp;$C$7,Base!$A$3:$A$5001,"&lt;="&amp;$D$7)</f>
        <v>0</v>
      </c>
      <c r="G95" s="172">
        <f>SUM(B95:F95)</f>
        <v>0</v>
      </c>
    </row>
    <row r="96">
      <c r="A96" s="159" t="inlineStr">
        <is>
          <t xml:space="preserve">NC · Backlog</t>
        </is>
      </c>
      <c r="B96" s="153" t="str">
        <f>IF(COUNTIFS(Base!$B$3:$B$5001,B$87,Base!$A$3:$A$5001,"&gt;="&amp;$C$7,Base!$A$3:$A$5001,"&lt;="&amp;$D$7,Base!$K$3:$K$5001,"&lt;&gt;")=0,"",SUMIFS(Base!$K$3:$K$5001,Base!$B$3:$B$5001,B$87,Base!$A$3:$A$5001,_xlfn.MAXIFS(Base!$A$3:$A$5001,Base!$B$3:$B$5001,B$87,Base!$A$3:$A$5001,"&gt;="&amp;$C$7,Base!$A$3:$A$5001,"&lt;="&amp;$D$7,Base!$K$3:$K$5001,"&lt;&gt;")))</f>
        <v/>
      </c>
      <c r="C96" s="153" t="str">
        <f>IF(COUNTIFS(Base!$B$3:$B$5001,C$87,Base!$A$3:$A$5001,"&gt;="&amp;$C$7,Base!$A$3:$A$5001,"&lt;="&amp;$D$7,Base!$K$3:$K$5001,"&lt;&gt;")=0,"",SUMIFS(Base!$K$3:$K$5001,Base!$B$3:$B$5001,C$87,Base!$A$3:$A$5001,_xlfn.MAXIFS(Base!$A$3:$A$5001,Base!$B$3:$B$5001,C$87,Base!$A$3:$A$5001,"&gt;="&amp;$C$7,Base!$A$3:$A$5001,"&lt;="&amp;$D$7,Base!$K$3:$K$5001,"&lt;&gt;")))</f>
        <v/>
      </c>
      <c r="D96" s="153" t="str">
        <f>IF(COUNTIFS(Base!$B$3:$B$5001,D$87,Base!$A$3:$A$5001,"&gt;="&amp;$C$7,Base!$A$3:$A$5001,"&lt;="&amp;$D$7,Base!$K$3:$K$5001,"&lt;&gt;")=0,"",SUMIFS(Base!$K$3:$K$5001,Base!$B$3:$B$5001,D$87,Base!$A$3:$A$5001,_xlfn.MAXIFS(Base!$A$3:$A$5001,Base!$B$3:$B$5001,D$87,Base!$A$3:$A$5001,"&gt;="&amp;$C$7,Base!$A$3:$A$5001,"&lt;="&amp;$D$7,Base!$K$3:$K$5001,"&lt;&gt;")))</f>
        <v/>
      </c>
      <c r="E96" s="153" t="str">
        <f>IF(COUNTIFS(Base!$B$3:$B$5001,E$87,Base!$A$3:$A$5001,"&gt;="&amp;$C$7,Base!$A$3:$A$5001,"&lt;="&amp;$D$7,Base!$K$3:$K$5001,"&lt;&gt;")=0,"",SUMIFS(Base!$K$3:$K$5001,Base!$B$3:$B$5001,E$87,Base!$A$3:$A$5001,_xlfn.MAXIFS(Base!$A$3:$A$5001,Base!$B$3:$B$5001,E$87,Base!$A$3:$A$5001,"&gt;="&amp;$C$7,Base!$A$3:$A$5001,"&lt;="&amp;$D$7,Base!$K$3:$K$5001,"&lt;&gt;")))</f>
        <v/>
      </c>
      <c r="F96" s="153" t="str">
        <f>IF(COUNTIFS(Base!$B$3:$B$5001,F$87,Base!$A$3:$A$5001,"&gt;="&amp;$C$7,Base!$A$3:$A$5001,"&lt;="&amp;$D$7,Base!$K$3:$K$5001,"&lt;&gt;")=0,"",SUMIFS(Base!$K$3:$K$5001,Base!$B$3:$B$5001,F$87,Base!$A$3:$A$5001,_xlfn.MAXIFS(Base!$A$3:$A$5001,Base!$B$3:$B$5001,F$87,Base!$A$3:$A$5001,"&gt;="&amp;$C$7,Base!$A$3:$A$5001,"&lt;="&amp;$D$7,Base!$K$3:$K$5001,"&lt;&gt;")))</f>
        <v/>
      </c>
      <c r="G96" s="172">
        <f>SUM(B96:F96)</f>
        <v>0</v>
      </c>
    </row>
    <row r="97">
      <c r="A97" s="159" t="inlineStr">
        <is>
          <t xml:space="preserve">OCUPAÇÃO (P.P) · Posições Disponíveis</t>
        </is>
      </c>
      <c r="B97" s="153">
        <f>IF(COUNTIFS(Base!$B$3:$B$5001,B$87,Base!$A$3:$A$5001,"&gt;="&amp;$C$7,Base!$A$3:$A$5001,"&lt;="&amp;$D$7,Base!$M$3:$M$5001,"&lt;&gt;")=0,"",SUMIFS(Base!$L$3:$L$5001,Base!$B$3:$B$5001,B$87,Base!$A$3:$A$5001,_xlfn.MAXIFS(Base!$A$3:$A$5001,Base!$B$3:$B$5001,B$87,Base!$A$3:$A$5001,"&gt;="&amp;$C$7,Base!$A$3:$A$5001,"&lt;="&amp;$D$7,Base!$M$3:$M$5001,"&lt;&gt;")))</f>
        <v>1950</v>
      </c>
      <c r="C97" s="153" t="inlineStr">
        <is>
          <t xml:space="preserve">Cross</t>
        </is>
      </c>
      <c r="D97" s="153">
        <f>IF(COUNTIFS(Base!$B$3:$B$5001,D$87,Base!$A$3:$A$5001,"&gt;="&amp;$C$7,Base!$A$3:$A$5001,"&lt;="&amp;$D$7,Base!$M$3:$M$5001,"&lt;&gt;")=0,"",SUMIFS(Base!$L$3:$L$5001,Base!$B$3:$B$5001,D$87,Base!$A$3:$A$5001,_xlfn.MAXIFS(Base!$A$3:$A$5001,Base!$B$3:$B$5001,D$87,Base!$A$3:$A$5001,"&gt;="&amp;$C$7,Base!$A$3:$A$5001,"&lt;="&amp;$D$7,Base!$M$3:$M$5001,"&lt;&gt;")))</f>
        <v>1400</v>
      </c>
      <c r="E97" s="153" t="inlineStr">
        <is>
          <t xml:space="preserve">Spot</t>
        </is>
      </c>
      <c r="F97" s="153">
        <f>IF(COUNTIFS(Base!$B$3:$B$5001,F$87,Base!$A$3:$A$5001,"&gt;="&amp;$C$7,Base!$A$3:$A$5001,"&lt;="&amp;$D$7,Base!$M$3:$M$5001,"&lt;&gt;")=0,"",SUMIFS(Base!$L$3:$L$5001,Base!$B$3:$B$5001,F$87,Base!$A$3:$A$5001,_xlfn.MAXIFS(Base!$A$3:$A$5001,Base!$B$3:$B$5001,F$87,Base!$A$3:$A$5001,"&gt;="&amp;$C$7,Base!$A$3:$A$5001,"&lt;="&amp;$D$7,Base!$M$3:$M$5001,"&lt;&gt;")))</f>
        <v>800</v>
      </c>
      <c r="G97" s="172">
        <f>$B$4</f>
        <v>5872</v>
      </c>
    </row>
    <row r="98">
      <c r="A98" s="159" t="inlineStr">
        <is>
          <t xml:space="preserve">OCUPAÇÃO (P.P) · Posições Ocupadas</t>
        </is>
      </c>
      <c r="B98" s="153">
        <f>IF(COUNTIFS(Base!$B$3:$B$5001,B$87,Base!$A$3:$A$5001,"&gt;="&amp;$C$7,Base!$A$3:$A$5001,"&lt;="&amp;$D$7,Base!$M$3:$M$5001,"&lt;&gt;")=0,"",SUMIFS(Base!$M$3:$M$5001,Base!$B$3:$B$5001,B$87,Base!$A$3:$A$5001,_xlfn.MAXIFS(Base!$A$3:$A$5001,Base!$B$3:$B$5001,B$87,Base!$A$3:$A$5001,"&gt;="&amp;$C$7,Base!$A$3:$A$5001,"&lt;="&amp;$D$7,Base!$M$3:$M$5001,"&lt;&gt;")))</f>
        <v>1872</v>
      </c>
      <c r="C98" s="153">
        <f>IF(COUNTIFS(Base!$B$3:$B$5001,C$87,Base!$A$3:$A$5001,"&gt;="&amp;$C$7,Base!$A$3:$A$5001,"&lt;="&amp;$D$7,Base!$M$3:$M$5001,"&lt;&gt;")=0,"",SUMIFS(Base!$M$3:$M$5001,Base!$B$3:$B$5001,C$87,Base!$A$3:$A$5001,_xlfn.MAXIFS(Base!$A$3:$A$5001,Base!$B$3:$B$5001,C$87,Base!$A$3:$A$5001,"&gt;="&amp;$C$7,Base!$A$3:$A$5001,"&lt;="&amp;$D$7,Base!$M$3:$M$5001,"&lt;&gt;")))</f>
        <v>221</v>
      </c>
      <c r="D98" s="153">
        <f>IF(COUNTIFS(Base!$B$3:$B$5001,D$87,Base!$A$3:$A$5001,"&gt;="&amp;$C$7,Base!$A$3:$A$5001,"&lt;="&amp;$D$7,Base!$M$3:$M$5001,"&lt;&gt;")=0,"",SUMIFS(Base!$M$3:$M$5001,Base!$B$3:$B$5001,D$87,Base!$A$3:$A$5001,_xlfn.MAXIFS(Base!$A$3:$A$5001,Base!$B$3:$B$5001,D$87,Base!$A$3:$A$5001,"&gt;="&amp;$C$7,Base!$A$3:$A$5001,"&lt;="&amp;$D$7,Base!$M$3:$M$5001,"&lt;&gt;")))</f>
        <v>1196</v>
      </c>
      <c r="E98" s="153">
        <f>IF(COUNTIFS(Base!$B$3:$B$5001,E$87,Base!$A$3:$A$5001,"&gt;="&amp;$C$7,Base!$A$3:$A$5001,"&lt;="&amp;$D$7,Base!$M$3:$M$5001,"&lt;&gt;")=0,"",SUMIFS(Base!$M$3:$M$5001,Base!$B$3:$B$5001,E$87,Base!$A$3:$A$5001,_xlfn.MAXIFS(Base!$A$3:$A$5001,Base!$B$3:$B$5001,E$87,Base!$A$3:$A$5001,"&gt;="&amp;$C$7,Base!$A$3:$A$5001,"&lt;="&amp;$D$7,Base!$M$3:$M$5001,"&lt;&gt;")))</f>
        <v>373</v>
      </c>
      <c r="F98" s="153">
        <f>IF(COUNTIFS(Base!$B$3:$B$5001,F$87,Base!$A$3:$A$5001,"&gt;="&amp;$C$7,Base!$A$3:$A$5001,"&lt;="&amp;$D$7,Base!$M$3:$M$5001,"&lt;&gt;")=0,"",SUMIFS(Base!$M$3:$M$5001,Base!$B$3:$B$5001,F$87,Base!$A$3:$A$5001,_xlfn.MAXIFS(Base!$A$3:$A$5001,Base!$B$3:$B$5001,F$87,Base!$A$3:$A$5001,"&gt;="&amp;$C$7,Base!$A$3:$A$5001,"&lt;="&amp;$D$7,Base!$M$3:$M$5001,"&lt;&gt;")))</f>
        <v>565</v>
      </c>
      <c r="G98" s="172">
        <f>SUM(B98:F98)</f>
        <v>4227</v>
      </c>
    </row>
    <row r="99">
      <c r="A99" s="159" t="inlineStr">
        <is>
          <t xml:space="preserve">OCUPAÇÃO (P.P) · Taxa de Ocupação</t>
        </is>
      </c>
      <c r="B99" s="158">
        <f>IF(AND(ISNUMBER(B98),ISNUMBER(B97)),IF(B97&gt;0,B98/B97,""),"")</f>
        <v>0.96</v>
      </c>
      <c r="C99" s="158" t="str">
        <f>IF(AND(ISNUMBER(C98),ISNUMBER(C97)),IF(C97&gt;0,C98/C97,""),"")</f>
        <v/>
      </c>
      <c r="D99" s="158">
        <f>IF(AND(ISNUMBER(D98),ISNUMBER(D97)),IF(D97&gt;0,D98/D97,""),"")</f>
        <v>0.854285714285714</v>
      </c>
      <c r="E99" s="158" t="str">
        <f>IF(AND(ISNUMBER(E98),ISNUMBER(E97)),IF(E97&gt;0,E98/E97,""),"")</f>
        <v/>
      </c>
      <c r="F99" s="158">
        <f>IF(AND(ISNUMBER(F98),ISNUMBER(F97)),IF(F97&gt;0,F98/F97,""),"")</f>
        <v>0.70625</v>
      </c>
      <c r="G99" s="174">
        <f>IFERROR(G98/$B$4,"")</f>
        <v>0.719856948228883</v>
      </c>
    </row>
    <row r="100">
      <c r="A100" s="159" t="inlineStr">
        <is>
          <t xml:space="preserve">GENTE · Efetivo Op.</t>
        </is>
      </c>
      <c r="B100" s="153">
        <f>IF(COUNTIFS(Base!$B$3:$B$5001,B$87,Base!$A$3:$A$5001,"&gt;="&amp;$C$7,Base!$A$3:$A$5001,"&lt;="&amp;$D$7,Base!$N$3:$N$5001,"&lt;&gt;")=0,"",SUMIFS(Base!$N$3:$N$5001,Base!$B$3:$B$5001,B$87,Base!$A$3:$A$5001,_xlfn.MAXIFS(Base!$A$3:$A$5001,Base!$B$3:$B$5001,B$87,Base!$A$3:$A$5001,"&gt;="&amp;$C$7,Base!$A$3:$A$5001,"&lt;="&amp;$D$7,Base!$N$3:$N$5001,"&lt;&gt;")))</f>
        <v>5</v>
      </c>
      <c r="C100" s="153">
        <f>IF(COUNTIFS(Base!$B$3:$B$5001,C$87,Base!$A$3:$A$5001,"&gt;="&amp;$C$7,Base!$A$3:$A$5001,"&lt;="&amp;$D$7,Base!$N$3:$N$5001,"&lt;&gt;")=0,"",SUMIFS(Base!$N$3:$N$5001,Base!$B$3:$B$5001,C$87,Base!$A$3:$A$5001,_xlfn.MAXIFS(Base!$A$3:$A$5001,Base!$B$3:$B$5001,C$87,Base!$A$3:$A$5001,"&gt;="&amp;$C$7,Base!$A$3:$A$5001,"&lt;="&amp;$D$7,Base!$N$3:$N$5001,"&lt;&gt;")))</f>
        <v>3</v>
      </c>
      <c r="D100" s="153">
        <f>IF(COUNTIFS(Base!$B$3:$B$5001,D$87,Base!$A$3:$A$5001,"&gt;="&amp;$C$7,Base!$A$3:$A$5001,"&lt;="&amp;$D$7,Base!$N$3:$N$5001,"&lt;&gt;")=0,"",SUMIFS(Base!$N$3:$N$5001,Base!$B$3:$B$5001,D$87,Base!$A$3:$A$5001,_xlfn.MAXIFS(Base!$A$3:$A$5001,Base!$B$3:$B$5001,D$87,Base!$A$3:$A$5001,"&gt;="&amp;$C$7,Base!$A$3:$A$5001,"&lt;="&amp;$D$7,Base!$N$3:$N$5001,"&lt;&gt;")))</f>
        <v>8</v>
      </c>
      <c r="E100" s="153">
        <f>IF(COUNTIFS(Base!$B$3:$B$5001,E$87,Base!$A$3:$A$5001,"&gt;="&amp;$C$7,Base!$A$3:$A$5001,"&lt;="&amp;$D$7,Base!$N$3:$N$5001,"&lt;&gt;")=0,"",SUMIFS(Base!$N$3:$N$5001,Base!$B$3:$B$5001,E$87,Base!$A$3:$A$5001,_xlfn.MAXIFS(Base!$A$3:$A$5001,Base!$B$3:$B$5001,E$87,Base!$A$3:$A$5001,"&gt;="&amp;$C$7,Base!$A$3:$A$5001,"&lt;="&amp;$D$7,Base!$N$3:$N$5001,"&lt;&gt;")))</f>
        <v>5</v>
      </c>
      <c r="F100" s="153">
        <f>IF(COUNTIFS(Base!$B$3:$B$5001,F$87,Base!$A$3:$A$5001,"&gt;="&amp;$C$7,Base!$A$3:$A$5001,"&lt;="&amp;$D$7,Base!$N$3:$N$5001,"&lt;&gt;")=0,"",SUMIFS(Base!$N$3:$N$5001,Base!$B$3:$B$5001,F$87,Base!$A$3:$A$5001,_xlfn.MAXIFS(Base!$A$3:$A$5001,Base!$B$3:$B$5001,F$87,Base!$A$3:$A$5001,"&gt;="&amp;$C$7,Base!$A$3:$A$5001,"&lt;="&amp;$D$7,Base!$N$3:$N$5001,"&lt;&gt;")))</f>
        <v>5</v>
      </c>
      <c r="G100" s="172">
        <f>SUM(B100:F100)</f>
        <v>26</v>
      </c>
    </row>
    <row r="101">
      <c r="A101" s="159" t="inlineStr">
        <is>
          <t xml:space="preserve">GENTE · Falta</t>
        </is>
      </c>
      <c r="B101" s="153">
        <f>SUMIFS(Base!$O$3:$O$5001,Base!$B$3:$B$5001,B$87,Base!$A$3:$A$5001,"&gt;="&amp;$C$7,Base!$A$3:$A$5001,"&lt;="&amp;$D$7)</f>
        <v>0</v>
      </c>
      <c r="C101" s="153">
        <f>SUMIFS(Base!$O$3:$O$5001,Base!$B$3:$B$5001,C$87,Base!$A$3:$A$5001,"&gt;="&amp;$C$7,Base!$A$3:$A$5001,"&lt;="&amp;$D$7)</f>
        <v>0</v>
      </c>
      <c r="D101" s="153">
        <f>SUMIFS(Base!$O$3:$O$5001,Base!$B$3:$B$5001,D$87,Base!$A$3:$A$5001,"&gt;="&amp;$C$7,Base!$A$3:$A$5001,"&lt;="&amp;$D$7)</f>
        <v>0</v>
      </c>
      <c r="E101" s="153">
        <f>SUMIFS(Base!$O$3:$O$5001,Base!$B$3:$B$5001,E$87,Base!$A$3:$A$5001,"&gt;="&amp;$C$7,Base!$A$3:$A$5001,"&lt;="&amp;$D$7)</f>
        <v>0</v>
      </c>
      <c r="F101" s="153">
        <f>SUMIFS(Base!$O$3:$O$5001,Base!$B$3:$B$5001,F$87,Base!$A$3:$A$5001,"&gt;="&amp;$C$7,Base!$A$3:$A$5001,"&lt;="&amp;$D$7)</f>
        <v>0</v>
      </c>
      <c r="G101" s="172">
        <f>SUM(B101:F101)</f>
        <v>0</v>
      </c>
    </row>
    <row r="102">
      <c r="A102" s="159" t="inlineStr">
        <is>
          <t xml:space="preserve">GENTE · Folga</t>
        </is>
      </c>
      <c r="B102" s="153">
        <f>SUMIFS(Base!$P$3:$P$5001,Base!$B$3:$B$5001,B$87,Base!$A$3:$A$5001,"&gt;="&amp;$C$7,Base!$A$3:$A$5001,"&lt;="&amp;$D$7)</f>
        <v>0</v>
      </c>
      <c r="C102" s="153">
        <f>SUMIFS(Base!$P$3:$P$5001,Base!$B$3:$B$5001,C$87,Base!$A$3:$A$5001,"&gt;="&amp;$C$7,Base!$A$3:$A$5001,"&lt;="&amp;$D$7)</f>
        <v>0</v>
      </c>
      <c r="D102" s="153">
        <f>SUMIFS(Base!$P$3:$P$5001,Base!$B$3:$B$5001,D$87,Base!$A$3:$A$5001,"&gt;="&amp;$C$7,Base!$A$3:$A$5001,"&lt;="&amp;$D$7)</f>
        <v>0</v>
      </c>
      <c r="E102" s="153">
        <f>SUMIFS(Base!$P$3:$P$5001,Base!$B$3:$B$5001,E$87,Base!$A$3:$A$5001,"&gt;="&amp;$C$7,Base!$A$3:$A$5001,"&lt;="&amp;$D$7)</f>
        <v>0</v>
      </c>
      <c r="F102" s="153">
        <f>SUMIFS(Base!$P$3:$P$5001,Base!$B$3:$B$5001,F$87,Base!$A$3:$A$5001,"&gt;="&amp;$C$7,Base!$A$3:$A$5001,"&lt;="&amp;$D$7)</f>
        <v>0</v>
      </c>
      <c r="G102" s="172">
        <f>SUM(B102:F102)</f>
        <v>0</v>
      </c>
    </row>
    <row r="103">
      <c r="A103" s="159" t="inlineStr">
        <is>
          <t xml:space="preserve">GENTE · Férias</t>
        </is>
      </c>
      <c r="B103" s="153">
        <f>SUMIFS(Base!$Q$3:$Q$5001,Base!$B$3:$B$5001,B$87,Base!$A$3:$A$5001,"&gt;="&amp;$C$7,Base!$A$3:$A$5001,"&lt;="&amp;$D$7)</f>
        <v>0</v>
      </c>
      <c r="C103" s="153">
        <f>SUMIFS(Base!$Q$3:$Q$5001,Base!$B$3:$B$5001,C$87,Base!$A$3:$A$5001,"&gt;="&amp;$C$7,Base!$A$3:$A$5001,"&lt;="&amp;$D$7)</f>
        <v>0</v>
      </c>
      <c r="D103" s="153">
        <f>SUMIFS(Base!$Q$3:$Q$5001,Base!$B$3:$B$5001,D$87,Base!$A$3:$A$5001,"&gt;="&amp;$C$7,Base!$A$3:$A$5001,"&lt;="&amp;$D$7)</f>
        <v>0</v>
      </c>
      <c r="E103" s="153">
        <f>SUMIFS(Base!$Q$3:$Q$5001,Base!$B$3:$B$5001,E$87,Base!$A$3:$A$5001,"&gt;="&amp;$C$7,Base!$A$3:$A$5001,"&lt;="&amp;$D$7)</f>
        <v>0</v>
      </c>
      <c r="F103" s="153">
        <f>SUMIFS(Base!$Q$3:$Q$5001,Base!$B$3:$B$5001,F$87,Base!$A$3:$A$5001,"&gt;="&amp;$C$7,Base!$A$3:$A$5001,"&lt;="&amp;$D$7)</f>
        <v>0</v>
      </c>
      <c r="G103" s="172">
        <f>SUM(B103:F103)</f>
        <v>0</v>
      </c>
    </row>
    <row r="104">
      <c r="A104" s="159" t="inlineStr">
        <is>
          <t xml:space="preserve">GENTE · Desligamento</t>
        </is>
      </c>
      <c r="B104" s="153">
        <f>SUMIFS(Base!$R$3:$R$5001,Base!$B$3:$B$5001,B$87,Base!$A$3:$A$5001,"&gt;="&amp;$C$7,Base!$A$3:$A$5001,"&lt;="&amp;$D$7)</f>
        <v>0</v>
      </c>
      <c r="C104" s="153">
        <f>SUMIFS(Base!$R$3:$R$5001,Base!$B$3:$B$5001,C$87,Base!$A$3:$A$5001,"&gt;="&amp;$C$7,Base!$A$3:$A$5001,"&lt;="&amp;$D$7)</f>
        <v>0</v>
      </c>
      <c r="D104" s="153">
        <f>SUMIFS(Base!$R$3:$R$5001,Base!$B$3:$B$5001,D$87,Base!$A$3:$A$5001,"&gt;="&amp;$C$7,Base!$A$3:$A$5001,"&lt;="&amp;$D$7)</f>
        <v>0</v>
      </c>
      <c r="E104" s="153">
        <f>SUMIFS(Base!$R$3:$R$5001,Base!$B$3:$B$5001,E$87,Base!$A$3:$A$5001,"&gt;="&amp;$C$7,Base!$A$3:$A$5001,"&lt;="&amp;$D$7)</f>
        <v>0</v>
      </c>
      <c r="F104" s="153">
        <f>SUMIFS(Base!$R$3:$R$5001,Base!$B$3:$B$5001,F$87,Base!$A$3:$A$5001,"&gt;="&amp;$C$7,Base!$A$3:$A$5001,"&lt;="&amp;$D$7)</f>
        <v>0</v>
      </c>
      <c r="G104" s="172">
        <f>SUM(B104:F104)</f>
        <v>0</v>
      </c>
    </row>
    <row r="107">
      <c r="A107" s="146" t="inlineStr">
        <is>
          <t xml:space="preserve">ESTOQUES POR CLIENTE — último valor informado até cada dia (base de Backlog, Posições e Efetivo no modo "Todos" e nos gráficos)</t>
        </is>
      </c>
    </row>
    <row r="108">
      <c r="A108" s="145" t="inlineStr">
        <is>
          <t xml:space="preserve">Backlog</t>
        </is>
      </c>
      <c r="B108" s="145" t="inlineStr">
        <is>
          <t xml:space="preserve">Data</t>
        </is>
      </c>
      <c r="C108" s="145" t="inlineStr">
        <is>
          <t xml:space="preserve">Barry Callebaut</t>
        </is>
      </c>
      <c r="D108" s="145" t="inlineStr">
        <is>
          <t xml:space="preserve">Gm</t>
        </is>
      </c>
      <c r="E108" s="145" t="inlineStr">
        <is>
          <t xml:space="preserve">Mondelez</t>
        </is>
      </c>
      <c r="F108" s="145" t="inlineStr">
        <is>
          <t xml:space="preserve">Nestlé</t>
        </is>
      </c>
      <c r="G108" s="145" t="inlineStr">
        <is>
          <t xml:space="preserve">PMB</t>
        </is>
      </c>
    </row>
    <row r="109">
      <c r="A109" s="147">
        <v>1</v>
      </c>
      <c r="B109" s="148">
        <f>$B$12</f>
        <v>46266</v>
      </c>
      <c r="C109" s="149" t="str">
        <f>IF($A109&gt;$B$9,"",IF(COUNTIFS(Base!$B$3:$B$5001,C$108,Base!$A$3:$A$5001,"&gt;="&amp;$C$7,Base!$A$3:$A$5001,"&lt;="&amp;$B109,Base!$K$3:$K$5001,"&lt;&gt;")=0,"",SUMIFS(Base!$K$3:$K$5001,Base!$B$3:$B$5001,C$108,Base!$A$3:$A$5001,_xlfn.MAXIFS(Base!$A$3:$A$5001,Base!$B$3:$B$5001,C$108,Base!$A$3:$A$5001,"&gt;="&amp;$C$7,Base!$A$3:$A$5001,"&lt;="&amp;$B109,Base!$K$3:$K$5001,"&lt;&gt;"))))</f>
        <v/>
      </c>
      <c r="D109" s="149" t="str">
        <f>IF($A109&gt;$B$9,"",IF(COUNTIFS(Base!$B$3:$B$5001,D$108,Base!$A$3:$A$5001,"&gt;="&amp;$C$7,Base!$A$3:$A$5001,"&lt;="&amp;$B109,Base!$K$3:$K$5001,"&lt;&gt;")=0,"",SUMIFS(Base!$K$3:$K$5001,Base!$B$3:$B$5001,D$108,Base!$A$3:$A$5001,_xlfn.MAXIFS(Base!$A$3:$A$5001,Base!$B$3:$B$5001,D$108,Base!$A$3:$A$5001,"&gt;="&amp;$C$7,Base!$A$3:$A$5001,"&lt;="&amp;$B109,Base!$K$3:$K$5001,"&lt;&gt;"))))</f>
        <v/>
      </c>
      <c r="E109" s="149" t="str">
        <f>IF($A109&gt;$B$9,"",IF(COUNTIFS(Base!$B$3:$B$5001,E$108,Base!$A$3:$A$5001,"&gt;="&amp;$C$7,Base!$A$3:$A$5001,"&lt;="&amp;$B109,Base!$K$3:$K$5001,"&lt;&gt;")=0,"",SUMIFS(Base!$K$3:$K$5001,Base!$B$3:$B$5001,E$108,Base!$A$3:$A$5001,_xlfn.MAXIFS(Base!$A$3:$A$5001,Base!$B$3:$B$5001,E$108,Base!$A$3:$A$5001,"&gt;="&amp;$C$7,Base!$A$3:$A$5001,"&lt;="&amp;$B109,Base!$K$3:$K$5001,"&lt;&gt;"))))</f>
        <v/>
      </c>
      <c r="F109" s="149" t="str">
        <f>IF($A109&gt;$B$9,"",IF(COUNTIFS(Base!$B$3:$B$5001,F$108,Base!$A$3:$A$5001,"&gt;="&amp;$C$7,Base!$A$3:$A$5001,"&lt;="&amp;$B109,Base!$K$3:$K$5001,"&lt;&gt;")=0,"",SUMIFS(Base!$K$3:$K$5001,Base!$B$3:$B$5001,F$108,Base!$A$3:$A$5001,_xlfn.MAXIFS(Base!$A$3:$A$5001,Base!$B$3:$B$5001,F$108,Base!$A$3:$A$5001,"&gt;="&amp;$C$7,Base!$A$3:$A$5001,"&lt;="&amp;$B109,Base!$K$3:$K$5001,"&lt;&gt;"))))</f>
        <v/>
      </c>
      <c r="G109" s="149" t="str">
        <f>IF($A109&gt;$B$9,"",IF(COUNTIFS(Base!$B$3:$B$5001,G$108,Base!$A$3:$A$5001,"&gt;="&amp;$C$7,Base!$A$3:$A$5001,"&lt;="&amp;$B109,Base!$K$3:$K$5001,"&lt;&gt;")=0,"",SUMIFS(Base!$K$3:$K$5001,Base!$B$3:$B$5001,G$108,Base!$A$3:$A$5001,_xlfn.MAXIFS(Base!$A$3:$A$5001,Base!$B$3:$B$5001,G$108,Base!$A$3:$A$5001,"&gt;="&amp;$C$7,Base!$A$3:$A$5001,"&lt;="&amp;$B109,Base!$K$3:$K$5001,"&lt;&gt;"))))</f>
        <v/>
      </c>
    </row>
    <row r="110">
      <c r="A110" s="147">
        <v>2</v>
      </c>
      <c r="B110" s="148">
        <f>$B$13</f>
        <v>46267</v>
      </c>
      <c r="C110" s="149" t="str">
        <f>IF($A110&gt;$B$9,"",IF(COUNTIFS(Base!$B$3:$B$5001,C$108,Base!$A$3:$A$5001,"&gt;="&amp;$C$7,Base!$A$3:$A$5001,"&lt;="&amp;$B110,Base!$K$3:$K$5001,"&lt;&gt;")=0,"",SUMIFS(Base!$K$3:$K$5001,Base!$B$3:$B$5001,C$108,Base!$A$3:$A$5001,_xlfn.MAXIFS(Base!$A$3:$A$5001,Base!$B$3:$B$5001,C$108,Base!$A$3:$A$5001,"&gt;="&amp;$C$7,Base!$A$3:$A$5001,"&lt;="&amp;$B110,Base!$K$3:$K$5001,"&lt;&gt;"))))</f>
        <v/>
      </c>
      <c r="D110" s="149" t="str">
        <f>IF($A110&gt;$B$9,"",IF(COUNTIFS(Base!$B$3:$B$5001,D$108,Base!$A$3:$A$5001,"&gt;="&amp;$C$7,Base!$A$3:$A$5001,"&lt;="&amp;$B110,Base!$K$3:$K$5001,"&lt;&gt;")=0,"",SUMIFS(Base!$K$3:$K$5001,Base!$B$3:$B$5001,D$108,Base!$A$3:$A$5001,_xlfn.MAXIFS(Base!$A$3:$A$5001,Base!$B$3:$B$5001,D$108,Base!$A$3:$A$5001,"&gt;="&amp;$C$7,Base!$A$3:$A$5001,"&lt;="&amp;$B110,Base!$K$3:$K$5001,"&lt;&gt;"))))</f>
        <v/>
      </c>
      <c r="E110" s="149" t="str">
        <f>IF($A110&gt;$B$9,"",IF(COUNTIFS(Base!$B$3:$B$5001,E$108,Base!$A$3:$A$5001,"&gt;="&amp;$C$7,Base!$A$3:$A$5001,"&lt;="&amp;$B110,Base!$K$3:$K$5001,"&lt;&gt;")=0,"",SUMIFS(Base!$K$3:$K$5001,Base!$B$3:$B$5001,E$108,Base!$A$3:$A$5001,_xlfn.MAXIFS(Base!$A$3:$A$5001,Base!$B$3:$B$5001,E$108,Base!$A$3:$A$5001,"&gt;="&amp;$C$7,Base!$A$3:$A$5001,"&lt;="&amp;$B110,Base!$K$3:$K$5001,"&lt;&gt;"))))</f>
        <v/>
      </c>
      <c r="F110" s="149" t="str">
        <f>IF($A110&gt;$B$9,"",IF(COUNTIFS(Base!$B$3:$B$5001,F$108,Base!$A$3:$A$5001,"&gt;="&amp;$C$7,Base!$A$3:$A$5001,"&lt;="&amp;$B110,Base!$K$3:$K$5001,"&lt;&gt;")=0,"",SUMIFS(Base!$K$3:$K$5001,Base!$B$3:$B$5001,F$108,Base!$A$3:$A$5001,_xlfn.MAXIFS(Base!$A$3:$A$5001,Base!$B$3:$B$5001,F$108,Base!$A$3:$A$5001,"&gt;="&amp;$C$7,Base!$A$3:$A$5001,"&lt;="&amp;$B110,Base!$K$3:$K$5001,"&lt;&gt;"))))</f>
        <v/>
      </c>
      <c r="G110" s="149" t="str">
        <f>IF($A110&gt;$B$9,"",IF(COUNTIFS(Base!$B$3:$B$5001,G$108,Base!$A$3:$A$5001,"&gt;="&amp;$C$7,Base!$A$3:$A$5001,"&lt;="&amp;$B110,Base!$K$3:$K$5001,"&lt;&gt;")=0,"",SUMIFS(Base!$K$3:$K$5001,Base!$B$3:$B$5001,G$108,Base!$A$3:$A$5001,_xlfn.MAXIFS(Base!$A$3:$A$5001,Base!$B$3:$B$5001,G$108,Base!$A$3:$A$5001,"&gt;="&amp;$C$7,Base!$A$3:$A$5001,"&lt;="&amp;$B110,Base!$K$3:$K$5001,"&lt;&gt;"))))</f>
        <v/>
      </c>
    </row>
    <row r="111">
      <c r="A111" s="147">
        <v>3</v>
      </c>
      <c r="B111" s="148">
        <f>$B$14</f>
        <v>46268</v>
      </c>
      <c r="C111" s="149" t="str">
        <f>IF($A111&gt;$B$9,"",IF(COUNTIFS(Base!$B$3:$B$5001,C$108,Base!$A$3:$A$5001,"&gt;="&amp;$C$7,Base!$A$3:$A$5001,"&lt;="&amp;$B111,Base!$K$3:$K$5001,"&lt;&gt;")=0,"",SUMIFS(Base!$K$3:$K$5001,Base!$B$3:$B$5001,C$108,Base!$A$3:$A$5001,_xlfn.MAXIFS(Base!$A$3:$A$5001,Base!$B$3:$B$5001,C$108,Base!$A$3:$A$5001,"&gt;="&amp;$C$7,Base!$A$3:$A$5001,"&lt;="&amp;$B111,Base!$K$3:$K$5001,"&lt;&gt;"))))</f>
        <v/>
      </c>
      <c r="D111" s="149" t="str">
        <f>IF($A111&gt;$B$9,"",IF(COUNTIFS(Base!$B$3:$B$5001,D$108,Base!$A$3:$A$5001,"&gt;="&amp;$C$7,Base!$A$3:$A$5001,"&lt;="&amp;$B111,Base!$K$3:$K$5001,"&lt;&gt;")=0,"",SUMIFS(Base!$K$3:$K$5001,Base!$B$3:$B$5001,D$108,Base!$A$3:$A$5001,_xlfn.MAXIFS(Base!$A$3:$A$5001,Base!$B$3:$B$5001,D$108,Base!$A$3:$A$5001,"&gt;="&amp;$C$7,Base!$A$3:$A$5001,"&lt;="&amp;$B111,Base!$K$3:$K$5001,"&lt;&gt;"))))</f>
        <v/>
      </c>
      <c r="E111" s="149" t="str">
        <f>IF($A111&gt;$B$9,"",IF(COUNTIFS(Base!$B$3:$B$5001,E$108,Base!$A$3:$A$5001,"&gt;="&amp;$C$7,Base!$A$3:$A$5001,"&lt;="&amp;$B111,Base!$K$3:$K$5001,"&lt;&gt;")=0,"",SUMIFS(Base!$K$3:$K$5001,Base!$B$3:$B$5001,E$108,Base!$A$3:$A$5001,_xlfn.MAXIFS(Base!$A$3:$A$5001,Base!$B$3:$B$5001,E$108,Base!$A$3:$A$5001,"&gt;="&amp;$C$7,Base!$A$3:$A$5001,"&lt;="&amp;$B111,Base!$K$3:$K$5001,"&lt;&gt;"))))</f>
        <v/>
      </c>
      <c r="F111" s="149" t="str">
        <f>IF($A111&gt;$B$9,"",IF(COUNTIFS(Base!$B$3:$B$5001,F$108,Base!$A$3:$A$5001,"&gt;="&amp;$C$7,Base!$A$3:$A$5001,"&lt;="&amp;$B111,Base!$K$3:$K$5001,"&lt;&gt;")=0,"",SUMIFS(Base!$K$3:$K$5001,Base!$B$3:$B$5001,F$108,Base!$A$3:$A$5001,_xlfn.MAXIFS(Base!$A$3:$A$5001,Base!$B$3:$B$5001,F$108,Base!$A$3:$A$5001,"&gt;="&amp;$C$7,Base!$A$3:$A$5001,"&lt;="&amp;$B111,Base!$K$3:$K$5001,"&lt;&gt;"))))</f>
        <v/>
      </c>
      <c r="G111" s="149" t="str">
        <f>IF($A111&gt;$B$9,"",IF(COUNTIFS(Base!$B$3:$B$5001,G$108,Base!$A$3:$A$5001,"&gt;="&amp;$C$7,Base!$A$3:$A$5001,"&lt;="&amp;$B111,Base!$K$3:$K$5001,"&lt;&gt;")=0,"",SUMIFS(Base!$K$3:$K$5001,Base!$B$3:$B$5001,G$108,Base!$A$3:$A$5001,_xlfn.MAXIFS(Base!$A$3:$A$5001,Base!$B$3:$B$5001,G$108,Base!$A$3:$A$5001,"&gt;="&amp;$C$7,Base!$A$3:$A$5001,"&lt;="&amp;$B111,Base!$K$3:$K$5001,"&lt;&gt;"))))</f>
        <v/>
      </c>
    </row>
    <row r="112">
      <c r="A112" s="147">
        <v>4</v>
      </c>
      <c r="B112" s="148">
        <f>$B$15</f>
        <v>46269</v>
      </c>
      <c r="C112" s="149" t="str">
        <f>IF($A112&gt;$B$9,"",IF(COUNTIFS(Base!$B$3:$B$5001,C$108,Base!$A$3:$A$5001,"&gt;="&amp;$C$7,Base!$A$3:$A$5001,"&lt;="&amp;$B112,Base!$K$3:$K$5001,"&lt;&gt;")=0,"",SUMIFS(Base!$K$3:$K$5001,Base!$B$3:$B$5001,C$108,Base!$A$3:$A$5001,_xlfn.MAXIFS(Base!$A$3:$A$5001,Base!$B$3:$B$5001,C$108,Base!$A$3:$A$5001,"&gt;="&amp;$C$7,Base!$A$3:$A$5001,"&lt;="&amp;$B112,Base!$K$3:$K$5001,"&lt;&gt;"))))</f>
        <v/>
      </c>
      <c r="D112" s="149" t="str">
        <f>IF($A112&gt;$B$9,"",IF(COUNTIFS(Base!$B$3:$B$5001,D$108,Base!$A$3:$A$5001,"&gt;="&amp;$C$7,Base!$A$3:$A$5001,"&lt;="&amp;$B112,Base!$K$3:$K$5001,"&lt;&gt;")=0,"",SUMIFS(Base!$K$3:$K$5001,Base!$B$3:$B$5001,D$108,Base!$A$3:$A$5001,_xlfn.MAXIFS(Base!$A$3:$A$5001,Base!$B$3:$B$5001,D$108,Base!$A$3:$A$5001,"&gt;="&amp;$C$7,Base!$A$3:$A$5001,"&lt;="&amp;$B112,Base!$K$3:$K$5001,"&lt;&gt;"))))</f>
        <v/>
      </c>
      <c r="E112" s="149" t="str">
        <f>IF($A112&gt;$B$9,"",IF(COUNTIFS(Base!$B$3:$B$5001,E$108,Base!$A$3:$A$5001,"&gt;="&amp;$C$7,Base!$A$3:$A$5001,"&lt;="&amp;$B112,Base!$K$3:$K$5001,"&lt;&gt;")=0,"",SUMIFS(Base!$K$3:$K$5001,Base!$B$3:$B$5001,E$108,Base!$A$3:$A$5001,_xlfn.MAXIFS(Base!$A$3:$A$5001,Base!$B$3:$B$5001,E$108,Base!$A$3:$A$5001,"&gt;="&amp;$C$7,Base!$A$3:$A$5001,"&lt;="&amp;$B112,Base!$K$3:$K$5001,"&lt;&gt;"))))</f>
        <v/>
      </c>
      <c r="F112" s="149" t="str">
        <f>IF($A112&gt;$B$9,"",IF(COUNTIFS(Base!$B$3:$B$5001,F$108,Base!$A$3:$A$5001,"&gt;="&amp;$C$7,Base!$A$3:$A$5001,"&lt;="&amp;$B112,Base!$K$3:$K$5001,"&lt;&gt;")=0,"",SUMIFS(Base!$K$3:$K$5001,Base!$B$3:$B$5001,F$108,Base!$A$3:$A$5001,_xlfn.MAXIFS(Base!$A$3:$A$5001,Base!$B$3:$B$5001,F$108,Base!$A$3:$A$5001,"&gt;="&amp;$C$7,Base!$A$3:$A$5001,"&lt;="&amp;$B112,Base!$K$3:$K$5001,"&lt;&gt;"))))</f>
        <v/>
      </c>
      <c r="G112" s="149" t="str">
        <f>IF($A112&gt;$B$9,"",IF(COUNTIFS(Base!$B$3:$B$5001,G$108,Base!$A$3:$A$5001,"&gt;="&amp;$C$7,Base!$A$3:$A$5001,"&lt;="&amp;$B112,Base!$K$3:$K$5001,"&lt;&gt;")=0,"",SUMIFS(Base!$K$3:$K$5001,Base!$B$3:$B$5001,G$108,Base!$A$3:$A$5001,_xlfn.MAXIFS(Base!$A$3:$A$5001,Base!$B$3:$B$5001,G$108,Base!$A$3:$A$5001,"&gt;="&amp;$C$7,Base!$A$3:$A$5001,"&lt;="&amp;$B112,Base!$K$3:$K$5001,"&lt;&gt;"))))</f>
        <v/>
      </c>
    </row>
    <row r="113">
      <c r="A113" s="147">
        <v>5</v>
      </c>
      <c r="B113" s="148">
        <f>$B$16</f>
        <v>46270</v>
      </c>
      <c r="C113" s="149" t="str">
        <f>IF($A113&gt;$B$9,"",IF(COUNTIFS(Base!$B$3:$B$5001,C$108,Base!$A$3:$A$5001,"&gt;="&amp;$C$7,Base!$A$3:$A$5001,"&lt;="&amp;$B113,Base!$K$3:$K$5001,"&lt;&gt;")=0,"",SUMIFS(Base!$K$3:$K$5001,Base!$B$3:$B$5001,C$108,Base!$A$3:$A$5001,_xlfn.MAXIFS(Base!$A$3:$A$5001,Base!$B$3:$B$5001,C$108,Base!$A$3:$A$5001,"&gt;="&amp;$C$7,Base!$A$3:$A$5001,"&lt;="&amp;$B113,Base!$K$3:$K$5001,"&lt;&gt;"))))</f>
        <v/>
      </c>
      <c r="D113" s="149" t="str">
        <f>IF($A113&gt;$B$9,"",IF(COUNTIFS(Base!$B$3:$B$5001,D$108,Base!$A$3:$A$5001,"&gt;="&amp;$C$7,Base!$A$3:$A$5001,"&lt;="&amp;$B113,Base!$K$3:$K$5001,"&lt;&gt;")=0,"",SUMIFS(Base!$K$3:$K$5001,Base!$B$3:$B$5001,D$108,Base!$A$3:$A$5001,_xlfn.MAXIFS(Base!$A$3:$A$5001,Base!$B$3:$B$5001,D$108,Base!$A$3:$A$5001,"&gt;="&amp;$C$7,Base!$A$3:$A$5001,"&lt;="&amp;$B113,Base!$K$3:$K$5001,"&lt;&gt;"))))</f>
        <v/>
      </c>
      <c r="E113" s="149" t="str">
        <f>IF($A113&gt;$B$9,"",IF(COUNTIFS(Base!$B$3:$B$5001,E$108,Base!$A$3:$A$5001,"&gt;="&amp;$C$7,Base!$A$3:$A$5001,"&lt;="&amp;$B113,Base!$K$3:$K$5001,"&lt;&gt;")=0,"",SUMIFS(Base!$K$3:$K$5001,Base!$B$3:$B$5001,E$108,Base!$A$3:$A$5001,_xlfn.MAXIFS(Base!$A$3:$A$5001,Base!$B$3:$B$5001,E$108,Base!$A$3:$A$5001,"&gt;="&amp;$C$7,Base!$A$3:$A$5001,"&lt;="&amp;$B113,Base!$K$3:$K$5001,"&lt;&gt;"))))</f>
        <v/>
      </c>
      <c r="F113" s="149" t="str">
        <f>IF($A113&gt;$B$9,"",IF(COUNTIFS(Base!$B$3:$B$5001,F$108,Base!$A$3:$A$5001,"&gt;="&amp;$C$7,Base!$A$3:$A$5001,"&lt;="&amp;$B113,Base!$K$3:$K$5001,"&lt;&gt;")=0,"",SUMIFS(Base!$K$3:$K$5001,Base!$B$3:$B$5001,F$108,Base!$A$3:$A$5001,_xlfn.MAXIFS(Base!$A$3:$A$5001,Base!$B$3:$B$5001,F$108,Base!$A$3:$A$5001,"&gt;="&amp;$C$7,Base!$A$3:$A$5001,"&lt;="&amp;$B113,Base!$K$3:$K$5001,"&lt;&gt;"))))</f>
        <v/>
      </c>
      <c r="G113" s="149" t="str">
        <f>IF($A113&gt;$B$9,"",IF(COUNTIFS(Base!$B$3:$B$5001,G$108,Base!$A$3:$A$5001,"&gt;="&amp;$C$7,Base!$A$3:$A$5001,"&lt;="&amp;$B113,Base!$K$3:$K$5001,"&lt;&gt;")=0,"",SUMIFS(Base!$K$3:$K$5001,Base!$B$3:$B$5001,G$108,Base!$A$3:$A$5001,_xlfn.MAXIFS(Base!$A$3:$A$5001,Base!$B$3:$B$5001,G$108,Base!$A$3:$A$5001,"&gt;="&amp;$C$7,Base!$A$3:$A$5001,"&lt;="&amp;$B113,Base!$K$3:$K$5001,"&lt;&gt;"))))</f>
        <v/>
      </c>
    </row>
    <row r="114">
      <c r="A114" s="147">
        <v>6</v>
      </c>
      <c r="B114" s="148">
        <f>$B$17</f>
        <v>46271</v>
      </c>
      <c r="C114" s="149" t="str">
        <f>IF($A114&gt;$B$9,"",IF(COUNTIFS(Base!$B$3:$B$5001,C$108,Base!$A$3:$A$5001,"&gt;="&amp;$C$7,Base!$A$3:$A$5001,"&lt;="&amp;$B114,Base!$K$3:$K$5001,"&lt;&gt;")=0,"",SUMIFS(Base!$K$3:$K$5001,Base!$B$3:$B$5001,C$108,Base!$A$3:$A$5001,_xlfn.MAXIFS(Base!$A$3:$A$5001,Base!$B$3:$B$5001,C$108,Base!$A$3:$A$5001,"&gt;="&amp;$C$7,Base!$A$3:$A$5001,"&lt;="&amp;$B114,Base!$K$3:$K$5001,"&lt;&gt;"))))</f>
        <v/>
      </c>
      <c r="D114" s="149" t="str">
        <f>IF($A114&gt;$B$9,"",IF(COUNTIFS(Base!$B$3:$B$5001,D$108,Base!$A$3:$A$5001,"&gt;="&amp;$C$7,Base!$A$3:$A$5001,"&lt;="&amp;$B114,Base!$K$3:$K$5001,"&lt;&gt;")=0,"",SUMIFS(Base!$K$3:$K$5001,Base!$B$3:$B$5001,D$108,Base!$A$3:$A$5001,_xlfn.MAXIFS(Base!$A$3:$A$5001,Base!$B$3:$B$5001,D$108,Base!$A$3:$A$5001,"&gt;="&amp;$C$7,Base!$A$3:$A$5001,"&lt;="&amp;$B114,Base!$K$3:$K$5001,"&lt;&gt;"))))</f>
        <v/>
      </c>
      <c r="E114" s="149" t="str">
        <f>IF($A114&gt;$B$9,"",IF(COUNTIFS(Base!$B$3:$B$5001,E$108,Base!$A$3:$A$5001,"&gt;="&amp;$C$7,Base!$A$3:$A$5001,"&lt;="&amp;$B114,Base!$K$3:$K$5001,"&lt;&gt;")=0,"",SUMIFS(Base!$K$3:$K$5001,Base!$B$3:$B$5001,E$108,Base!$A$3:$A$5001,_xlfn.MAXIFS(Base!$A$3:$A$5001,Base!$B$3:$B$5001,E$108,Base!$A$3:$A$5001,"&gt;="&amp;$C$7,Base!$A$3:$A$5001,"&lt;="&amp;$B114,Base!$K$3:$K$5001,"&lt;&gt;"))))</f>
        <v/>
      </c>
      <c r="F114" s="149" t="str">
        <f>IF($A114&gt;$B$9,"",IF(COUNTIFS(Base!$B$3:$B$5001,F$108,Base!$A$3:$A$5001,"&gt;="&amp;$C$7,Base!$A$3:$A$5001,"&lt;="&amp;$B114,Base!$K$3:$K$5001,"&lt;&gt;")=0,"",SUMIFS(Base!$K$3:$K$5001,Base!$B$3:$B$5001,F$108,Base!$A$3:$A$5001,_xlfn.MAXIFS(Base!$A$3:$A$5001,Base!$B$3:$B$5001,F$108,Base!$A$3:$A$5001,"&gt;="&amp;$C$7,Base!$A$3:$A$5001,"&lt;="&amp;$B114,Base!$K$3:$K$5001,"&lt;&gt;"))))</f>
        <v/>
      </c>
      <c r="G114" s="149" t="str">
        <f>IF($A114&gt;$B$9,"",IF(COUNTIFS(Base!$B$3:$B$5001,G$108,Base!$A$3:$A$5001,"&gt;="&amp;$C$7,Base!$A$3:$A$5001,"&lt;="&amp;$B114,Base!$K$3:$K$5001,"&lt;&gt;")=0,"",SUMIFS(Base!$K$3:$K$5001,Base!$B$3:$B$5001,G$108,Base!$A$3:$A$5001,_xlfn.MAXIFS(Base!$A$3:$A$5001,Base!$B$3:$B$5001,G$108,Base!$A$3:$A$5001,"&gt;="&amp;$C$7,Base!$A$3:$A$5001,"&lt;="&amp;$B114,Base!$K$3:$K$5001,"&lt;&gt;"))))</f>
        <v/>
      </c>
    </row>
    <row r="115">
      <c r="A115" s="147">
        <v>7</v>
      </c>
      <c r="B115" s="148">
        <f>$B$18</f>
        <v>46272</v>
      </c>
      <c r="C115" s="149" t="str">
        <f>IF($A115&gt;$B$9,"",IF(COUNTIFS(Base!$B$3:$B$5001,C$108,Base!$A$3:$A$5001,"&gt;="&amp;$C$7,Base!$A$3:$A$5001,"&lt;="&amp;$B115,Base!$K$3:$K$5001,"&lt;&gt;")=0,"",SUMIFS(Base!$K$3:$K$5001,Base!$B$3:$B$5001,C$108,Base!$A$3:$A$5001,_xlfn.MAXIFS(Base!$A$3:$A$5001,Base!$B$3:$B$5001,C$108,Base!$A$3:$A$5001,"&gt;="&amp;$C$7,Base!$A$3:$A$5001,"&lt;="&amp;$B115,Base!$K$3:$K$5001,"&lt;&gt;"))))</f>
        <v/>
      </c>
      <c r="D115" s="149" t="str">
        <f>IF($A115&gt;$B$9,"",IF(COUNTIFS(Base!$B$3:$B$5001,D$108,Base!$A$3:$A$5001,"&gt;="&amp;$C$7,Base!$A$3:$A$5001,"&lt;="&amp;$B115,Base!$K$3:$K$5001,"&lt;&gt;")=0,"",SUMIFS(Base!$K$3:$K$5001,Base!$B$3:$B$5001,D$108,Base!$A$3:$A$5001,_xlfn.MAXIFS(Base!$A$3:$A$5001,Base!$B$3:$B$5001,D$108,Base!$A$3:$A$5001,"&gt;="&amp;$C$7,Base!$A$3:$A$5001,"&lt;="&amp;$B115,Base!$K$3:$K$5001,"&lt;&gt;"))))</f>
        <v/>
      </c>
      <c r="E115" s="149" t="str">
        <f>IF($A115&gt;$B$9,"",IF(COUNTIFS(Base!$B$3:$B$5001,E$108,Base!$A$3:$A$5001,"&gt;="&amp;$C$7,Base!$A$3:$A$5001,"&lt;="&amp;$B115,Base!$K$3:$K$5001,"&lt;&gt;")=0,"",SUMIFS(Base!$K$3:$K$5001,Base!$B$3:$B$5001,E$108,Base!$A$3:$A$5001,_xlfn.MAXIFS(Base!$A$3:$A$5001,Base!$B$3:$B$5001,E$108,Base!$A$3:$A$5001,"&gt;="&amp;$C$7,Base!$A$3:$A$5001,"&lt;="&amp;$B115,Base!$K$3:$K$5001,"&lt;&gt;"))))</f>
        <v/>
      </c>
      <c r="F115" s="149" t="str">
        <f>IF($A115&gt;$B$9,"",IF(COUNTIFS(Base!$B$3:$B$5001,F$108,Base!$A$3:$A$5001,"&gt;="&amp;$C$7,Base!$A$3:$A$5001,"&lt;="&amp;$B115,Base!$K$3:$K$5001,"&lt;&gt;")=0,"",SUMIFS(Base!$K$3:$K$5001,Base!$B$3:$B$5001,F$108,Base!$A$3:$A$5001,_xlfn.MAXIFS(Base!$A$3:$A$5001,Base!$B$3:$B$5001,F$108,Base!$A$3:$A$5001,"&gt;="&amp;$C$7,Base!$A$3:$A$5001,"&lt;="&amp;$B115,Base!$K$3:$K$5001,"&lt;&gt;"))))</f>
        <v/>
      </c>
      <c r="G115" s="149" t="str">
        <f>IF($A115&gt;$B$9,"",IF(COUNTIFS(Base!$B$3:$B$5001,G$108,Base!$A$3:$A$5001,"&gt;="&amp;$C$7,Base!$A$3:$A$5001,"&lt;="&amp;$B115,Base!$K$3:$K$5001,"&lt;&gt;")=0,"",SUMIFS(Base!$K$3:$K$5001,Base!$B$3:$B$5001,G$108,Base!$A$3:$A$5001,_xlfn.MAXIFS(Base!$A$3:$A$5001,Base!$B$3:$B$5001,G$108,Base!$A$3:$A$5001,"&gt;="&amp;$C$7,Base!$A$3:$A$5001,"&lt;="&amp;$B115,Base!$K$3:$K$5001,"&lt;&gt;"))))</f>
        <v/>
      </c>
    </row>
    <row r="116">
      <c r="A116" s="147">
        <v>8</v>
      </c>
      <c r="B116" s="148">
        <f>$B$19</f>
        <v>46273</v>
      </c>
      <c r="C116" s="149" t="str">
        <f>IF($A116&gt;$B$9,"",IF(COUNTIFS(Base!$B$3:$B$5001,C$108,Base!$A$3:$A$5001,"&gt;="&amp;$C$7,Base!$A$3:$A$5001,"&lt;="&amp;$B116,Base!$K$3:$K$5001,"&lt;&gt;")=0,"",SUMIFS(Base!$K$3:$K$5001,Base!$B$3:$B$5001,C$108,Base!$A$3:$A$5001,_xlfn.MAXIFS(Base!$A$3:$A$5001,Base!$B$3:$B$5001,C$108,Base!$A$3:$A$5001,"&gt;="&amp;$C$7,Base!$A$3:$A$5001,"&lt;="&amp;$B116,Base!$K$3:$K$5001,"&lt;&gt;"))))</f>
        <v/>
      </c>
      <c r="D116" s="149" t="str">
        <f>IF($A116&gt;$B$9,"",IF(COUNTIFS(Base!$B$3:$B$5001,D$108,Base!$A$3:$A$5001,"&gt;="&amp;$C$7,Base!$A$3:$A$5001,"&lt;="&amp;$B116,Base!$K$3:$K$5001,"&lt;&gt;")=0,"",SUMIFS(Base!$K$3:$K$5001,Base!$B$3:$B$5001,D$108,Base!$A$3:$A$5001,_xlfn.MAXIFS(Base!$A$3:$A$5001,Base!$B$3:$B$5001,D$108,Base!$A$3:$A$5001,"&gt;="&amp;$C$7,Base!$A$3:$A$5001,"&lt;="&amp;$B116,Base!$K$3:$K$5001,"&lt;&gt;"))))</f>
        <v/>
      </c>
      <c r="E116" s="149" t="str">
        <f>IF($A116&gt;$B$9,"",IF(COUNTIFS(Base!$B$3:$B$5001,E$108,Base!$A$3:$A$5001,"&gt;="&amp;$C$7,Base!$A$3:$A$5001,"&lt;="&amp;$B116,Base!$K$3:$K$5001,"&lt;&gt;")=0,"",SUMIFS(Base!$K$3:$K$5001,Base!$B$3:$B$5001,E$108,Base!$A$3:$A$5001,_xlfn.MAXIFS(Base!$A$3:$A$5001,Base!$B$3:$B$5001,E$108,Base!$A$3:$A$5001,"&gt;="&amp;$C$7,Base!$A$3:$A$5001,"&lt;="&amp;$B116,Base!$K$3:$K$5001,"&lt;&gt;"))))</f>
        <v/>
      </c>
      <c r="F116" s="149" t="str">
        <f>IF($A116&gt;$B$9,"",IF(COUNTIFS(Base!$B$3:$B$5001,F$108,Base!$A$3:$A$5001,"&gt;="&amp;$C$7,Base!$A$3:$A$5001,"&lt;="&amp;$B116,Base!$K$3:$K$5001,"&lt;&gt;")=0,"",SUMIFS(Base!$K$3:$K$5001,Base!$B$3:$B$5001,F$108,Base!$A$3:$A$5001,_xlfn.MAXIFS(Base!$A$3:$A$5001,Base!$B$3:$B$5001,F$108,Base!$A$3:$A$5001,"&gt;="&amp;$C$7,Base!$A$3:$A$5001,"&lt;="&amp;$B116,Base!$K$3:$K$5001,"&lt;&gt;"))))</f>
        <v/>
      </c>
      <c r="G116" s="149" t="str">
        <f>IF($A116&gt;$B$9,"",IF(COUNTIFS(Base!$B$3:$B$5001,G$108,Base!$A$3:$A$5001,"&gt;="&amp;$C$7,Base!$A$3:$A$5001,"&lt;="&amp;$B116,Base!$K$3:$K$5001,"&lt;&gt;")=0,"",SUMIFS(Base!$K$3:$K$5001,Base!$B$3:$B$5001,G$108,Base!$A$3:$A$5001,_xlfn.MAXIFS(Base!$A$3:$A$5001,Base!$B$3:$B$5001,G$108,Base!$A$3:$A$5001,"&gt;="&amp;$C$7,Base!$A$3:$A$5001,"&lt;="&amp;$B116,Base!$K$3:$K$5001,"&lt;&gt;"))))</f>
        <v/>
      </c>
    </row>
    <row r="117">
      <c r="A117" s="147">
        <v>9</v>
      </c>
      <c r="B117" s="148">
        <f>$B$20</f>
        <v>46274</v>
      </c>
      <c r="C117" s="149" t="str">
        <f>IF($A117&gt;$B$9,"",IF(COUNTIFS(Base!$B$3:$B$5001,C$108,Base!$A$3:$A$5001,"&gt;="&amp;$C$7,Base!$A$3:$A$5001,"&lt;="&amp;$B117,Base!$K$3:$K$5001,"&lt;&gt;")=0,"",SUMIFS(Base!$K$3:$K$5001,Base!$B$3:$B$5001,C$108,Base!$A$3:$A$5001,_xlfn.MAXIFS(Base!$A$3:$A$5001,Base!$B$3:$B$5001,C$108,Base!$A$3:$A$5001,"&gt;="&amp;$C$7,Base!$A$3:$A$5001,"&lt;="&amp;$B117,Base!$K$3:$K$5001,"&lt;&gt;"))))</f>
        <v/>
      </c>
      <c r="D117" s="149" t="str">
        <f>IF($A117&gt;$B$9,"",IF(COUNTIFS(Base!$B$3:$B$5001,D$108,Base!$A$3:$A$5001,"&gt;="&amp;$C$7,Base!$A$3:$A$5001,"&lt;="&amp;$B117,Base!$K$3:$K$5001,"&lt;&gt;")=0,"",SUMIFS(Base!$K$3:$K$5001,Base!$B$3:$B$5001,D$108,Base!$A$3:$A$5001,_xlfn.MAXIFS(Base!$A$3:$A$5001,Base!$B$3:$B$5001,D$108,Base!$A$3:$A$5001,"&gt;="&amp;$C$7,Base!$A$3:$A$5001,"&lt;="&amp;$B117,Base!$K$3:$K$5001,"&lt;&gt;"))))</f>
        <v/>
      </c>
      <c r="E117" s="149" t="str">
        <f>IF($A117&gt;$B$9,"",IF(COUNTIFS(Base!$B$3:$B$5001,E$108,Base!$A$3:$A$5001,"&gt;="&amp;$C$7,Base!$A$3:$A$5001,"&lt;="&amp;$B117,Base!$K$3:$K$5001,"&lt;&gt;")=0,"",SUMIFS(Base!$K$3:$K$5001,Base!$B$3:$B$5001,E$108,Base!$A$3:$A$5001,_xlfn.MAXIFS(Base!$A$3:$A$5001,Base!$B$3:$B$5001,E$108,Base!$A$3:$A$5001,"&gt;="&amp;$C$7,Base!$A$3:$A$5001,"&lt;="&amp;$B117,Base!$K$3:$K$5001,"&lt;&gt;"))))</f>
        <v/>
      </c>
      <c r="F117" s="149" t="str">
        <f>IF($A117&gt;$B$9,"",IF(COUNTIFS(Base!$B$3:$B$5001,F$108,Base!$A$3:$A$5001,"&gt;="&amp;$C$7,Base!$A$3:$A$5001,"&lt;="&amp;$B117,Base!$K$3:$K$5001,"&lt;&gt;")=0,"",SUMIFS(Base!$K$3:$K$5001,Base!$B$3:$B$5001,F$108,Base!$A$3:$A$5001,_xlfn.MAXIFS(Base!$A$3:$A$5001,Base!$B$3:$B$5001,F$108,Base!$A$3:$A$5001,"&gt;="&amp;$C$7,Base!$A$3:$A$5001,"&lt;="&amp;$B117,Base!$K$3:$K$5001,"&lt;&gt;"))))</f>
        <v/>
      </c>
      <c r="G117" s="149" t="str">
        <f>IF($A117&gt;$B$9,"",IF(COUNTIFS(Base!$B$3:$B$5001,G$108,Base!$A$3:$A$5001,"&gt;="&amp;$C$7,Base!$A$3:$A$5001,"&lt;="&amp;$B117,Base!$K$3:$K$5001,"&lt;&gt;")=0,"",SUMIFS(Base!$K$3:$K$5001,Base!$B$3:$B$5001,G$108,Base!$A$3:$A$5001,_xlfn.MAXIFS(Base!$A$3:$A$5001,Base!$B$3:$B$5001,G$108,Base!$A$3:$A$5001,"&gt;="&amp;$C$7,Base!$A$3:$A$5001,"&lt;="&amp;$B117,Base!$K$3:$K$5001,"&lt;&gt;"))))</f>
        <v/>
      </c>
    </row>
    <row r="118">
      <c r="A118" s="147">
        <v>10</v>
      </c>
      <c r="B118" s="148">
        <f>$B$21</f>
        <v>46275</v>
      </c>
      <c r="C118" s="149" t="str">
        <f>IF($A118&gt;$B$9,"",IF(COUNTIFS(Base!$B$3:$B$5001,C$108,Base!$A$3:$A$5001,"&gt;="&amp;$C$7,Base!$A$3:$A$5001,"&lt;="&amp;$B118,Base!$K$3:$K$5001,"&lt;&gt;")=0,"",SUMIFS(Base!$K$3:$K$5001,Base!$B$3:$B$5001,C$108,Base!$A$3:$A$5001,_xlfn.MAXIFS(Base!$A$3:$A$5001,Base!$B$3:$B$5001,C$108,Base!$A$3:$A$5001,"&gt;="&amp;$C$7,Base!$A$3:$A$5001,"&lt;="&amp;$B118,Base!$K$3:$K$5001,"&lt;&gt;"))))</f>
        <v/>
      </c>
      <c r="D118" s="149" t="str">
        <f>IF($A118&gt;$B$9,"",IF(COUNTIFS(Base!$B$3:$B$5001,D$108,Base!$A$3:$A$5001,"&gt;="&amp;$C$7,Base!$A$3:$A$5001,"&lt;="&amp;$B118,Base!$K$3:$K$5001,"&lt;&gt;")=0,"",SUMIFS(Base!$K$3:$K$5001,Base!$B$3:$B$5001,D$108,Base!$A$3:$A$5001,_xlfn.MAXIFS(Base!$A$3:$A$5001,Base!$B$3:$B$5001,D$108,Base!$A$3:$A$5001,"&gt;="&amp;$C$7,Base!$A$3:$A$5001,"&lt;="&amp;$B118,Base!$K$3:$K$5001,"&lt;&gt;"))))</f>
        <v/>
      </c>
      <c r="E118" s="149" t="str">
        <f>IF($A118&gt;$B$9,"",IF(COUNTIFS(Base!$B$3:$B$5001,E$108,Base!$A$3:$A$5001,"&gt;="&amp;$C$7,Base!$A$3:$A$5001,"&lt;="&amp;$B118,Base!$K$3:$K$5001,"&lt;&gt;")=0,"",SUMIFS(Base!$K$3:$K$5001,Base!$B$3:$B$5001,E$108,Base!$A$3:$A$5001,_xlfn.MAXIFS(Base!$A$3:$A$5001,Base!$B$3:$B$5001,E$108,Base!$A$3:$A$5001,"&gt;="&amp;$C$7,Base!$A$3:$A$5001,"&lt;="&amp;$B118,Base!$K$3:$K$5001,"&lt;&gt;"))))</f>
        <v/>
      </c>
      <c r="F118" s="149" t="str">
        <f>IF($A118&gt;$B$9,"",IF(COUNTIFS(Base!$B$3:$B$5001,F$108,Base!$A$3:$A$5001,"&gt;="&amp;$C$7,Base!$A$3:$A$5001,"&lt;="&amp;$B118,Base!$K$3:$K$5001,"&lt;&gt;")=0,"",SUMIFS(Base!$K$3:$K$5001,Base!$B$3:$B$5001,F$108,Base!$A$3:$A$5001,_xlfn.MAXIFS(Base!$A$3:$A$5001,Base!$B$3:$B$5001,F$108,Base!$A$3:$A$5001,"&gt;="&amp;$C$7,Base!$A$3:$A$5001,"&lt;="&amp;$B118,Base!$K$3:$K$5001,"&lt;&gt;"))))</f>
        <v/>
      </c>
      <c r="G118" s="149" t="str">
        <f>IF($A118&gt;$B$9,"",IF(COUNTIFS(Base!$B$3:$B$5001,G$108,Base!$A$3:$A$5001,"&gt;="&amp;$C$7,Base!$A$3:$A$5001,"&lt;="&amp;$B118,Base!$K$3:$K$5001,"&lt;&gt;")=0,"",SUMIFS(Base!$K$3:$K$5001,Base!$B$3:$B$5001,G$108,Base!$A$3:$A$5001,_xlfn.MAXIFS(Base!$A$3:$A$5001,Base!$B$3:$B$5001,G$108,Base!$A$3:$A$5001,"&gt;="&amp;$C$7,Base!$A$3:$A$5001,"&lt;="&amp;$B118,Base!$K$3:$K$5001,"&lt;&gt;"))))</f>
        <v/>
      </c>
    </row>
    <row r="119">
      <c r="A119" s="147">
        <v>11</v>
      </c>
      <c r="B119" s="148">
        <f>$B$22</f>
        <v>46276</v>
      </c>
      <c r="C119" s="149" t="str">
        <f>IF($A119&gt;$B$9,"",IF(COUNTIFS(Base!$B$3:$B$5001,C$108,Base!$A$3:$A$5001,"&gt;="&amp;$C$7,Base!$A$3:$A$5001,"&lt;="&amp;$B119,Base!$K$3:$K$5001,"&lt;&gt;")=0,"",SUMIFS(Base!$K$3:$K$5001,Base!$B$3:$B$5001,C$108,Base!$A$3:$A$5001,_xlfn.MAXIFS(Base!$A$3:$A$5001,Base!$B$3:$B$5001,C$108,Base!$A$3:$A$5001,"&gt;="&amp;$C$7,Base!$A$3:$A$5001,"&lt;="&amp;$B119,Base!$K$3:$K$5001,"&lt;&gt;"))))</f>
        <v/>
      </c>
      <c r="D119" s="149" t="str">
        <f>IF($A119&gt;$B$9,"",IF(COUNTIFS(Base!$B$3:$B$5001,D$108,Base!$A$3:$A$5001,"&gt;="&amp;$C$7,Base!$A$3:$A$5001,"&lt;="&amp;$B119,Base!$K$3:$K$5001,"&lt;&gt;")=0,"",SUMIFS(Base!$K$3:$K$5001,Base!$B$3:$B$5001,D$108,Base!$A$3:$A$5001,_xlfn.MAXIFS(Base!$A$3:$A$5001,Base!$B$3:$B$5001,D$108,Base!$A$3:$A$5001,"&gt;="&amp;$C$7,Base!$A$3:$A$5001,"&lt;="&amp;$B119,Base!$K$3:$K$5001,"&lt;&gt;"))))</f>
        <v/>
      </c>
      <c r="E119" s="149" t="str">
        <f>IF($A119&gt;$B$9,"",IF(COUNTIFS(Base!$B$3:$B$5001,E$108,Base!$A$3:$A$5001,"&gt;="&amp;$C$7,Base!$A$3:$A$5001,"&lt;="&amp;$B119,Base!$K$3:$K$5001,"&lt;&gt;")=0,"",SUMIFS(Base!$K$3:$K$5001,Base!$B$3:$B$5001,E$108,Base!$A$3:$A$5001,_xlfn.MAXIFS(Base!$A$3:$A$5001,Base!$B$3:$B$5001,E$108,Base!$A$3:$A$5001,"&gt;="&amp;$C$7,Base!$A$3:$A$5001,"&lt;="&amp;$B119,Base!$K$3:$K$5001,"&lt;&gt;"))))</f>
        <v/>
      </c>
      <c r="F119" s="149" t="str">
        <f>IF($A119&gt;$B$9,"",IF(COUNTIFS(Base!$B$3:$B$5001,F$108,Base!$A$3:$A$5001,"&gt;="&amp;$C$7,Base!$A$3:$A$5001,"&lt;="&amp;$B119,Base!$K$3:$K$5001,"&lt;&gt;")=0,"",SUMIFS(Base!$K$3:$K$5001,Base!$B$3:$B$5001,F$108,Base!$A$3:$A$5001,_xlfn.MAXIFS(Base!$A$3:$A$5001,Base!$B$3:$B$5001,F$108,Base!$A$3:$A$5001,"&gt;="&amp;$C$7,Base!$A$3:$A$5001,"&lt;="&amp;$B119,Base!$K$3:$K$5001,"&lt;&gt;"))))</f>
        <v/>
      </c>
      <c r="G119" s="149" t="str">
        <f>IF($A119&gt;$B$9,"",IF(COUNTIFS(Base!$B$3:$B$5001,G$108,Base!$A$3:$A$5001,"&gt;="&amp;$C$7,Base!$A$3:$A$5001,"&lt;="&amp;$B119,Base!$K$3:$K$5001,"&lt;&gt;")=0,"",SUMIFS(Base!$K$3:$K$5001,Base!$B$3:$B$5001,G$108,Base!$A$3:$A$5001,_xlfn.MAXIFS(Base!$A$3:$A$5001,Base!$B$3:$B$5001,G$108,Base!$A$3:$A$5001,"&gt;="&amp;$C$7,Base!$A$3:$A$5001,"&lt;="&amp;$B119,Base!$K$3:$K$5001,"&lt;&gt;"))))</f>
        <v/>
      </c>
    </row>
    <row r="120">
      <c r="A120" s="147">
        <v>12</v>
      </c>
      <c r="B120" s="148">
        <f>$B$23</f>
        <v>46277</v>
      </c>
      <c r="C120" s="149" t="str">
        <f>IF($A120&gt;$B$9,"",IF(COUNTIFS(Base!$B$3:$B$5001,C$108,Base!$A$3:$A$5001,"&gt;="&amp;$C$7,Base!$A$3:$A$5001,"&lt;="&amp;$B120,Base!$K$3:$K$5001,"&lt;&gt;")=0,"",SUMIFS(Base!$K$3:$K$5001,Base!$B$3:$B$5001,C$108,Base!$A$3:$A$5001,_xlfn.MAXIFS(Base!$A$3:$A$5001,Base!$B$3:$B$5001,C$108,Base!$A$3:$A$5001,"&gt;="&amp;$C$7,Base!$A$3:$A$5001,"&lt;="&amp;$B120,Base!$K$3:$K$5001,"&lt;&gt;"))))</f>
        <v/>
      </c>
      <c r="D120" s="149" t="str">
        <f>IF($A120&gt;$B$9,"",IF(COUNTIFS(Base!$B$3:$B$5001,D$108,Base!$A$3:$A$5001,"&gt;="&amp;$C$7,Base!$A$3:$A$5001,"&lt;="&amp;$B120,Base!$K$3:$K$5001,"&lt;&gt;")=0,"",SUMIFS(Base!$K$3:$K$5001,Base!$B$3:$B$5001,D$108,Base!$A$3:$A$5001,_xlfn.MAXIFS(Base!$A$3:$A$5001,Base!$B$3:$B$5001,D$108,Base!$A$3:$A$5001,"&gt;="&amp;$C$7,Base!$A$3:$A$5001,"&lt;="&amp;$B120,Base!$K$3:$K$5001,"&lt;&gt;"))))</f>
        <v/>
      </c>
      <c r="E120" s="149" t="str">
        <f>IF($A120&gt;$B$9,"",IF(COUNTIFS(Base!$B$3:$B$5001,E$108,Base!$A$3:$A$5001,"&gt;="&amp;$C$7,Base!$A$3:$A$5001,"&lt;="&amp;$B120,Base!$K$3:$K$5001,"&lt;&gt;")=0,"",SUMIFS(Base!$K$3:$K$5001,Base!$B$3:$B$5001,E$108,Base!$A$3:$A$5001,_xlfn.MAXIFS(Base!$A$3:$A$5001,Base!$B$3:$B$5001,E$108,Base!$A$3:$A$5001,"&gt;="&amp;$C$7,Base!$A$3:$A$5001,"&lt;="&amp;$B120,Base!$K$3:$K$5001,"&lt;&gt;"))))</f>
        <v/>
      </c>
      <c r="F120" s="149" t="str">
        <f>IF($A120&gt;$B$9,"",IF(COUNTIFS(Base!$B$3:$B$5001,F$108,Base!$A$3:$A$5001,"&gt;="&amp;$C$7,Base!$A$3:$A$5001,"&lt;="&amp;$B120,Base!$K$3:$K$5001,"&lt;&gt;")=0,"",SUMIFS(Base!$K$3:$K$5001,Base!$B$3:$B$5001,F$108,Base!$A$3:$A$5001,_xlfn.MAXIFS(Base!$A$3:$A$5001,Base!$B$3:$B$5001,F$108,Base!$A$3:$A$5001,"&gt;="&amp;$C$7,Base!$A$3:$A$5001,"&lt;="&amp;$B120,Base!$K$3:$K$5001,"&lt;&gt;"))))</f>
        <v/>
      </c>
      <c r="G120" s="149" t="str">
        <f>IF($A120&gt;$B$9,"",IF(COUNTIFS(Base!$B$3:$B$5001,G$108,Base!$A$3:$A$5001,"&gt;="&amp;$C$7,Base!$A$3:$A$5001,"&lt;="&amp;$B120,Base!$K$3:$K$5001,"&lt;&gt;")=0,"",SUMIFS(Base!$K$3:$K$5001,Base!$B$3:$B$5001,G$108,Base!$A$3:$A$5001,_xlfn.MAXIFS(Base!$A$3:$A$5001,Base!$B$3:$B$5001,G$108,Base!$A$3:$A$5001,"&gt;="&amp;$C$7,Base!$A$3:$A$5001,"&lt;="&amp;$B120,Base!$K$3:$K$5001,"&lt;&gt;"))))</f>
        <v/>
      </c>
    </row>
    <row r="121">
      <c r="A121" s="147">
        <v>13</v>
      </c>
      <c r="B121" s="148">
        <f>$B$24</f>
        <v>46278</v>
      </c>
      <c r="C121" s="149" t="str">
        <f>IF($A121&gt;$B$9,"",IF(COUNTIFS(Base!$B$3:$B$5001,C$108,Base!$A$3:$A$5001,"&gt;="&amp;$C$7,Base!$A$3:$A$5001,"&lt;="&amp;$B121,Base!$K$3:$K$5001,"&lt;&gt;")=0,"",SUMIFS(Base!$K$3:$K$5001,Base!$B$3:$B$5001,C$108,Base!$A$3:$A$5001,_xlfn.MAXIFS(Base!$A$3:$A$5001,Base!$B$3:$B$5001,C$108,Base!$A$3:$A$5001,"&gt;="&amp;$C$7,Base!$A$3:$A$5001,"&lt;="&amp;$B121,Base!$K$3:$K$5001,"&lt;&gt;"))))</f>
        <v/>
      </c>
      <c r="D121" s="149" t="str">
        <f>IF($A121&gt;$B$9,"",IF(COUNTIFS(Base!$B$3:$B$5001,D$108,Base!$A$3:$A$5001,"&gt;="&amp;$C$7,Base!$A$3:$A$5001,"&lt;="&amp;$B121,Base!$K$3:$K$5001,"&lt;&gt;")=0,"",SUMIFS(Base!$K$3:$K$5001,Base!$B$3:$B$5001,D$108,Base!$A$3:$A$5001,_xlfn.MAXIFS(Base!$A$3:$A$5001,Base!$B$3:$B$5001,D$108,Base!$A$3:$A$5001,"&gt;="&amp;$C$7,Base!$A$3:$A$5001,"&lt;="&amp;$B121,Base!$K$3:$K$5001,"&lt;&gt;"))))</f>
        <v/>
      </c>
      <c r="E121" s="149" t="str">
        <f>IF($A121&gt;$B$9,"",IF(COUNTIFS(Base!$B$3:$B$5001,E$108,Base!$A$3:$A$5001,"&gt;="&amp;$C$7,Base!$A$3:$A$5001,"&lt;="&amp;$B121,Base!$K$3:$K$5001,"&lt;&gt;")=0,"",SUMIFS(Base!$K$3:$K$5001,Base!$B$3:$B$5001,E$108,Base!$A$3:$A$5001,_xlfn.MAXIFS(Base!$A$3:$A$5001,Base!$B$3:$B$5001,E$108,Base!$A$3:$A$5001,"&gt;="&amp;$C$7,Base!$A$3:$A$5001,"&lt;="&amp;$B121,Base!$K$3:$K$5001,"&lt;&gt;"))))</f>
        <v/>
      </c>
      <c r="F121" s="149" t="str">
        <f>IF($A121&gt;$B$9,"",IF(COUNTIFS(Base!$B$3:$B$5001,F$108,Base!$A$3:$A$5001,"&gt;="&amp;$C$7,Base!$A$3:$A$5001,"&lt;="&amp;$B121,Base!$K$3:$K$5001,"&lt;&gt;")=0,"",SUMIFS(Base!$K$3:$K$5001,Base!$B$3:$B$5001,F$108,Base!$A$3:$A$5001,_xlfn.MAXIFS(Base!$A$3:$A$5001,Base!$B$3:$B$5001,F$108,Base!$A$3:$A$5001,"&gt;="&amp;$C$7,Base!$A$3:$A$5001,"&lt;="&amp;$B121,Base!$K$3:$K$5001,"&lt;&gt;"))))</f>
        <v/>
      </c>
      <c r="G121" s="149" t="str">
        <f>IF($A121&gt;$B$9,"",IF(COUNTIFS(Base!$B$3:$B$5001,G$108,Base!$A$3:$A$5001,"&gt;="&amp;$C$7,Base!$A$3:$A$5001,"&lt;="&amp;$B121,Base!$K$3:$K$5001,"&lt;&gt;")=0,"",SUMIFS(Base!$K$3:$K$5001,Base!$B$3:$B$5001,G$108,Base!$A$3:$A$5001,_xlfn.MAXIFS(Base!$A$3:$A$5001,Base!$B$3:$B$5001,G$108,Base!$A$3:$A$5001,"&gt;="&amp;$C$7,Base!$A$3:$A$5001,"&lt;="&amp;$B121,Base!$K$3:$K$5001,"&lt;&gt;"))))</f>
        <v/>
      </c>
    </row>
    <row r="122">
      <c r="A122" s="147">
        <v>14</v>
      </c>
      <c r="B122" s="148">
        <f>$B$25</f>
        <v>46279</v>
      </c>
      <c r="C122" s="149" t="str">
        <f>IF($A122&gt;$B$9,"",IF(COUNTIFS(Base!$B$3:$B$5001,C$108,Base!$A$3:$A$5001,"&gt;="&amp;$C$7,Base!$A$3:$A$5001,"&lt;="&amp;$B122,Base!$K$3:$K$5001,"&lt;&gt;")=0,"",SUMIFS(Base!$K$3:$K$5001,Base!$B$3:$B$5001,C$108,Base!$A$3:$A$5001,_xlfn.MAXIFS(Base!$A$3:$A$5001,Base!$B$3:$B$5001,C$108,Base!$A$3:$A$5001,"&gt;="&amp;$C$7,Base!$A$3:$A$5001,"&lt;="&amp;$B122,Base!$K$3:$K$5001,"&lt;&gt;"))))</f>
        <v/>
      </c>
      <c r="D122" s="149" t="str">
        <f>IF($A122&gt;$B$9,"",IF(COUNTIFS(Base!$B$3:$B$5001,D$108,Base!$A$3:$A$5001,"&gt;="&amp;$C$7,Base!$A$3:$A$5001,"&lt;="&amp;$B122,Base!$K$3:$K$5001,"&lt;&gt;")=0,"",SUMIFS(Base!$K$3:$K$5001,Base!$B$3:$B$5001,D$108,Base!$A$3:$A$5001,_xlfn.MAXIFS(Base!$A$3:$A$5001,Base!$B$3:$B$5001,D$108,Base!$A$3:$A$5001,"&gt;="&amp;$C$7,Base!$A$3:$A$5001,"&lt;="&amp;$B122,Base!$K$3:$K$5001,"&lt;&gt;"))))</f>
        <v/>
      </c>
      <c r="E122" s="149" t="str">
        <f>IF($A122&gt;$B$9,"",IF(COUNTIFS(Base!$B$3:$B$5001,E$108,Base!$A$3:$A$5001,"&gt;="&amp;$C$7,Base!$A$3:$A$5001,"&lt;="&amp;$B122,Base!$K$3:$K$5001,"&lt;&gt;")=0,"",SUMIFS(Base!$K$3:$K$5001,Base!$B$3:$B$5001,E$108,Base!$A$3:$A$5001,_xlfn.MAXIFS(Base!$A$3:$A$5001,Base!$B$3:$B$5001,E$108,Base!$A$3:$A$5001,"&gt;="&amp;$C$7,Base!$A$3:$A$5001,"&lt;="&amp;$B122,Base!$K$3:$K$5001,"&lt;&gt;"))))</f>
        <v/>
      </c>
      <c r="F122" s="149" t="str">
        <f>IF($A122&gt;$B$9,"",IF(COUNTIFS(Base!$B$3:$B$5001,F$108,Base!$A$3:$A$5001,"&gt;="&amp;$C$7,Base!$A$3:$A$5001,"&lt;="&amp;$B122,Base!$K$3:$K$5001,"&lt;&gt;")=0,"",SUMIFS(Base!$K$3:$K$5001,Base!$B$3:$B$5001,F$108,Base!$A$3:$A$5001,_xlfn.MAXIFS(Base!$A$3:$A$5001,Base!$B$3:$B$5001,F$108,Base!$A$3:$A$5001,"&gt;="&amp;$C$7,Base!$A$3:$A$5001,"&lt;="&amp;$B122,Base!$K$3:$K$5001,"&lt;&gt;"))))</f>
        <v/>
      </c>
      <c r="G122" s="149" t="str">
        <f>IF($A122&gt;$B$9,"",IF(COUNTIFS(Base!$B$3:$B$5001,G$108,Base!$A$3:$A$5001,"&gt;="&amp;$C$7,Base!$A$3:$A$5001,"&lt;="&amp;$B122,Base!$K$3:$K$5001,"&lt;&gt;")=0,"",SUMIFS(Base!$K$3:$K$5001,Base!$B$3:$B$5001,G$108,Base!$A$3:$A$5001,_xlfn.MAXIFS(Base!$A$3:$A$5001,Base!$B$3:$B$5001,G$108,Base!$A$3:$A$5001,"&gt;="&amp;$C$7,Base!$A$3:$A$5001,"&lt;="&amp;$B122,Base!$K$3:$K$5001,"&lt;&gt;"))))</f>
        <v/>
      </c>
    </row>
    <row r="123">
      <c r="A123" s="147">
        <v>15</v>
      </c>
      <c r="B123" s="148">
        <f>$B$26</f>
        <v>46280</v>
      </c>
      <c r="C123" s="149" t="str">
        <f>IF($A123&gt;$B$9,"",IF(COUNTIFS(Base!$B$3:$B$5001,C$108,Base!$A$3:$A$5001,"&gt;="&amp;$C$7,Base!$A$3:$A$5001,"&lt;="&amp;$B123,Base!$K$3:$K$5001,"&lt;&gt;")=0,"",SUMIFS(Base!$K$3:$K$5001,Base!$B$3:$B$5001,C$108,Base!$A$3:$A$5001,_xlfn.MAXIFS(Base!$A$3:$A$5001,Base!$B$3:$B$5001,C$108,Base!$A$3:$A$5001,"&gt;="&amp;$C$7,Base!$A$3:$A$5001,"&lt;="&amp;$B123,Base!$K$3:$K$5001,"&lt;&gt;"))))</f>
        <v/>
      </c>
      <c r="D123" s="149" t="str">
        <f>IF($A123&gt;$B$9,"",IF(COUNTIFS(Base!$B$3:$B$5001,D$108,Base!$A$3:$A$5001,"&gt;="&amp;$C$7,Base!$A$3:$A$5001,"&lt;="&amp;$B123,Base!$K$3:$K$5001,"&lt;&gt;")=0,"",SUMIFS(Base!$K$3:$K$5001,Base!$B$3:$B$5001,D$108,Base!$A$3:$A$5001,_xlfn.MAXIFS(Base!$A$3:$A$5001,Base!$B$3:$B$5001,D$108,Base!$A$3:$A$5001,"&gt;="&amp;$C$7,Base!$A$3:$A$5001,"&lt;="&amp;$B123,Base!$K$3:$K$5001,"&lt;&gt;"))))</f>
        <v/>
      </c>
      <c r="E123" s="149" t="str">
        <f>IF($A123&gt;$B$9,"",IF(COUNTIFS(Base!$B$3:$B$5001,E$108,Base!$A$3:$A$5001,"&gt;="&amp;$C$7,Base!$A$3:$A$5001,"&lt;="&amp;$B123,Base!$K$3:$K$5001,"&lt;&gt;")=0,"",SUMIFS(Base!$K$3:$K$5001,Base!$B$3:$B$5001,E$108,Base!$A$3:$A$5001,_xlfn.MAXIFS(Base!$A$3:$A$5001,Base!$B$3:$B$5001,E$108,Base!$A$3:$A$5001,"&gt;="&amp;$C$7,Base!$A$3:$A$5001,"&lt;="&amp;$B123,Base!$K$3:$K$5001,"&lt;&gt;"))))</f>
        <v/>
      </c>
      <c r="F123" s="149" t="str">
        <f>IF($A123&gt;$B$9,"",IF(COUNTIFS(Base!$B$3:$B$5001,F$108,Base!$A$3:$A$5001,"&gt;="&amp;$C$7,Base!$A$3:$A$5001,"&lt;="&amp;$B123,Base!$K$3:$K$5001,"&lt;&gt;")=0,"",SUMIFS(Base!$K$3:$K$5001,Base!$B$3:$B$5001,F$108,Base!$A$3:$A$5001,_xlfn.MAXIFS(Base!$A$3:$A$5001,Base!$B$3:$B$5001,F$108,Base!$A$3:$A$5001,"&gt;="&amp;$C$7,Base!$A$3:$A$5001,"&lt;="&amp;$B123,Base!$K$3:$K$5001,"&lt;&gt;"))))</f>
        <v/>
      </c>
      <c r="G123" s="149" t="str">
        <f>IF($A123&gt;$B$9,"",IF(COUNTIFS(Base!$B$3:$B$5001,G$108,Base!$A$3:$A$5001,"&gt;="&amp;$C$7,Base!$A$3:$A$5001,"&lt;="&amp;$B123,Base!$K$3:$K$5001,"&lt;&gt;")=0,"",SUMIFS(Base!$K$3:$K$5001,Base!$B$3:$B$5001,G$108,Base!$A$3:$A$5001,_xlfn.MAXIFS(Base!$A$3:$A$5001,Base!$B$3:$B$5001,G$108,Base!$A$3:$A$5001,"&gt;="&amp;$C$7,Base!$A$3:$A$5001,"&lt;="&amp;$B123,Base!$K$3:$K$5001,"&lt;&gt;"))))</f>
        <v/>
      </c>
    </row>
    <row r="124">
      <c r="A124" s="147">
        <v>16</v>
      </c>
      <c r="B124" s="148">
        <f>$B$27</f>
        <v>46281</v>
      </c>
      <c r="C124" s="149" t="str">
        <f>IF($A124&gt;$B$9,"",IF(COUNTIFS(Base!$B$3:$B$5001,C$108,Base!$A$3:$A$5001,"&gt;="&amp;$C$7,Base!$A$3:$A$5001,"&lt;="&amp;$B124,Base!$K$3:$K$5001,"&lt;&gt;")=0,"",SUMIFS(Base!$K$3:$K$5001,Base!$B$3:$B$5001,C$108,Base!$A$3:$A$5001,_xlfn.MAXIFS(Base!$A$3:$A$5001,Base!$B$3:$B$5001,C$108,Base!$A$3:$A$5001,"&gt;="&amp;$C$7,Base!$A$3:$A$5001,"&lt;="&amp;$B124,Base!$K$3:$K$5001,"&lt;&gt;"))))</f>
        <v/>
      </c>
      <c r="D124" s="149" t="str">
        <f>IF($A124&gt;$B$9,"",IF(COUNTIFS(Base!$B$3:$B$5001,D$108,Base!$A$3:$A$5001,"&gt;="&amp;$C$7,Base!$A$3:$A$5001,"&lt;="&amp;$B124,Base!$K$3:$K$5001,"&lt;&gt;")=0,"",SUMIFS(Base!$K$3:$K$5001,Base!$B$3:$B$5001,D$108,Base!$A$3:$A$5001,_xlfn.MAXIFS(Base!$A$3:$A$5001,Base!$B$3:$B$5001,D$108,Base!$A$3:$A$5001,"&gt;="&amp;$C$7,Base!$A$3:$A$5001,"&lt;="&amp;$B124,Base!$K$3:$K$5001,"&lt;&gt;"))))</f>
        <v/>
      </c>
      <c r="E124" s="149" t="str">
        <f>IF($A124&gt;$B$9,"",IF(COUNTIFS(Base!$B$3:$B$5001,E$108,Base!$A$3:$A$5001,"&gt;="&amp;$C$7,Base!$A$3:$A$5001,"&lt;="&amp;$B124,Base!$K$3:$K$5001,"&lt;&gt;")=0,"",SUMIFS(Base!$K$3:$K$5001,Base!$B$3:$B$5001,E$108,Base!$A$3:$A$5001,_xlfn.MAXIFS(Base!$A$3:$A$5001,Base!$B$3:$B$5001,E$108,Base!$A$3:$A$5001,"&gt;="&amp;$C$7,Base!$A$3:$A$5001,"&lt;="&amp;$B124,Base!$K$3:$K$5001,"&lt;&gt;"))))</f>
        <v/>
      </c>
      <c r="F124" s="149" t="str">
        <f>IF($A124&gt;$B$9,"",IF(COUNTIFS(Base!$B$3:$B$5001,F$108,Base!$A$3:$A$5001,"&gt;="&amp;$C$7,Base!$A$3:$A$5001,"&lt;="&amp;$B124,Base!$K$3:$K$5001,"&lt;&gt;")=0,"",SUMIFS(Base!$K$3:$K$5001,Base!$B$3:$B$5001,F$108,Base!$A$3:$A$5001,_xlfn.MAXIFS(Base!$A$3:$A$5001,Base!$B$3:$B$5001,F$108,Base!$A$3:$A$5001,"&gt;="&amp;$C$7,Base!$A$3:$A$5001,"&lt;="&amp;$B124,Base!$K$3:$K$5001,"&lt;&gt;"))))</f>
        <v/>
      </c>
      <c r="G124" s="149" t="str">
        <f>IF($A124&gt;$B$9,"",IF(COUNTIFS(Base!$B$3:$B$5001,G$108,Base!$A$3:$A$5001,"&gt;="&amp;$C$7,Base!$A$3:$A$5001,"&lt;="&amp;$B124,Base!$K$3:$K$5001,"&lt;&gt;")=0,"",SUMIFS(Base!$K$3:$K$5001,Base!$B$3:$B$5001,G$108,Base!$A$3:$A$5001,_xlfn.MAXIFS(Base!$A$3:$A$5001,Base!$B$3:$B$5001,G$108,Base!$A$3:$A$5001,"&gt;="&amp;$C$7,Base!$A$3:$A$5001,"&lt;="&amp;$B124,Base!$K$3:$K$5001,"&lt;&gt;"))))</f>
        <v/>
      </c>
    </row>
    <row r="125">
      <c r="A125" s="147">
        <v>17</v>
      </c>
      <c r="B125" s="148">
        <f>$B$28</f>
        <v>46282</v>
      </c>
      <c r="C125" s="149" t="str">
        <f>IF($A125&gt;$B$9,"",IF(COUNTIFS(Base!$B$3:$B$5001,C$108,Base!$A$3:$A$5001,"&gt;="&amp;$C$7,Base!$A$3:$A$5001,"&lt;="&amp;$B125,Base!$K$3:$K$5001,"&lt;&gt;")=0,"",SUMIFS(Base!$K$3:$K$5001,Base!$B$3:$B$5001,C$108,Base!$A$3:$A$5001,_xlfn.MAXIFS(Base!$A$3:$A$5001,Base!$B$3:$B$5001,C$108,Base!$A$3:$A$5001,"&gt;="&amp;$C$7,Base!$A$3:$A$5001,"&lt;="&amp;$B125,Base!$K$3:$K$5001,"&lt;&gt;"))))</f>
        <v/>
      </c>
      <c r="D125" s="149" t="str">
        <f>IF($A125&gt;$B$9,"",IF(COUNTIFS(Base!$B$3:$B$5001,D$108,Base!$A$3:$A$5001,"&gt;="&amp;$C$7,Base!$A$3:$A$5001,"&lt;="&amp;$B125,Base!$K$3:$K$5001,"&lt;&gt;")=0,"",SUMIFS(Base!$K$3:$K$5001,Base!$B$3:$B$5001,D$108,Base!$A$3:$A$5001,_xlfn.MAXIFS(Base!$A$3:$A$5001,Base!$B$3:$B$5001,D$108,Base!$A$3:$A$5001,"&gt;="&amp;$C$7,Base!$A$3:$A$5001,"&lt;="&amp;$B125,Base!$K$3:$K$5001,"&lt;&gt;"))))</f>
        <v/>
      </c>
      <c r="E125" s="149" t="str">
        <f>IF($A125&gt;$B$9,"",IF(COUNTIFS(Base!$B$3:$B$5001,E$108,Base!$A$3:$A$5001,"&gt;="&amp;$C$7,Base!$A$3:$A$5001,"&lt;="&amp;$B125,Base!$K$3:$K$5001,"&lt;&gt;")=0,"",SUMIFS(Base!$K$3:$K$5001,Base!$B$3:$B$5001,E$108,Base!$A$3:$A$5001,_xlfn.MAXIFS(Base!$A$3:$A$5001,Base!$B$3:$B$5001,E$108,Base!$A$3:$A$5001,"&gt;="&amp;$C$7,Base!$A$3:$A$5001,"&lt;="&amp;$B125,Base!$K$3:$K$5001,"&lt;&gt;"))))</f>
        <v/>
      </c>
      <c r="F125" s="149" t="str">
        <f>IF($A125&gt;$B$9,"",IF(COUNTIFS(Base!$B$3:$B$5001,F$108,Base!$A$3:$A$5001,"&gt;="&amp;$C$7,Base!$A$3:$A$5001,"&lt;="&amp;$B125,Base!$K$3:$K$5001,"&lt;&gt;")=0,"",SUMIFS(Base!$K$3:$K$5001,Base!$B$3:$B$5001,F$108,Base!$A$3:$A$5001,_xlfn.MAXIFS(Base!$A$3:$A$5001,Base!$B$3:$B$5001,F$108,Base!$A$3:$A$5001,"&gt;="&amp;$C$7,Base!$A$3:$A$5001,"&lt;="&amp;$B125,Base!$K$3:$K$5001,"&lt;&gt;"))))</f>
        <v/>
      </c>
      <c r="G125" s="149" t="str">
        <f>IF($A125&gt;$B$9,"",IF(COUNTIFS(Base!$B$3:$B$5001,G$108,Base!$A$3:$A$5001,"&gt;="&amp;$C$7,Base!$A$3:$A$5001,"&lt;="&amp;$B125,Base!$K$3:$K$5001,"&lt;&gt;")=0,"",SUMIFS(Base!$K$3:$K$5001,Base!$B$3:$B$5001,G$108,Base!$A$3:$A$5001,_xlfn.MAXIFS(Base!$A$3:$A$5001,Base!$B$3:$B$5001,G$108,Base!$A$3:$A$5001,"&gt;="&amp;$C$7,Base!$A$3:$A$5001,"&lt;="&amp;$B125,Base!$K$3:$K$5001,"&lt;&gt;"))))</f>
        <v/>
      </c>
    </row>
    <row r="126">
      <c r="A126" s="147">
        <v>18</v>
      </c>
      <c r="B126" s="148">
        <f>$B$29</f>
        <v>46283</v>
      </c>
      <c r="C126" s="149" t="str">
        <f>IF($A126&gt;$B$9,"",IF(COUNTIFS(Base!$B$3:$B$5001,C$108,Base!$A$3:$A$5001,"&gt;="&amp;$C$7,Base!$A$3:$A$5001,"&lt;="&amp;$B126,Base!$K$3:$K$5001,"&lt;&gt;")=0,"",SUMIFS(Base!$K$3:$K$5001,Base!$B$3:$B$5001,C$108,Base!$A$3:$A$5001,_xlfn.MAXIFS(Base!$A$3:$A$5001,Base!$B$3:$B$5001,C$108,Base!$A$3:$A$5001,"&gt;="&amp;$C$7,Base!$A$3:$A$5001,"&lt;="&amp;$B126,Base!$K$3:$K$5001,"&lt;&gt;"))))</f>
        <v/>
      </c>
      <c r="D126" s="149" t="str">
        <f>IF($A126&gt;$B$9,"",IF(COUNTIFS(Base!$B$3:$B$5001,D$108,Base!$A$3:$A$5001,"&gt;="&amp;$C$7,Base!$A$3:$A$5001,"&lt;="&amp;$B126,Base!$K$3:$K$5001,"&lt;&gt;")=0,"",SUMIFS(Base!$K$3:$K$5001,Base!$B$3:$B$5001,D$108,Base!$A$3:$A$5001,_xlfn.MAXIFS(Base!$A$3:$A$5001,Base!$B$3:$B$5001,D$108,Base!$A$3:$A$5001,"&gt;="&amp;$C$7,Base!$A$3:$A$5001,"&lt;="&amp;$B126,Base!$K$3:$K$5001,"&lt;&gt;"))))</f>
        <v/>
      </c>
      <c r="E126" s="149" t="str">
        <f>IF($A126&gt;$B$9,"",IF(COUNTIFS(Base!$B$3:$B$5001,E$108,Base!$A$3:$A$5001,"&gt;="&amp;$C$7,Base!$A$3:$A$5001,"&lt;="&amp;$B126,Base!$K$3:$K$5001,"&lt;&gt;")=0,"",SUMIFS(Base!$K$3:$K$5001,Base!$B$3:$B$5001,E$108,Base!$A$3:$A$5001,_xlfn.MAXIFS(Base!$A$3:$A$5001,Base!$B$3:$B$5001,E$108,Base!$A$3:$A$5001,"&gt;="&amp;$C$7,Base!$A$3:$A$5001,"&lt;="&amp;$B126,Base!$K$3:$K$5001,"&lt;&gt;"))))</f>
        <v/>
      </c>
      <c r="F126" s="149" t="str">
        <f>IF($A126&gt;$B$9,"",IF(COUNTIFS(Base!$B$3:$B$5001,F$108,Base!$A$3:$A$5001,"&gt;="&amp;$C$7,Base!$A$3:$A$5001,"&lt;="&amp;$B126,Base!$K$3:$K$5001,"&lt;&gt;")=0,"",SUMIFS(Base!$K$3:$K$5001,Base!$B$3:$B$5001,F$108,Base!$A$3:$A$5001,_xlfn.MAXIFS(Base!$A$3:$A$5001,Base!$B$3:$B$5001,F$108,Base!$A$3:$A$5001,"&gt;="&amp;$C$7,Base!$A$3:$A$5001,"&lt;="&amp;$B126,Base!$K$3:$K$5001,"&lt;&gt;"))))</f>
        <v/>
      </c>
      <c r="G126" s="149" t="str">
        <f>IF($A126&gt;$B$9,"",IF(COUNTIFS(Base!$B$3:$B$5001,G$108,Base!$A$3:$A$5001,"&gt;="&amp;$C$7,Base!$A$3:$A$5001,"&lt;="&amp;$B126,Base!$K$3:$K$5001,"&lt;&gt;")=0,"",SUMIFS(Base!$K$3:$K$5001,Base!$B$3:$B$5001,G$108,Base!$A$3:$A$5001,_xlfn.MAXIFS(Base!$A$3:$A$5001,Base!$B$3:$B$5001,G$108,Base!$A$3:$A$5001,"&gt;="&amp;$C$7,Base!$A$3:$A$5001,"&lt;="&amp;$B126,Base!$K$3:$K$5001,"&lt;&gt;"))))</f>
        <v/>
      </c>
    </row>
    <row r="127">
      <c r="A127" s="147">
        <v>19</v>
      </c>
      <c r="B127" s="148">
        <f>$B$30</f>
        <v>46284</v>
      </c>
      <c r="C127" s="149" t="str">
        <f>IF($A127&gt;$B$9,"",IF(COUNTIFS(Base!$B$3:$B$5001,C$108,Base!$A$3:$A$5001,"&gt;="&amp;$C$7,Base!$A$3:$A$5001,"&lt;="&amp;$B127,Base!$K$3:$K$5001,"&lt;&gt;")=0,"",SUMIFS(Base!$K$3:$K$5001,Base!$B$3:$B$5001,C$108,Base!$A$3:$A$5001,_xlfn.MAXIFS(Base!$A$3:$A$5001,Base!$B$3:$B$5001,C$108,Base!$A$3:$A$5001,"&gt;="&amp;$C$7,Base!$A$3:$A$5001,"&lt;="&amp;$B127,Base!$K$3:$K$5001,"&lt;&gt;"))))</f>
        <v/>
      </c>
      <c r="D127" s="149" t="str">
        <f>IF($A127&gt;$B$9,"",IF(COUNTIFS(Base!$B$3:$B$5001,D$108,Base!$A$3:$A$5001,"&gt;="&amp;$C$7,Base!$A$3:$A$5001,"&lt;="&amp;$B127,Base!$K$3:$K$5001,"&lt;&gt;")=0,"",SUMIFS(Base!$K$3:$K$5001,Base!$B$3:$B$5001,D$108,Base!$A$3:$A$5001,_xlfn.MAXIFS(Base!$A$3:$A$5001,Base!$B$3:$B$5001,D$108,Base!$A$3:$A$5001,"&gt;="&amp;$C$7,Base!$A$3:$A$5001,"&lt;="&amp;$B127,Base!$K$3:$K$5001,"&lt;&gt;"))))</f>
        <v/>
      </c>
      <c r="E127" s="149" t="str">
        <f>IF($A127&gt;$B$9,"",IF(COUNTIFS(Base!$B$3:$B$5001,E$108,Base!$A$3:$A$5001,"&gt;="&amp;$C$7,Base!$A$3:$A$5001,"&lt;="&amp;$B127,Base!$K$3:$K$5001,"&lt;&gt;")=0,"",SUMIFS(Base!$K$3:$K$5001,Base!$B$3:$B$5001,E$108,Base!$A$3:$A$5001,_xlfn.MAXIFS(Base!$A$3:$A$5001,Base!$B$3:$B$5001,E$108,Base!$A$3:$A$5001,"&gt;="&amp;$C$7,Base!$A$3:$A$5001,"&lt;="&amp;$B127,Base!$K$3:$K$5001,"&lt;&gt;"))))</f>
        <v/>
      </c>
      <c r="F127" s="149" t="str">
        <f>IF($A127&gt;$B$9,"",IF(COUNTIFS(Base!$B$3:$B$5001,F$108,Base!$A$3:$A$5001,"&gt;="&amp;$C$7,Base!$A$3:$A$5001,"&lt;="&amp;$B127,Base!$K$3:$K$5001,"&lt;&gt;")=0,"",SUMIFS(Base!$K$3:$K$5001,Base!$B$3:$B$5001,F$108,Base!$A$3:$A$5001,_xlfn.MAXIFS(Base!$A$3:$A$5001,Base!$B$3:$B$5001,F$108,Base!$A$3:$A$5001,"&gt;="&amp;$C$7,Base!$A$3:$A$5001,"&lt;="&amp;$B127,Base!$K$3:$K$5001,"&lt;&gt;"))))</f>
        <v/>
      </c>
      <c r="G127" s="149" t="str">
        <f>IF($A127&gt;$B$9,"",IF(COUNTIFS(Base!$B$3:$B$5001,G$108,Base!$A$3:$A$5001,"&gt;="&amp;$C$7,Base!$A$3:$A$5001,"&lt;="&amp;$B127,Base!$K$3:$K$5001,"&lt;&gt;")=0,"",SUMIFS(Base!$K$3:$K$5001,Base!$B$3:$B$5001,G$108,Base!$A$3:$A$5001,_xlfn.MAXIFS(Base!$A$3:$A$5001,Base!$B$3:$B$5001,G$108,Base!$A$3:$A$5001,"&gt;="&amp;$C$7,Base!$A$3:$A$5001,"&lt;="&amp;$B127,Base!$K$3:$K$5001,"&lt;&gt;"))))</f>
        <v/>
      </c>
    </row>
    <row r="128">
      <c r="A128" s="147">
        <v>20</v>
      </c>
      <c r="B128" s="148">
        <f>$B$31</f>
        <v>46285</v>
      </c>
      <c r="C128" s="149" t="str">
        <f>IF($A128&gt;$B$9,"",IF(COUNTIFS(Base!$B$3:$B$5001,C$108,Base!$A$3:$A$5001,"&gt;="&amp;$C$7,Base!$A$3:$A$5001,"&lt;="&amp;$B128,Base!$K$3:$K$5001,"&lt;&gt;")=0,"",SUMIFS(Base!$K$3:$K$5001,Base!$B$3:$B$5001,C$108,Base!$A$3:$A$5001,_xlfn.MAXIFS(Base!$A$3:$A$5001,Base!$B$3:$B$5001,C$108,Base!$A$3:$A$5001,"&gt;="&amp;$C$7,Base!$A$3:$A$5001,"&lt;="&amp;$B128,Base!$K$3:$K$5001,"&lt;&gt;"))))</f>
        <v/>
      </c>
      <c r="D128" s="149" t="str">
        <f>IF($A128&gt;$B$9,"",IF(COUNTIFS(Base!$B$3:$B$5001,D$108,Base!$A$3:$A$5001,"&gt;="&amp;$C$7,Base!$A$3:$A$5001,"&lt;="&amp;$B128,Base!$K$3:$K$5001,"&lt;&gt;")=0,"",SUMIFS(Base!$K$3:$K$5001,Base!$B$3:$B$5001,D$108,Base!$A$3:$A$5001,_xlfn.MAXIFS(Base!$A$3:$A$5001,Base!$B$3:$B$5001,D$108,Base!$A$3:$A$5001,"&gt;="&amp;$C$7,Base!$A$3:$A$5001,"&lt;="&amp;$B128,Base!$K$3:$K$5001,"&lt;&gt;"))))</f>
        <v/>
      </c>
      <c r="E128" s="149" t="str">
        <f>IF($A128&gt;$B$9,"",IF(COUNTIFS(Base!$B$3:$B$5001,E$108,Base!$A$3:$A$5001,"&gt;="&amp;$C$7,Base!$A$3:$A$5001,"&lt;="&amp;$B128,Base!$K$3:$K$5001,"&lt;&gt;")=0,"",SUMIFS(Base!$K$3:$K$5001,Base!$B$3:$B$5001,E$108,Base!$A$3:$A$5001,_xlfn.MAXIFS(Base!$A$3:$A$5001,Base!$B$3:$B$5001,E$108,Base!$A$3:$A$5001,"&gt;="&amp;$C$7,Base!$A$3:$A$5001,"&lt;="&amp;$B128,Base!$K$3:$K$5001,"&lt;&gt;"))))</f>
        <v/>
      </c>
      <c r="F128" s="149" t="str">
        <f>IF($A128&gt;$B$9,"",IF(COUNTIFS(Base!$B$3:$B$5001,F$108,Base!$A$3:$A$5001,"&gt;="&amp;$C$7,Base!$A$3:$A$5001,"&lt;="&amp;$B128,Base!$K$3:$K$5001,"&lt;&gt;")=0,"",SUMIFS(Base!$K$3:$K$5001,Base!$B$3:$B$5001,F$108,Base!$A$3:$A$5001,_xlfn.MAXIFS(Base!$A$3:$A$5001,Base!$B$3:$B$5001,F$108,Base!$A$3:$A$5001,"&gt;="&amp;$C$7,Base!$A$3:$A$5001,"&lt;="&amp;$B128,Base!$K$3:$K$5001,"&lt;&gt;"))))</f>
        <v/>
      </c>
      <c r="G128" s="149" t="str">
        <f>IF($A128&gt;$B$9,"",IF(COUNTIFS(Base!$B$3:$B$5001,G$108,Base!$A$3:$A$5001,"&gt;="&amp;$C$7,Base!$A$3:$A$5001,"&lt;="&amp;$B128,Base!$K$3:$K$5001,"&lt;&gt;")=0,"",SUMIFS(Base!$K$3:$K$5001,Base!$B$3:$B$5001,G$108,Base!$A$3:$A$5001,_xlfn.MAXIFS(Base!$A$3:$A$5001,Base!$B$3:$B$5001,G$108,Base!$A$3:$A$5001,"&gt;="&amp;$C$7,Base!$A$3:$A$5001,"&lt;="&amp;$B128,Base!$K$3:$K$5001,"&lt;&gt;"))))</f>
        <v/>
      </c>
    </row>
    <row r="129">
      <c r="A129" s="147">
        <v>21</v>
      </c>
      <c r="B129" s="148">
        <f>$B$32</f>
        <v>46286</v>
      </c>
      <c r="C129" s="149" t="str">
        <f>IF($A129&gt;$B$9,"",IF(COUNTIFS(Base!$B$3:$B$5001,C$108,Base!$A$3:$A$5001,"&gt;="&amp;$C$7,Base!$A$3:$A$5001,"&lt;="&amp;$B129,Base!$K$3:$K$5001,"&lt;&gt;")=0,"",SUMIFS(Base!$K$3:$K$5001,Base!$B$3:$B$5001,C$108,Base!$A$3:$A$5001,_xlfn.MAXIFS(Base!$A$3:$A$5001,Base!$B$3:$B$5001,C$108,Base!$A$3:$A$5001,"&gt;="&amp;$C$7,Base!$A$3:$A$5001,"&lt;="&amp;$B129,Base!$K$3:$K$5001,"&lt;&gt;"))))</f>
        <v/>
      </c>
      <c r="D129" s="149" t="str">
        <f>IF($A129&gt;$B$9,"",IF(COUNTIFS(Base!$B$3:$B$5001,D$108,Base!$A$3:$A$5001,"&gt;="&amp;$C$7,Base!$A$3:$A$5001,"&lt;="&amp;$B129,Base!$K$3:$K$5001,"&lt;&gt;")=0,"",SUMIFS(Base!$K$3:$K$5001,Base!$B$3:$B$5001,D$108,Base!$A$3:$A$5001,_xlfn.MAXIFS(Base!$A$3:$A$5001,Base!$B$3:$B$5001,D$108,Base!$A$3:$A$5001,"&gt;="&amp;$C$7,Base!$A$3:$A$5001,"&lt;="&amp;$B129,Base!$K$3:$K$5001,"&lt;&gt;"))))</f>
        <v/>
      </c>
      <c r="E129" s="149" t="str">
        <f>IF($A129&gt;$B$9,"",IF(COUNTIFS(Base!$B$3:$B$5001,E$108,Base!$A$3:$A$5001,"&gt;="&amp;$C$7,Base!$A$3:$A$5001,"&lt;="&amp;$B129,Base!$K$3:$K$5001,"&lt;&gt;")=0,"",SUMIFS(Base!$K$3:$K$5001,Base!$B$3:$B$5001,E$108,Base!$A$3:$A$5001,_xlfn.MAXIFS(Base!$A$3:$A$5001,Base!$B$3:$B$5001,E$108,Base!$A$3:$A$5001,"&gt;="&amp;$C$7,Base!$A$3:$A$5001,"&lt;="&amp;$B129,Base!$K$3:$K$5001,"&lt;&gt;"))))</f>
        <v/>
      </c>
      <c r="F129" s="149" t="str">
        <f>IF($A129&gt;$B$9,"",IF(COUNTIFS(Base!$B$3:$B$5001,F$108,Base!$A$3:$A$5001,"&gt;="&amp;$C$7,Base!$A$3:$A$5001,"&lt;="&amp;$B129,Base!$K$3:$K$5001,"&lt;&gt;")=0,"",SUMIFS(Base!$K$3:$K$5001,Base!$B$3:$B$5001,F$108,Base!$A$3:$A$5001,_xlfn.MAXIFS(Base!$A$3:$A$5001,Base!$B$3:$B$5001,F$108,Base!$A$3:$A$5001,"&gt;="&amp;$C$7,Base!$A$3:$A$5001,"&lt;="&amp;$B129,Base!$K$3:$K$5001,"&lt;&gt;"))))</f>
        <v/>
      </c>
      <c r="G129" s="149" t="str">
        <f>IF($A129&gt;$B$9,"",IF(COUNTIFS(Base!$B$3:$B$5001,G$108,Base!$A$3:$A$5001,"&gt;="&amp;$C$7,Base!$A$3:$A$5001,"&lt;="&amp;$B129,Base!$K$3:$K$5001,"&lt;&gt;")=0,"",SUMIFS(Base!$K$3:$K$5001,Base!$B$3:$B$5001,G$108,Base!$A$3:$A$5001,_xlfn.MAXIFS(Base!$A$3:$A$5001,Base!$B$3:$B$5001,G$108,Base!$A$3:$A$5001,"&gt;="&amp;$C$7,Base!$A$3:$A$5001,"&lt;="&amp;$B129,Base!$K$3:$K$5001,"&lt;&gt;"))))</f>
        <v/>
      </c>
    </row>
    <row r="130">
      <c r="A130" s="147">
        <v>22</v>
      </c>
      <c r="B130" s="148">
        <f>$B$33</f>
        <v>46287</v>
      </c>
      <c r="C130" s="149" t="str">
        <f>IF($A130&gt;$B$9,"",IF(COUNTIFS(Base!$B$3:$B$5001,C$108,Base!$A$3:$A$5001,"&gt;="&amp;$C$7,Base!$A$3:$A$5001,"&lt;="&amp;$B130,Base!$K$3:$K$5001,"&lt;&gt;")=0,"",SUMIFS(Base!$K$3:$K$5001,Base!$B$3:$B$5001,C$108,Base!$A$3:$A$5001,_xlfn.MAXIFS(Base!$A$3:$A$5001,Base!$B$3:$B$5001,C$108,Base!$A$3:$A$5001,"&gt;="&amp;$C$7,Base!$A$3:$A$5001,"&lt;="&amp;$B130,Base!$K$3:$K$5001,"&lt;&gt;"))))</f>
        <v/>
      </c>
      <c r="D130" s="149" t="str">
        <f>IF($A130&gt;$B$9,"",IF(COUNTIFS(Base!$B$3:$B$5001,D$108,Base!$A$3:$A$5001,"&gt;="&amp;$C$7,Base!$A$3:$A$5001,"&lt;="&amp;$B130,Base!$K$3:$K$5001,"&lt;&gt;")=0,"",SUMIFS(Base!$K$3:$K$5001,Base!$B$3:$B$5001,D$108,Base!$A$3:$A$5001,_xlfn.MAXIFS(Base!$A$3:$A$5001,Base!$B$3:$B$5001,D$108,Base!$A$3:$A$5001,"&gt;="&amp;$C$7,Base!$A$3:$A$5001,"&lt;="&amp;$B130,Base!$K$3:$K$5001,"&lt;&gt;"))))</f>
        <v/>
      </c>
      <c r="E130" s="149" t="str">
        <f>IF($A130&gt;$B$9,"",IF(COUNTIFS(Base!$B$3:$B$5001,E$108,Base!$A$3:$A$5001,"&gt;="&amp;$C$7,Base!$A$3:$A$5001,"&lt;="&amp;$B130,Base!$K$3:$K$5001,"&lt;&gt;")=0,"",SUMIFS(Base!$K$3:$K$5001,Base!$B$3:$B$5001,E$108,Base!$A$3:$A$5001,_xlfn.MAXIFS(Base!$A$3:$A$5001,Base!$B$3:$B$5001,E$108,Base!$A$3:$A$5001,"&gt;="&amp;$C$7,Base!$A$3:$A$5001,"&lt;="&amp;$B130,Base!$K$3:$K$5001,"&lt;&gt;"))))</f>
        <v/>
      </c>
      <c r="F130" s="149" t="str">
        <f>IF($A130&gt;$B$9,"",IF(COUNTIFS(Base!$B$3:$B$5001,F$108,Base!$A$3:$A$5001,"&gt;="&amp;$C$7,Base!$A$3:$A$5001,"&lt;="&amp;$B130,Base!$K$3:$K$5001,"&lt;&gt;")=0,"",SUMIFS(Base!$K$3:$K$5001,Base!$B$3:$B$5001,F$108,Base!$A$3:$A$5001,_xlfn.MAXIFS(Base!$A$3:$A$5001,Base!$B$3:$B$5001,F$108,Base!$A$3:$A$5001,"&gt;="&amp;$C$7,Base!$A$3:$A$5001,"&lt;="&amp;$B130,Base!$K$3:$K$5001,"&lt;&gt;"))))</f>
        <v/>
      </c>
      <c r="G130" s="149" t="str">
        <f>IF($A130&gt;$B$9,"",IF(COUNTIFS(Base!$B$3:$B$5001,G$108,Base!$A$3:$A$5001,"&gt;="&amp;$C$7,Base!$A$3:$A$5001,"&lt;="&amp;$B130,Base!$K$3:$K$5001,"&lt;&gt;")=0,"",SUMIFS(Base!$K$3:$K$5001,Base!$B$3:$B$5001,G$108,Base!$A$3:$A$5001,_xlfn.MAXIFS(Base!$A$3:$A$5001,Base!$B$3:$B$5001,G$108,Base!$A$3:$A$5001,"&gt;="&amp;$C$7,Base!$A$3:$A$5001,"&lt;="&amp;$B130,Base!$K$3:$K$5001,"&lt;&gt;"))))</f>
        <v/>
      </c>
    </row>
    <row r="131">
      <c r="A131" s="147">
        <v>23</v>
      </c>
      <c r="B131" s="148">
        <f>$B$34</f>
        <v>46288</v>
      </c>
      <c r="C131" s="149" t="str">
        <f>IF($A131&gt;$B$9,"",IF(COUNTIFS(Base!$B$3:$B$5001,C$108,Base!$A$3:$A$5001,"&gt;="&amp;$C$7,Base!$A$3:$A$5001,"&lt;="&amp;$B131,Base!$K$3:$K$5001,"&lt;&gt;")=0,"",SUMIFS(Base!$K$3:$K$5001,Base!$B$3:$B$5001,C$108,Base!$A$3:$A$5001,_xlfn.MAXIFS(Base!$A$3:$A$5001,Base!$B$3:$B$5001,C$108,Base!$A$3:$A$5001,"&gt;="&amp;$C$7,Base!$A$3:$A$5001,"&lt;="&amp;$B131,Base!$K$3:$K$5001,"&lt;&gt;"))))</f>
        <v/>
      </c>
      <c r="D131" s="149" t="str">
        <f>IF($A131&gt;$B$9,"",IF(COUNTIFS(Base!$B$3:$B$5001,D$108,Base!$A$3:$A$5001,"&gt;="&amp;$C$7,Base!$A$3:$A$5001,"&lt;="&amp;$B131,Base!$K$3:$K$5001,"&lt;&gt;")=0,"",SUMIFS(Base!$K$3:$K$5001,Base!$B$3:$B$5001,D$108,Base!$A$3:$A$5001,_xlfn.MAXIFS(Base!$A$3:$A$5001,Base!$B$3:$B$5001,D$108,Base!$A$3:$A$5001,"&gt;="&amp;$C$7,Base!$A$3:$A$5001,"&lt;="&amp;$B131,Base!$K$3:$K$5001,"&lt;&gt;"))))</f>
        <v/>
      </c>
      <c r="E131" s="149" t="str">
        <f>IF($A131&gt;$B$9,"",IF(COUNTIFS(Base!$B$3:$B$5001,E$108,Base!$A$3:$A$5001,"&gt;="&amp;$C$7,Base!$A$3:$A$5001,"&lt;="&amp;$B131,Base!$K$3:$K$5001,"&lt;&gt;")=0,"",SUMIFS(Base!$K$3:$K$5001,Base!$B$3:$B$5001,E$108,Base!$A$3:$A$5001,_xlfn.MAXIFS(Base!$A$3:$A$5001,Base!$B$3:$B$5001,E$108,Base!$A$3:$A$5001,"&gt;="&amp;$C$7,Base!$A$3:$A$5001,"&lt;="&amp;$B131,Base!$K$3:$K$5001,"&lt;&gt;"))))</f>
        <v/>
      </c>
      <c r="F131" s="149" t="str">
        <f>IF($A131&gt;$B$9,"",IF(COUNTIFS(Base!$B$3:$B$5001,F$108,Base!$A$3:$A$5001,"&gt;="&amp;$C$7,Base!$A$3:$A$5001,"&lt;="&amp;$B131,Base!$K$3:$K$5001,"&lt;&gt;")=0,"",SUMIFS(Base!$K$3:$K$5001,Base!$B$3:$B$5001,F$108,Base!$A$3:$A$5001,_xlfn.MAXIFS(Base!$A$3:$A$5001,Base!$B$3:$B$5001,F$108,Base!$A$3:$A$5001,"&gt;="&amp;$C$7,Base!$A$3:$A$5001,"&lt;="&amp;$B131,Base!$K$3:$K$5001,"&lt;&gt;"))))</f>
        <v/>
      </c>
      <c r="G131" s="149" t="str">
        <f>IF($A131&gt;$B$9,"",IF(COUNTIFS(Base!$B$3:$B$5001,G$108,Base!$A$3:$A$5001,"&gt;="&amp;$C$7,Base!$A$3:$A$5001,"&lt;="&amp;$B131,Base!$K$3:$K$5001,"&lt;&gt;")=0,"",SUMIFS(Base!$K$3:$K$5001,Base!$B$3:$B$5001,G$108,Base!$A$3:$A$5001,_xlfn.MAXIFS(Base!$A$3:$A$5001,Base!$B$3:$B$5001,G$108,Base!$A$3:$A$5001,"&gt;="&amp;$C$7,Base!$A$3:$A$5001,"&lt;="&amp;$B131,Base!$K$3:$K$5001,"&lt;&gt;"))))</f>
        <v/>
      </c>
    </row>
    <row r="132">
      <c r="A132" s="147">
        <v>24</v>
      </c>
      <c r="B132" s="148">
        <f>$B$35</f>
        <v>46289</v>
      </c>
      <c r="C132" s="149" t="str">
        <f>IF($A132&gt;$B$9,"",IF(COUNTIFS(Base!$B$3:$B$5001,C$108,Base!$A$3:$A$5001,"&gt;="&amp;$C$7,Base!$A$3:$A$5001,"&lt;="&amp;$B132,Base!$K$3:$K$5001,"&lt;&gt;")=0,"",SUMIFS(Base!$K$3:$K$5001,Base!$B$3:$B$5001,C$108,Base!$A$3:$A$5001,_xlfn.MAXIFS(Base!$A$3:$A$5001,Base!$B$3:$B$5001,C$108,Base!$A$3:$A$5001,"&gt;="&amp;$C$7,Base!$A$3:$A$5001,"&lt;="&amp;$B132,Base!$K$3:$K$5001,"&lt;&gt;"))))</f>
        <v/>
      </c>
      <c r="D132" s="149" t="str">
        <f>IF($A132&gt;$B$9,"",IF(COUNTIFS(Base!$B$3:$B$5001,D$108,Base!$A$3:$A$5001,"&gt;="&amp;$C$7,Base!$A$3:$A$5001,"&lt;="&amp;$B132,Base!$K$3:$K$5001,"&lt;&gt;")=0,"",SUMIFS(Base!$K$3:$K$5001,Base!$B$3:$B$5001,D$108,Base!$A$3:$A$5001,_xlfn.MAXIFS(Base!$A$3:$A$5001,Base!$B$3:$B$5001,D$108,Base!$A$3:$A$5001,"&gt;="&amp;$C$7,Base!$A$3:$A$5001,"&lt;="&amp;$B132,Base!$K$3:$K$5001,"&lt;&gt;"))))</f>
        <v/>
      </c>
      <c r="E132" s="149" t="str">
        <f>IF($A132&gt;$B$9,"",IF(COUNTIFS(Base!$B$3:$B$5001,E$108,Base!$A$3:$A$5001,"&gt;="&amp;$C$7,Base!$A$3:$A$5001,"&lt;="&amp;$B132,Base!$K$3:$K$5001,"&lt;&gt;")=0,"",SUMIFS(Base!$K$3:$K$5001,Base!$B$3:$B$5001,E$108,Base!$A$3:$A$5001,_xlfn.MAXIFS(Base!$A$3:$A$5001,Base!$B$3:$B$5001,E$108,Base!$A$3:$A$5001,"&gt;="&amp;$C$7,Base!$A$3:$A$5001,"&lt;="&amp;$B132,Base!$K$3:$K$5001,"&lt;&gt;"))))</f>
        <v/>
      </c>
      <c r="F132" s="149" t="str">
        <f>IF($A132&gt;$B$9,"",IF(COUNTIFS(Base!$B$3:$B$5001,F$108,Base!$A$3:$A$5001,"&gt;="&amp;$C$7,Base!$A$3:$A$5001,"&lt;="&amp;$B132,Base!$K$3:$K$5001,"&lt;&gt;")=0,"",SUMIFS(Base!$K$3:$K$5001,Base!$B$3:$B$5001,F$108,Base!$A$3:$A$5001,_xlfn.MAXIFS(Base!$A$3:$A$5001,Base!$B$3:$B$5001,F$108,Base!$A$3:$A$5001,"&gt;="&amp;$C$7,Base!$A$3:$A$5001,"&lt;="&amp;$B132,Base!$K$3:$K$5001,"&lt;&gt;"))))</f>
        <v/>
      </c>
      <c r="G132" s="149" t="str">
        <f>IF($A132&gt;$B$9,"",IF(COUNTIFS(Base!$B$3:$B$5001,G$108,Base!$A$3:$A$5001,"&gt;="&amp;$C$7,Base!$A$3:$A$5001,"&lt;="&amp;$B132,Base!$K$3:$K$5001,"&lt;&gt;")=0,"",SUMIFS(Base!$K$3:$K$5001,Base!$B$3:$B$5001,G$108,Base!$A$3:$A$5001,_xlfn.MAXIFS(Base!$A$3:$A$5001,Base!$B$3:$B$5001,G$108,Base!$A$3:$A$5001,"&gt;="&amp;$C$7,Base!$A$3:$A$5001,"&lt;="&amp;$B132,Base!$K$3:$K$5001,"&lt;&gt;"))))</f>
        <v/>
      </c>
    </row>
    <row r="133">
      <c r="A133" s="147">
        <v>25</v>
      </c>
      <c r="B133" s="148">
        <f>$B$36</f>
        <v>46290</v>
      </c>
      <c r="C133" s="149" t="str">
        <f>IF($A133&gt;$B$9,"",IF(COUNTIFS(Base!$B$3:$B$5001,C$108,Base!$A$3:$A$5001,"&gt;="&amp;$C$7,Base!$A$3:$A$5001,"&lt;="&amp;$B133,Base!$K$3:$K$5001,"&lt;&gt;")=0,"",SUMIFS(Base!$K$3:$K$5001,Base!$B$3:$B$5001,C$108,Base!$A$3:$A$5001,_xlfn.MAXIFS(Base!$A$3:$A$5001,Base!$B$3:$B$5001,C$108,Base!$A$3:$A$5001,"&gt;="&amp;$C$7,Base!$A$3:$A$5001,"&lt;="&amp;$B133,Base!$K$3:$K$5001,"&lt;&gt;"))))</f>
        <v/>
      </c>
      <c r="D133" s="149" t="str">
        <f>IF($A133&gt;$B$9,"",IF(COUNTIFS(Base!$B$3:$B$5001,D$108,Base!$A$3:$A$5001,"&gt;="&amp;$C$7,Base!$A$3:$A$5001,"&lt;="&amp;$B133,Base!$K$3:$K$5001,"&lt;&gt;")=0,"",SUMIFS(Base!$K$3:$K$5001,Base!$B$3:$B$5001,D$108,Base!$A$3:$A$5001,_xlfn.MAXIFS(Base!$A$3:$A$5001,Base!$B$3:$B$5001,D$108,Base!$A$3:$A$5001,"&gt;="&amp;$C$7,Base!$A$3:$A$5001,"&lt;="&amp;$B133,Base!$K$3:$K$5001,"&lt;&gt;"))))</f>
        <v/>
      </c>
      <c r="E133" s="149" t="str">
        <f>IF($A133&gt;$B$9,"",IF(COUNTIFS(Base!$B$3:$B$5001,E$108,Base!$A$3:$A$5001,"&gt;="&amp;$C$7,Base!$A$3:$A$5001,"&lt;="&amp;$B133,Base!$K$3:$K$5001,"&lt;&gt;")=0,"",SUMIFS(Base!$K$3:$K$5001,Base!$B$3:$B$5001,E$108,Base!$A$3:$A$5001,_xlfn.MAXIFS(Base!$A$3:$A$5001,Base!$B$3:$B$5001,E$108,Base!$A$3:$A$5001,"&gt;="&amp;$C$7,Base!$A$3:$A$5001,"&lt;="&amp;$B133,Base!$K$3:$K$5001,"&lt;&gt;"))))</f>
        <v/>
      </c>
      <c r="F133" s="149" t="str">
        <f>IF($A133&gt;$B$9,"",IF(COUNTIFS(Base!$B$3:$B$5001,F$108,Base!$A$3:$A$5001,"&gt;="&amp;$C$7,Base!$A$3:$A$5001,"&lt;="&amp;$B133,Base!$K$3:$K$5001,"&lt;&gt;")=0,"",SUMIFS(Base!$K$3:$K$5001,Base!$B$3:$B$5001,F$108,Base!$A$3:$A$5001,_xlfn.MAXIFS(Base!$A$3:$A$5001,Base!$B$3:$B$5001,F$108,Base!$A$3:$A$5001,"&gt;="&amp;$C$7,Base!$A$3:$A$5001,"&lt;="&amp;$B133,Base!$K$3:$K$5001,"&lt;&gt;"))))</f>
        <v/>
      </c>
      <c r="G133" s="149" t="str">
        <f>IF($A133&gt;$B$9,"",IF(COUNTIFS(Base!$B$3:$B$5001,G$108,Base!$A$3:$A$5001,"&gt;="&amp;$C$7,Base!$A$3:$A$5001,"&lt;="&amp;$B133,Base!$K$3:$K$5001,"&lt;&gt;")=0,"",SUMIFS(Base!$K$3:$K$5001,Base!$B$3:$B$5001,G$108,Base!$A$3:$A$5001,_xlfn.MAXIFS(Base!$A$3:$A$5001,Base!$B$3:$B$5001,G$108,Base!$A$3:$A$5001,"&gt;="&amp;$C$7,Base!$A$3:$A$5001,"&lt;="&amp;$B133,Base!$K$3:$K$5001,"&lt;&gt;"))))</f>
        <v/>
      </c>
    </row>
    <row r="134">
      <c r="A134" s="147">
        <v>26</v>
      </c>
      <c r="B134" s="148">
        <f>$B$37</f>
        <v>46291</v>
      </c>
      <c r="C134" s="149" t="str">
        <f>IF($A134&gt;$B$9,"",IF(COUNTIFS(Base!$B$3:$B$5001,C$108,Base!$A$3:$A$5001,"&gt;="&amp;$C$7,Base!$A$3:$A$5001,"&lt;="&amp;$B134,Base!$K$3:$K$5001,"&lt;&gt;")=0,"",SUMIFS(Base!$K$3:$K$5001,Base!$B$3:$B$5001,C$108,Base!$A$3:$A$5001,_xlfn.MAXIFS(Base!$A$3:$A$5001,Base!$B$3:$B$5001,C$108,Base!$A$3:$A$5001,"&gt;="&amp;$C$7,Base!$A$3:$A$5001,"&lt;="&amp;$B134,Base!$K$3:$K$5001,"&lt;&gt;"))))</f>
        <v/>
      </c>
      <c r="D134" s="149" t="str">
        <f>IF($A134&gt;$B$9,"",IF(COUNTIFS(Base!$B$3:$B$5001,D$108,Base!$A$3:$A$5001,"&gt;="&amp;$C$7,Base!$A$3:$A$5001,"&lt;="&amp;$B134,Base!$K$3:$K$5001,"&lt;&gt;")=0,"",SUMIFS(Base!$K$3:$K$5001,Base!$B$3:$B$5001,D$108,Base!$A$3:$A$5001,_xlfn.MAXIFS(Base!$A$3:$A$5001,Base!$B$3:$B$5001,D$108,Base!$A$3:$A$5001,"&gt;="&amp;$C$7,Base!$A$3:$A$5001,"&lt;="&amp;$B134,Base!$K$3:$K$5001,"&lt;&gt;"))))</f>
        <v/>
      </c>
      <c r="E134" s="149" t="str">
        <f>IF($A134&gt;$B$9,"",IF(COUNTIFS(Base!$B$3:$B$5001,E$108,Base!$A$3:$A$5001,"&gt;="&amp;$C$7,Base!$A$3:$A$5001,"&lt;="&amp;$B134,Base!$K$3:$K$5001,"&lt;&gt;")=0,"",SUMIFS(Base!$K$3:$K$5001,Base!$B$3:$B$5001,E$108,Base!$A$3:$A$5001,_xlfn.MAXIFS(Base!$A$3:$A$5001,Base!$B$3:$B$5001,E$108,Base!$A$3:$A$5001,"&gt;="&amp;$C$7,Base!$A$3:$A$5001,"&lt;="&amp;$B134,Base!$K$3:$K$5001,"&lt;&gt;"))))</f>
        <v/>
      </c>
      <c r="F134" s="149" t="str">
        <f>IF($A134&gt;$B$9,"",IF(COUNTIFS(Base!$B$3:$B$5001,F$108,Base!$A$3:$A$5001,"&gt;="&amp;$C$7,Base!$A$3:$A$5001,"&lt;="&amp;$B134,Base!$K$3:$K$5001,"&lt;&gt;")=0,"",SUMIFS(Base!$K$3:$K$5001,Base!$B$3:$B$5001,F$108,Base!$A$3:$A$5001,_xlfn.MAXIFS(Base!$A$3:$A$5001,Base!$B$3:$B$5001,F$108,Base!$A$3:$A$5001,"&gt;="&amp;$C$7,Base!$A$3:$A$5001,"&lt;="&amp;$B134,Base!$K$3:$K$5001,"&lt;&gt;"))))</f>
        <v/>
      </c>
      <c r="G134" s="149" t="str">
        <f>IF($A134&gt;$B$9,"",IF(COUNTIFS(Base!$B$3:$B$5001,G$108,Base!$A$3:$A$5001,"&gt;="&amp;$C$7,Base!$A$3:$A$5001,"&lt;="&amp;$B134,Base!$K$3:$K$5001,"&lt;&gt;")=0,"",SUMIFS(Base!$K$3:$K$5001,Base!$B$3:$B$5001,G$108,Base!$A$3:$A$5001,_xlfn.MAXIFS(Base!$A$3:$A$5001,Base!$B$3:$B$5001,G$108,Base!$A$3:$A$5001,"&gt;="&amp;$C$7,Base!$A$3:$A$5001,"&lt;="&amp;$B134,Base!$K$3:$K$5001,"&lt;&gt;"))))</f>
        <v/>
      </c>
    </row>
    <row r="135">
      <c r="A135" s="147">
        <v>27</v>
      </c>
      <c r="B135" s="148">
        <f>$B$38</f>
        <v>46292</v>
      </c>
      <c r="C135" s="149" t="str">
        <f>IF($A135&gt;$B$9,"",IF(COUNTIFS(Base!$B$3:$B$5001,C$108,Base!$A$3:$A$5001,"&gt;="&amp;$C$7,Base!$A$3:$A$5001,"&lt;="&amp;$B135,Base!$K$3:$K$5001,"&lt;&gt;")=0,"",SUMIFS(Base!$K$3:$K$5001,Base!$B$3:$B$5001,C$108,Base!$A$3:$A$5001,_xlfn.MAXIFS(Base!$A$3:$A$5001,Base!$B$3:$B$5001,C$108,Base!$A$3:$A$5001,"&gt;="&amp;$C$7,Base!$A$3:$A$5001,"&lt;="&amp;$B135,Base!$K$3:$K$5001,"&lt;&gt;"))))</f>
        <v/>
      </c>
      <c r="D135" s="149" t="str">
        <f>IF($A135&gt;$B$9,"",IF(COUNTIFS(Base!$B$3:$B$5001,D$108,Base!$A$3:$A$5001,"&gt;="&amp;$C$7,Base!$A$3:$A$5001,"&lt;="&amp;$B135,Base!$K$3:$K$5001,"&lt;&gt;")=0,"",SUMIFS(Base!$K$3:$K$5001,Base!$B$3:$B$5001,D$108,Base!$A$3:$A$5001,_xlfn.MAXIFS(Base!$A$3:$A$5001,Base!$B$3:$B$5001,D$108,Base!$A$3:$A$5001,"&gt;="&amp;$C$7,Base!$A$3:$A$5001,"&lt;="&amp;$B135,Base!$K$3:$K$5001,"&lt;&gt;"))))</f>
        <v/>
      </c>
      <c r="E135" s="149" t="str">
        <f>IF($A135&gt;$B$9,"",IF(COUNTIFS(Base!$B$3:$B$5001,E$108,Base!$A$3:$A$5001,"&gt;="&amp;$C$7,Base!$A$3:$A$5001,"&lt;="&amp;$B135,Base!$K$3:$K$5001,"&lt;&gt;")=0,"",SUMIFS(Base!$K$3:$K$5001,Base!$B$3:$B$5001,E$108,Base!$A$3:$A$5001,_xlfn.MAXIFS(Base!$A$3:$A$5001,Base!$B$3:$B$5001,E$108,Base!$A$3:$A$5001,"&gt;="&amp;$C$7,Base!$A$3:$A$5001,"&lt;="&amp;$B135,Base!$K$3:$K$5001,"&lt;&gt;"))))</f>
        <v/>
      </c>
      <c r="F135" s="149" t="str">
        <f>IF($A135&gt;$B$9,"",IF(COUNTIFS(Base!$B$3:$B$5001,F$108,Base!$A$3:$A$5001,"&gt;="&amp;$C$7,Base!$A$3:$A$5001,"&lt;="&amp;$B135,Base!$K$3:$K$5001,"&lt;&gt;")=0,"",SUMIFS(Base!$K$3:$K$5001,Base!$B$3:$B$5001,F$108,Base!$A$3:$A$5001,_xlfn.MAXIFS(Base!$A$3:$A$5001,Base!$B$3:$B$5001,F$108,Base!$A$3:$A$5001,"&gt;="&amp;$C$7,Base!$A$3:$A$5001,"&lt;="&amp;$B135,Base!$K$3:$K$5001,"&lt;&gt;"))))</f>
        <v/>
      </c>
      <c r="G135" s="149" t="str">
        <f>IF($A135&gt;$B$9,"",IF(COUNTIFS(Base!$B$3:$B$5001,G$108,Base!$A$3:$A$5001,"&gt;="&amp;$C$7,Base!$A$3:$A$5001,"&lt;="&amp;$B135,Base!$K$3:$K$5001,"&lt;&gt;")=0,"",SUMIFS(Base!$K$3:$K$5001,Base!$B$3:$B$5001,G$108,Base!$A$3:$A$5001,_xlfn.MAXIFS(Base!$A$3:$A$5001,Base!$B$3:$B$5001,G$108,Base!$A$3:$A$5001,"&gt;="&amp;$C$7,Base!$A$3:$A$5001,"&lt;="&amp;$B135,Base!$K$3:$K$5001,"&lt;&gt;"))))</f>
        <v/>
      </c>
    </row>
    <row r="136">
      <c r="A136" s="147">
        <v>28</v>
      </c>
      <c r="B136" s="148">
        <f>$B$39</f>
        <v>46293</v>
      </c>
      <c r="C136" s="149" t="str">
        <f>IF($A136&gt;$B$9,"",IF(COUNTIFS(Base!$B$3:$B$5001,C$108,Base!$A$3:$A$5001,"&gt;="&amp;$C$7,Base!$A$3:$A$5001,"&lt;="&amp;$B136,Base!$K$3:$K$5001,"&lt;&gt;")=0,"",SUMIFS(Base!$K$3:$K$5001,Base!$B$3:$B$5001,C$108,Base!$A$3:$A$5001,_xlfn.MAXIFS(Base!$A$3:$A$5001,Base!$B$3:$B$5001,C$108,Base!$A$3:$A$5001,"&gt;="&amp;$C$7,Base!$A$3:$A$5001,"&lt;="&amp;$B136,Base!$K$3:$K$5001,"&lt;&gt;"))))</f>
        <v/>
      </c>
      <c r="D136" s="149" t="str">
        <f>IF($A136&gt;$B$9,"",IF(COUNTIFS(Base!$B$3:$B$5001,D$108,Base!$A$3:$A$5001,"&gt;="&amp;$C$7,Base!$A$3:$A$5001,"&lt;="&amp;$B136,Base!$K$3:$K$5001,"&lt;&gt;")=0,"",SUMIFS(Base!$K$3:$K$5001,Base!$B$3:$B$5001,D$108,Base!$A$3:$A$5001,_xlfn.MAXIFS(Base!$A$3:$A$5001,Base!$B$3:$B$5001,D$108,Base!$A$3:$A$5001,"&gt;="&amp;$C$7,Base!$A$3:$A$5001,"&lt;="&amp;$B136,Base!$K$3:$K$5001,"&lt;&gt;"))))</f>
        <v/>
      </c>
      <c r="E136" s="149" t="str">
        <f>IF($A136&gt;$B$9,"",IF(COUNTIFS(Base!$B$3:$B$5001,E$108,Base!$A$3:$A$5001,"&gt;="&amp;$C$7,Base!$A$3:$A$5001,"&lt;="&amp;$B136,Base!$K$3:$K$5001,"&lt;&gt;")=0,"",SUMIFS(Base!$K$3:$K$5001,Base!$B$3:$B$5001,E$108,Base!$A$3:$A$5001,_xlfn.MAXIFS(Base!$A$3:$A$5001,Base!$B$3:$B$5001,E$108,Base!$A$3:$A$5001,"&gt;="&amp;$C$7,Base!$A$3:$A$5001,"&lt;="&amp;$B136,Base!$K$3:$K$5001,"&lt;&gt;"))))</f>
        <v/>
      </c>
      <c r="F136" s="149" t="str">
        <f>IF($A136&gt;$B$9,"",IF(COUNTIFS(Base!$B$3:$B$5001,F$108,Base!$A$3:$A$5001,"&gt;="&amp;$C$7,Base!$A$3:$A$5001,"&lt;="&amp;$B136,Base!$K$3:$K$5001,"&lt;&gt;")=0,"",SUMIFS(Base!$K$3:$K$5001,Base!$B$3:$B$5001,F$108,Base!$A$3:$A$5001,_xlfn.MAXIFS(Base!$A$3:$A$5001,Base!$B$3:$B$5001,F$108,Base!$A$3:$A$5001,"&gt;="&amp;$C$7,Base!$A$3:$A$5001,"&lt;="&amp;$B136,Base!$K$3:$K$5001,"&lt;&gt;"))))</f>
        <v/>
      </c>
      <c r="G136" s="149" t="str">
        <f>IF($A136&gt;$B$9,"",IF(COUNTIFS(Base!$B$3:$B$5001,G$108,Base!$A$3:$A$5001,"&gt;="&amp;$C$7,Base!$A$3:$A$5001,"&lt;="&amp;$B136,Base!$K$3:$K$5001,"&lt;&gt;")=0,"",SUMIFS(Base!$K$3:$K$5001,Base!$B$3:$B$5001,G$108,Base!$A$3:$A$5001,_xlfn.MAXIFS(Base!$A$3:$A$5001,Base!$B$3:$B$5001,G$108,Base!$A$3:$A$5001,"&gt;="&amp;$C$7,Base!$A$3:$A$5001,"&lt;="&amp;$B136,Base!$K$3:$K$5001,"&lt;&gt;"))))</f>
        <v/>
      </c>
    </row>
    <row r="137">
      <c r="A137" s="147">
        <v>29</v>
      </c>
      <c r="B137" s="148">
        <f>$B$40</f>
        <v>46294</v>
      </c>
      <c r="C137" s="149" t="str">
        <f>IF($A137&gt;$B$9,"",IF(COUNTIFS(Base!$B$3:$B$5001,C$108,Base!$A$3:$A$5001,"&gt;="&amp;$C$7,Base!$A$3:$A$5001,"&lt;="&amp;$B137,Base!$K$3:$K$5001,"&lt;&gt;")=0,"",SUMIFS(Base!$K$3:$K$5001,Base!$B$3:$B$5001,C$108,Base!$A$3:$A$5001,_xlfn.MAXIFS(Base!$A$3:$A$5001,Base!$B$3:$B$5001,C$108,Base!$A$3:$A$5001,"&gt;="&amp;$C$7,Base!$A$3:$A$5001,"&lt;="&amp;$B137,Base!$K$3:$K$5001,"&lt;&gt;"))))</f>
        <v/>
      </c>
      <c r="D137" s="149" t="str">
        <f>IF($A137&gt;$B$9,"",IF(COUNTIFS(Base!$B$3:$B$5001,D$108,Base!$A$3:$A$5001,"&gt;="&amp;$C$7,Base!$A$3:$A$5001,"&lt;="&amp;$B137,Base!$K$3:$K$5001,"&lt;&gt;")=0,"",SUMIFS(Base!$K$3:$K$5001,Base!$B$3:$B$5001,D$108,Base!$A$3:$A$5001,_xlfn.MAXIFS(Base!$A$3:$A$5001,Base!$B$3:$B$5001,D$108,Base!$A$3:$A$5001,"&gt;="&amp;$C$7,Base!$A$3:$A$5001,"&lt;="&amp;$B137,Base!$K$3:$K$5001,"&lt;&gt;"))))</f>
        <v/>
      </c>
      <c r="E137" s="149" t="str">
        <f>IF($A137&gt;$B$9,"",IF(COUNTIFS(Base!$B$3:$B$5001,E$108,Base!$A$3:$A$5001,"&gt;="&amp;$C$7,Base!$A$3:$A$5001,"&lt;="&amp;$B137,Base!$K$3:$K$5001,"&lt;&gt;")=0,"",SUMIFS(Base!$K$3:$K$5001,Base!$B$3:$B$5001,E$108,Base!$A$3:$A$5001,_xlfn.MAXIFS(Base!$A$3:$A$5001,Base!$B$3:$B$5001,E$108,Base!$A$3:$A$5001,"&gt;="&amp;$C$7,Base!$A$3:$A$5001,"&lt;="&amp;$B137,Base!$K$3:$K$5001,"&lt;&gt;"))))</f>
        <v/>
      </c>
      <c r="F137" s="149" t="str">
        <f>IF($A137&gt;$B$9,"",IF(COUNTIFS(Base!$B$3:$B$5001,F$108,Base!$A$3:$A$5001,"&gt;="&amp;$C$7,Base!$A$3:$A$5001,"&lt;="&amp;$B137,Base!$K$3:$K$5001,"&lt;&gt;")=0,"",SUMIFS(Base!$K$3:$K$5001,Base!$B$3:$B$5001,F$108,Base!$A$3:$A$5001,_xlfn.MAXIFS(Base!$A$3:$A$5001,Base!$B$3:$B$5001,F$108,Base!$A$3:$A$5001,"&gt;="&amp;$C$7,Base!$A$3:$A$5001,"&lt;="&amp;$B137,Base!$K$3:$K$5001,"&lt;&gt;"))))</f>
        <v/>
      </c>
      <c r="G137" s="149" t="str">
        <f>IF($A137&gt;$B$9,"",IF(COUNTIFS(Base!$B$3:$B$5001,G$108,Base!$A$3:$A$5001,"&gt;="&amp;$C$7,Base!$A$3:$A$5001,"&lt;="&amp;$B137,Base!$K$3:$K$5001,"&lt;&gt;")=0,"",SUMIFS(Base!$K$3:$K$5001,Base!$B$3:$B$5001,G$108,Base!$A$3:$A$5001,_xlfn.MAXIFS(Base!$A$3:$A$5001,Base!$B$3:$B$5001,G$108,Base!$A$3:$A$5001,"&gt;="&amp;$C$7,Base!$A$3:$A$5001,"&lt;="&amp;$B137,Base!$K$3:$K$5001,"&lt;&gt;"))))</f>
        <v/>
      </c>
    </row>
    <row r="138">
      <c r="A138" s="147">
        <v>30</v>
      </c>
      <c r="B138" s="148">
        <f>$B$41</f>
        <v>46295</v>
      </c>
      <c r="C138" s="149" t="str">
        <f>IF($A138&gt;$B$9,"",IF(COUNTIFS(Base!$B$3:$B$5001,C$108,Base!$A$3:$A$5001,"&gt;="&amp;$C$7,Base!$A$3:$A$5001,"&lt;="&amp;$B138,Base!$K$3:$K$5001,"&lt;&gt;")=0,"",SUMIFS(Base!$K$3:$K$5001,Base!$B$3:$B$5001,C$108,Base!$A$3:$A$5001,_xlfn.MAXIFS(Base!$A$3:$A$5001,Base!$B$3:$B$5001,C$108,Base!$A$3:$A$5001,"&gt;="&amp;$C$7,Base!$A$3:$A$5001,"&lt;="&amp;$B138,Base!$K$3:$K$5001,"&lt;&gt;"))))</f>
        <v/>
      </c>
      <c r="D138" s="149" t="str">
        <f>IF($A138&gt;$B$9,"",IF(COUNTIFS(Base!$B$3:$B$5001,D$108,Base!$A$3:$A$5001,"&gt;="&amp;$C$7,Base!$A$3:$A$5001,"&lt;="&amp;$B138,Base!$K$3:$K$5001,"&lt;&gt;")=0,"",SUMIFS(Base!$K$3:$K$5001,Base!$B$3:$B$5001,D$108,Base!$A$3:$A$5001,_xlfn.MAXIFS(Base!$A$3:$A$5001,Base!$B$3:$B$5001,D$108,Base!$A$3:$A$5001,"&gt;="&amp;$C$7,Base!$A$3:$A$5001,"&lt;="&amp;$B138,Base!$K$3:$K$5001,"&lt;&gt;"))))</f>
        <v/>
      </c>
      <c r="E138" s="149" t="str">
        <f>IF($A138&gt;$B$9,"",IF(COUNTIFS(Base!$B$3:$B$5001,E$108,Base!$A$3:$A$5001,"&gt;="&amp;$C$7,Base!$A$3:$A$5001,"&lt;="&amp;$B138,Base!$K$3:$K$5001,"&lt;&gt;")=0,"",SUMIFS(Base!$K$3:$K$5001,Base!$B$3:$B$5001,E$108,Base!$A$3:$A$5001,_xlfn.MAXIFS(Base!$A$3:$A$5001,Base!$B$3:$B$5001,E$108,Base!$A$3:$A$5001,"&gt;="&amp;$C$7,Base!$A$3:$A$5001,"&lt;="&amp;$B138,Base!$K$3:$K$5001,"&lt;&gt;"))))</f>
        <v/>
      </c>
      <c r="F138" s="149" t="str">
        <f>IF($A138&gt;$B$9,"",IF(COUNTIFS(Base!$B$3:$B$5001,F$108,Base!$A$3:$A$5001,"&gt;="&amp;$C$7,Base!$A$3:$A$5001,"&lt;="&amp;$B138,Base!$K$3:$K$5001,"&lt;&gt;")=0,"",SUMIFS(Base!$K$3:$K$5001,Base!$B$3:$B$5001,F$108,Base!$A$3:$A$5001,_xlfn.MAXIFS(Base!$A$3:$A$5001,Base!$B$3:$B$5001,F$108,Base!$A$3:$A$5001,"&gt;="&amp;$C$7,Base!$A$3:$A$5001,"&lt;="&amp;$B138,Base!$K$3:$K$5001,"&lt;&gt;"))))</f>
        <v/>
      </c>
      <c r="G138" s="149" t="str">
        <f>IF($A138&gt;$B$9,"",IF(COUNTIFS(Base!$B$3:$B$5001,G$108,Base!$A$3:$A$5001,"&gt;="&amp;$C$7,Base!$A$3:$A$5001,"&lt;="&amp;$B138,Base!$K$3:$K$5001,"&lt;&gt;")=0,"",SUMIFS(Base!$K$3:$K$5001,Base!$B$3:$B$5001,G$108,Base!$A$3:$A$5001,_xlfn.MAXIFS(Base!$A$3:$A$5001,Base!$B$3:$B$5001,G$108,Base!$A$3:$A$5001,"&gt;="&amp;$C$7,Base!$A$3:$A$5001,"&lt;="&amp;$B138,Base!$K$3:$K$5001,"&lt;&gt;"))))</f>
        <v/>
      </c>
    </row>
    <row r="139">
      <c r="A139" s="147">
        <v>31</v>
      </c>
      <c r="B139" s="148" t="str">
        <f>$B$42</f>
        <v/>
      </c>
      <c r="C139" s="149" t="str">
        <f>IF($A139&gt;$B$9,"",IF(COUNTIFS(Base!$B$3:$B$5001,C$108,Base!$A$3:$A$5001,"&gt;="&amp;$C$7,Base!$A$3:$A$5001,"&lt;="&amp;$B139,Base!$K$3:$K$5001,"&lt;&gt;")=0,"",SUMIFS(Base!$K$3:$K$5001,Base!$B$3:$B$5001,C$108,Base!$A$3:$A$5001,_xlfn.MAXIFS(Base!$A$3:$A$5001,Base!$B$3:$B$5001,C$108,Base!$A$3:$A$5001,"&gt;="&amp;$C$7,Base!$A$3:$A$5001,"&lt;="&amp;$B139,Base!$K$3:$K$5001,"&lt;&gt;"))))</f>
        <v/>
      </c>
      <c r="D139" s="149" t="str">
        <f>IF($A139&gt;$B$9,"",IF(COUNTIFS(Base!$B$3:$B$5001,D$108,Base!$A$3:$A$5001,"&gt;="&amp;$C$7,Base!$A$3:$A$5001,"&lt;="&amp;$B139,Base!$K$3:$K$5001,"&lt;&gt;")=0,"",SUMIFS(Base!$K$3:$K$5001,Base!$B$3:$B$5001,D$108,Base!$A$3:$A$5001,_xlfn.MAXIFS(Base!$A$3:$A$5001,Base!$B$3:$B$5001,D$108,Base!$A$3:$A$5001,"&gt;="&amp;$C$7,Base!$A$3:$A$5001,"&lt;="&amp;$B139,Base!$K$3:$K$5001,"&lt;&gt;"))))</f>
        <v/>
      </c>
      <c r="E139" s="149" t="str">
        <f>IF($A139&gt;$B$9,"",IF(COUNTIFS(Base!$B$3:$B$5001,E$108,Base!$A$3:$A$5001,"&gt;="&amp;$C$7,Base!$A$3:$A$5001,"&lt;="&amp;$B139,Base!$K$3:$K$5001,"&lt;&gt;")=0,"",SUMIFS(Base!$K$3:$K$5001,Base!$B$3:$B$5001,E$108,Base!$A$3:$A$5001,_xlfn.MAXIFS(Base!$A$3:$A$5001,Base!$B$3:$B$5001,E$108,Base!$A$3:$A$5001,"&gt;="&amp;$C$7,Base!$A$3:$A$5001,"&lt;="&amp;$B139,Base!$K$3:$K$5001,"&lt;&gt;"))))</f>
        <v/>
      </c>
      <c r="F139" s="149" t="str">
        <f>IF($A139&gt;$B$9,"",IF(COUNTIFS(Base!$B$3:$B$5001,F$108,Base!$A$3:$A$5001,"&gt;="&amp;$C$7,Base!$A$3:$A$5001,"&lt;="&amp;$B139,Base!$K$3:$K$5001,"&lt;&gt;")=0,"",SUMIFS(Base!$K$3:$K$5001,Base!$B$3:$B$5001,F$108,Base!$A$3:$A$5001,_xlfn.MAXIFS(Base!$A$3:$A$5001,Base!$B$3:$B$5001,F$108,Base!$A$3:$A$5001,"&gt;="&amp;$C$7,Base!$A$3:$A$5001,"&lt;="&amp;$B139,Base!$K$3:$K$5001,"&lt;&gt;"))))</f>
        <v/>
      </c>
      <c r="G139" s="149" t="str">
        <f>IF($A139&gt;$B$9,"",IF(COUNTIFS(Base!$B$3:$B$5001,G$108,Base!$A$3:$A$5001,"&gt;="&amp;$C$7,Base!$A$3:$A$5001,"&lt;="&amp;$B139,Base!$K$3:$K$5001,"&lt;&gt;")=0,"",SUMIFS(Base!$K$3:$K$5001,Base!$B$3:$B$5001,G$108,Base!$A$3:$A$5001,_xlfn.MAXIFS(Base!$A$3:$A$5001,Base!$B$3:$B$5001,G$108,Base!$A$3:$A$5001,"&gt;="&amp;$C$7,Base!$A$3:$A$5001,"&lt;="&amp;$B139,Base!$K$3:$K$5001,"&lt;&gt;"))))</f>
        <v/>
      </c>
    </row>
    <row r="140">
      <c r="A140" s="150" t="inlineStr">
        <is>
          <t xml:space="preserve">Mês anterior (último)</t>
        </is>
      </c>
      <c r="C140" s="151" t="str">
        <f>IF(COUNTIFS(Base!$B$3:$B$5001,C$108,Base!$A$3:$A$5001,"&gt;="&amp;$C$8,Base!$A$3:$A$5001,"&lt;="&amp;$D$8,Base!$K$3:$K$5001,"&lt;&gt;")=0,"",SUMIFS(Base!$K$3:$K$5001,Base!$B$3:$B$5001,C$108,Base!$A$3:$A$5001,_xlfn.MAXIFS(Base!$A$3:$A$5001,Base!$B$3:$B$5001,C$108,Base!$A$3:$A$5001,"&gt;="&amp;$C$8,Base!$A$3:$A$5001,"&lt;="&amp;$D$8,Base!$K$3:$K$5001,"&lt;&gt;")))</f>
        <v/>
      </c>
      <c r="D140" s="151" t="str">
        <f>IF(COUNTIFS(Base!$B$3:$B$5001,D$108,Base!$A$3:$A$5001,"&gt;="&amp;$C$8,Base!$A$3:$A$5001,"&lt;="&amp;$D$8,Base!$K$3:$K$5001,"&lt;&gt;")=0,"",SUMIFS(Base!$K$3:$K$5001,Base!$B$3:$B$5001,D$108,Base!$A$3:$A$5001,_xlfn.MAXIFS(Base!$A$3:$A$5001,Base!$B$3:$B$5001,D$108,Base!$A$3:$A$5001,"&gt;="&amp;$C$8,Base!$A$3:$A$5001,"&lt;="&amp;$D$8,Base!$K$3:$K$5001,"&lt;&gt;")))</f>
        <v/>
      </c>
      <c r="E140" s="151" t="str">
        <f>IF(COUNTIFS(Base!$B$3:$B$5001,E$108,Base!$A$3:$A$5001,"&gt;="&amp;$C$8,Base!$A$3:$A$5001,"&lt;="&amp;$D$8,Base!$K$3:$K$5001,"&lt;&gt;")=0,"",SUMIFS(Base!$K$3:$K$5001,Base!$B$3:$B$5001,E$108,Base!$A$3:$A$5001,_xlfn.MAXIFS(Base!$A$3:$A$5001,Base!$B$3:$B$5001,E$108,Base!$A$3:$A$5001,"&gt;="&amp;$C$8,Base!$A$3:$A$5001,"&lt;="&amp;$D$8,Base!$K$3:$K$5001,"&lt;&gt;")))</f>
        <v/>
      </c>
      <c r="F140" s="151" t="str">
        <f>IF(COUNTIFS(Base!$B$3:$B$5001,F$108,Base!$A$3:$A$5001,"&gt;="&amp;$C$8,Base!$A$3:$A$5001,"&lt;="&amp;$D$8,Base!$K$3:$K$5001,"&lt;&gt;")=0,"",SUMIFS(Base!$K$3:$K$5001,Base!$B$3:$B$5001,F$108,Base!$A$3:$A$5001,_xlfn.MAXIFS(Base!$A$3:$A$5001,Base!$B$3:$B$5001,F$108,Base!$A$3:$A$5001,"&gt;="&amp;$C$8,Base!$A$3:$A$5001,"&lt;="&amp;$D$8,Base!$K$3:$K$5001,"&lt;&gt;")))</f>
        <v/>
      </c>
      <c r="G140" s="151" t="str">
        <f>IF(COUNTIFS(Base!$B$3:$B$5001,G$108,Base!$A$3:$A$5001,"&gt;="&amp;$C$8,Base!$A$3:$A$5001,"&lt;="&amp;$D$8,Base!$K$3:$K$5001,"&lt;&gt;")=0,"",SUMIFS(Base!$K$3:$K$5001,Base!$B$3:$B$5001,G$108,Base!$A$3:$A$5001,_xlfn.MAXIFS(Base!$A$3:$A$5001,Base!$B$3:$B$5001,G$108,Base!$A$3:$A$5001,"&gt;="&amp;$C$8,Base!$A$3:$A$5001,"&lt;="&amp;$D$8,Base!$K$3:$K$5001,"&lt;&gt;")))</f>
        <v/>
      </c>
    </row>
    <row r="143">
      <c r="A143" s="145" t="inlineStr">
        <is>
          <t xml:space="preserve">Posições Ocupadas</t>
        </is>
      </c>
      <c r="B143" s="145" t="inlineStr">
        <is>
          <t xml:space="preserve">Data</t>
        </is>
      </c>
      <c r="C143" s="145" t="inlineStr">
        <is>
          <t xml:space="preserve">Barry Callebaut</t>
        </is>
      </c>
      <c r="D143" s="145" t="inlineStr">
        <is>
          <t xml:space="preserve">Gm</t>
        </is>
      </c>
      <c r="E143" s="145" t="inlineStr">
        <is>
          <t xml:space="preserve">Mondelez</t>
        </is>
      </c>
      <c r="F143" s="145" t="inlineStr">
        <is>
          <t xml:space="preserve">Nestlé</t>
        </is>
      </c>
      <c r="G143" s="145" t="inlineStr">
        <is>
          <t xml:space="preserve">PMB</t>
        </is>
      </c>
    </row>
    <row r="144">
      <c r="A144" s="147">
        <v>1</v>
      </c>
      <c r="B144" s="148">
        <f>$B$12</f>
        <v>46266</v>
      </c>
      <c r="C144" s="149">
        <f>IF($A144&gt;$B$9,"",IF(COUNTIFS(Base!$B$3:$B$5001,C$143,Base!$A$3:$A$5001,"&gt;="&amp;$C$7,Base!$A$3:$A$5001,"&lt;="&amp;$B144,Base!$M$3:$M$5001,"&lt;&gt;")=0,"",SUMIFS(Base!$M$3:$M$5001,Base!$B$3:$B$5001,C$143,Base!$A$3:$A$5001,_xlfn.MAXIFS(Base!$A$3:$A$5001,Base!$B$3:$B$5001,C$143,Base!$A$3:$A$5001,"&gt;="&amp;$C$7,Base!$A$3:$A$5001,"&lt;="&amp;$B144,Base!$M$3:$M$5001,"&lt;&gt;"))))</f>
        <v>1449</v>
      </c>
      <c r="D144" s="149">
        <f>IF($A144&gt;$B$9,"",IF(COUNTIFS(Base!$B$3:$B$5001,D$143,Base!$A$3:$A$5001,"&gt;="&amp;$C$7,Base!$A$3:$A$5001,"&lt;="&amp;$B144,Base!$M$3:$M$5001,"&lt;&gt;")=0,"",SUMIFS(Base!$M$3:$M$5001,Base!$B$3:$B$5001,D$143,Base!$A$3:$A$5001,_xlfn.MAXIFS(Base!$A$3:$A$5001,Base!$B$3:$B$5001,D$143,Base!$A$3:$A$5001,"&gt;="&amp;$C$7,Base!$A$3:$A$5001,"&lt;="&amp;$B144,Base!$M$3:$M$5001,"&lt;&gt;"))))</f>
        <v>517</v>
      </c>
      <c r="E144" s="149">
        <f>IF($A144&gt;$B$9,"",IF(COUNTIFS(Base!$B$3:$B$5001,E$143,Base!$A$3:$A$5001,"&gt;="&amp;$C$7,Base!$A$3:$A$5001,"&lt;="&amp;$B144,Base!$M$3:$M$5001,"&lt;&gt;")=0,"",SUMIFS(Base!$M$3:$M$5001,Base!$B$3:$B$5001,E$143,Base!$A$3:$A$5001,_xlfn.MAXIFS(Base!$A$3:$A$5001,Base!$B$3:$B$5001,E$143,Base!$A$3:$A$5001,"&gt;="&amp;$C$7,Base!$A$3:$A$5001,"&lt;="&amp;$B144,Base!$M$3:$M$5001,"&lt;&gt;"))))</f>
        <v>182</v>
      </c>
      <c r="F144" s="149">
        <f>IF($A144&gt;$B$9,"",IF(COUNTIFS(Base!$B$3:$B$5001,F$143,Base!$A$3:$A$5001,"&gt;="&amp;$C$7,Base!$A$3:$A$5001,"&lt;="&amp;$B144,Base!$M$3:$M$5001,"&lt;&gt;")=0,"",SUMIFS(Base!$M$3:$M$5001,Base!$B$3:$B$5001,F$143,Base!$A$3:$A$5001,_xlfn.MAXIFS(Base!$A$3:$A$5001,Base!$B$3:$B$5001,F$143,Base!$A$3:$A$5001,"&gt;="&amp;$C$7,Base!$A$3:$A$5001,"&lt;="&amp;$B144,Base!$M$3:$M$5001,"&lt;&gt;"))))</f>
        <v>1284</v>
      </c>
      <c r="G144" s="149">
        <f>IF($A144&gt;$B$9,"",IF(COUNTIFS(Base!$B$3:$B$5001,G$143,Base!$A$3:$A$5001,"&gt;="&amp;$C$7,Base!$A$3:$A$5001,"&lt;="&amp;$B144,Base!$M$3:$M$5001,"&lt;&gt;")=0,"",SUMIFS(Base!$M$3:$M$5001,Base!$B$3:$B$5001,G$143,Base!$A$3:$A$5001,_xlfn.MAXIFS(Base!$A$3:$A$5001,Base!$B$3:$B$5001,G$143,Base!$A$3:$A$5001,"&gt;="&amp;$C$7,Base!$A$3:$A$5001,"&lt;="&amp;$B144,Base!$M$3:$M$5001,"&lt;&gt;"))))</f>
        <v>286</v>
      </c>
    </row>
    <row r="145">
      <c r="A145" s="147">
        <v>2</v>
      </c>
      <c r="B145" s="148">
        <f>$B$13</f>
        <v>46267</v>
      </c>
      <c r="C145" s="149">
        <f>IF($A145&gt;$B$9,"",IF(COUNTIFS(Base!$B$3:$B$5001,C$143,Base!$A$3:$A$5001,"&gt;="&amp;$C$7,Base!$A$3:$A$5001,"&lt;="&amp;$B145,Base!$M$3:$M$5001,"&lt;&gt;")=0,"",SUMIFS(Base!$M$3:$M$5001,Base!$B$3:$B$5001,C$143,Base!$A$3:$A$5001,_xlfn.MAXIFS(Base!$A$3:$A$5001,Base!$B$3:$B$5001,C$143,Base!$A$3:$A$5001,"&gt;="&amp;$C$7,Base!$A$3:$A$5001,"&lt;="&amp;$B145,Base!$M$3:$M$5001,"&lt;&gt;"))))</f>
        <v>1000</v>
      </c>
      <c r="D145" s="149">
        <f>IF($A145&gt;$B$9,"",IF(COUNTIFS(Base!$B$3:$B$5001,D$143,Base!$A$3:$A$5001,"&gt;="&amp;$C$7,Base!$A$3:$A$5001,"&lt;="&amp;$B145,Base!$M$3:$M$5001,"&lt;&gt;")=0,"",SUMIFS(Base!$M$3:$M$5001,Base!$B$3:$B$5001,D$143,Base!$A$3:$A$5001,_xlfn.MAXIFS(Base!$A$3:$A$5001,Base!$B$3:$B$5001,D$143,Base!$A$3:$A$5001,"&gt;="&amp;$C$7,Base!$A$3:$A$5001,"&lt;="&amp;$B145,Base!$M$3:$M$5001,"&lt;&gt;"))))</f>
        <v>633</v>
      </c>
      <c r="E145" s="149">
        <f>IF($A145&gt;$B$9,"",IF(COUNTIFS(Base!$B$3:$B$5001,E$143,Base!$A$3:$A$5001,"&gt;="&amp;$C$7,Base!$A$3:$A$5001,"&lt;="&amp;$B145,Base!$M$3:$M$5001,"&lt;&gt;")=0,"",SUMIFS(Base!$M$3:$M$5001,Base!$B$3:$B$5001,E$143,Base!$A$3:$A$5001,_xlfn.MAXIFS(Base!$A$3:$A$5001,Base!$B$3:$B$5001,E$143,Base!$A$3:$A$5001,"&gt;="&amp;$C$7,Base!$A$3:$A$5001,"&lt;="&amp;$B145,Base!$M$3:$M$5001,"&lt;&gt;"))))</f>
        <v>277</v>
      </c>
      <c r="F145" s="149">
        <f>IF($A145&gt;$B$9,"",IF(COUNTIFS(Base!$B$3:$B$5001,F$143,Base!$A$3:$A$5001,"&gt;="&amp;$C$7,Base!$A$3:$A$5001,"&lt;="&amp;$B145,Base!$M$3:$M$5001,"&lt;&gt;")=0,"",SUMIFS(Base!$M$3:$M$5001,Base!$B$3:$B$5001,F$143,Base!$A$3:$A$5001,_xlfn.MAXIFS(Base!$A$3:$A$5001,Base!$B$3:$B$5001,F$143,Base!$A$3:$A$5001,"&gt;="&amp;$C$7,Base!$A$3:$A$5001,"&lt;="&amp;$B145,Base!$M$3:$M$5001,"&lt;&gt;"))))</f>
        <v>1076</v>
      </c>
      <c r="G145" s="149">
        <f>IF($A145&gt;$B$9,"",IF(COUNTIFS(Base!$B$3:$B$5001,G$143,Base!$A$3:$A$5001,"&gt;="&amp;$C$7,Base!$A$3:$A$5001,"&lt;="&amp;$B145,Base!$M$3:$M$5001,"&lt;&gt;")=0,"",SUMIFS(Base!$M$3:$M$5001,Base!$B$3:$B$5001,G$143,Base!$A$3:$A$5001,_xlfn.MAXIFS(Base!$A$3:$A$5001,Base!$B$3:$B$5001,G$143,Base!$A$3:$A$5001,"&gt;="&amp;$C$7,Base!$A$3:$A$5001,"&lt;="&amp;$B145,Base!$M$3:$M$5001,"&lt;&gt;"))))</f>
        <v>247</v>
      </c>
    </row>
    <row r="146">
      <c r="A146" s="147">
        <v>3</v>
      </c>
      <c r="B146" s="148">
        <f>$B$14</f>
        <v>46268</v>
      </c>
      <c r="C146" s="149">
        <f>IF($A146&gt;$B$9,"",IF(COUNTIFS(Base!$B$3:$B$5001,C$143,Base!$A$3:$A$5001,"&gt;="&amp;$C$7,Base!$A$3:$A$5001,"&lt;="&amp;$B146,Base!$M$3:$M$5001,"&lt;&gt;")=0,"",SUMIFS(Base!$M$3:$M$5001,Base!$B$3:$B$5001,C$143,Base!$A$3:$A$5001,_xlfn.MAXIFS(Base!$A$3:$A$5001,Base!$B$3:$B$5001,C$143,Base!$A$3:$A$5001,"&gt;="&amp;$C$7,Base!$A$3:$A$5001,"&lt;="&amp;$B146,Base!$M$3:$M$5001,"&lt;&gt;"))))</f>
        <v>1861</v>
      </c>
      <c r="D146" s="149">
        <f>IF($A146&gt;$B$9,"",IF(COUNTIFS(Base!$B$3:$B$5001,D$143,Base!$A$3:$A$5001,"&gt;="&amp;$C$7,Base!$A$3:$A$5001,"&lt;="&amp;$B146,Base!$M$3:$M$5001,"&lt;&gt;")=0,"",SUMIFS(Base!$M$3:$M$5001,Base!$B$3:$B$5001,D$143,Base!$A$3:$A$5001,_xlfn.MAXIFS(Base!$A$3:$A$5001,Base!$B$3:$B$5001,D$143,Base!$A$3:$A$5001,"&gt;="&amp;$C$7,Base!$A$3:$A$5001,"&lt;="&amp;$B146,Base!$M$3:$M$5001,"&lt;&gt;"))))</f>
        <v>598</v>
      </c>
      <c r="E146" s="149">
        <f>IF($A146&gt;$B$9,"",IF(COUNTIFS(Base!$B$3:$B$5001,E$143,Base!$A$3:$A$5001,"&gt;="&amp;$C$7,Base!$A$3:$A$5001,"&lt;="&amp;$B146,Base!$M$3:$M$5001,"&lt;&gt;")=0,"",SUMIFS(Base!$M$3:$M$5001,Base!$B$3:$B$5001,E$143,Base!$A$3:$A$5001,_xlfn.MAXIFS(Base!$A$3:$A$5001,Base!$B$3:$B$5001,E$143,Base!$A$3:$A$5001,"&gt;="&amp;$C$7,Base!$A$3:$A$5001,"&lt;="&amp;$B146,Base!$M$3:$M$5001,"&lt;&gt;"))))</f>
        <v>219</v>
      </c>
      <c r="F146" s="149">
        <f>IF($A146&gt;$B$9,"",IF(COUNTIFS(Base!$B$3:$B$5001,F$143,Base!$A$3:$A$5001,"&gt;="&amp;$C$7,Base!$A$3:$A$5001,"&lt;="&amp;$B146,Base!$M$3:$M$5001,"&lt;&gt;")=0,"",SUMIFS(Base!$M$3:$M$5001,Base!$B$3:$B$5001,F$143,Base!$A$3:$A$5001,_xlfn.MAXIFS(Base!$A$3:$A$5001,Base!$B$3:$B$5001,F$143,Base!$A$3:$A$5001,"&gt;="&amp;$C$7,Base!$A$3:$A$5001,"&lt;="&amp;$B146,Base!$M$3:$M$5001,"&lt;&gt;"))))</f>
        <v>1104</v>
      </c>
      <c r="G146" s="149">
        <f>IF($A146&gt;$B$9,"",IF(COUNTIFS(Base!$B$3:$B$5001,G$143,Base!$A$3:$A$5001,"&gt;="&amp;$C$7,Base!$A$3:$A$5001,"&lt;="&amp;$B146,Base!$M$3:$M$5001,"&lt;&gt;")=0,"",SUMIFS(Base!$M$3:$M$5001,Base!$B$3:$B$5001,G$143,Base!$A$3:$A$5001,_xlfn.MAXIFS(Base!$A$3:$A$5001,Base!$B$3:$B$5001,G$143,Base!$A$3:$A$5001,"&gt;="&amp;$C$7,Base!$A$3:$A$5001,"&lt;="&amp;$B146,Base!$M$3:$M$5001,"&lt;&gt;"))))</f>
        <v>186</v>
      </c>
    </row>
    <row r="147">
      <c r="A147" s="147">
        <v>4</v>
      </c>
      <c r="B147" s="148">
        <f>$B$15</f>
        <v>46269</v>
      </c>
      <c r="C147" s="149">
        <f>IF($A147&gt;$B$9,"",IF(COUNTIFS(Base!$B$3:$B$5001,C$143,Base!$A$3:$A$5001,"&gt;="&amp;$C$7,Base!$A$3:$A$5001,"&lt;="&amp;$B147,Base!$M$3:$M$5001,"&lt;&gt;")=0,"",SUMIFS(Base!$M$3:$M$5001,Base!$B$3:$B$5001,C$143,Base!$A$3:$A$5001,_xlfn.MAXIFS(Base!$A$3:$A$5001,Base!$B$3:$B$5001,C$143,Base!$A$3:$A$5001,"&gt;="&amp;$C$7,Base!$A$3:$A$5001,"&lt;="&amp;$B147,Base!$M$3:$M$5001,"&lt;&gt;"))))</f>
        <v>1256</v>
      </c>
      <c r="D147" s="149">
        <f>IF($A147&gt;$B$9,"",IF(COUNTIFS(Base!$B$3:$B$5001,D$143,Base!$A$3:$A$5001,"&gt;="&amp;$C$7,Base!$A$3:$A$5001,"&lt;="&amp;$B147,Base!$M$3:$M$5001,"&lt;&gt;")=0,"",SUMIFS(Base!$M$3:$M$5001,Base!$B$3:$B$5001,D$143,Base!$A$3:$A$5001,_xlfn.MAXIFS(Base!$A$3:$A$5001,Base!$B$3:$B$5001,D$143,Base!$A$3:$A$5001,"&gt;="&amp;$C$7,Base!$A$3:$A$5001,"&lt;="&amp;$B147,Base!$M$3:$M$5001,"&lt;&gt;"))))</f>
        <v>617</v>
      </c>
      <c r="E147" s="149">
        <f>IF($A147&gt;$B$9,"",IF(COUNTIFS(Base!$B$3:$B$5001,E$143,Base!$A$3:$A$5001,"&gt;="&amp;$C$7,Base!$A$3:$A$5001,"&lt;="&amp;$B147,Base!$M$3:$M$5001,"&lt;&gt;")=0,"",SUMIFS(Base!$M$3:$M$5001,Base!$B$3:$B$5001,E$143,Base!$A$3:$A$5001,_xlfn.MAXIFS(Base!$A$3:$A$5001,Base!$B$3:$B$5001,E$143,Base!$A$3:$A$5001,"&gt;="&amp;$C$7,Base!$A$3:$A$5001,"&lt;="&amp;$B147,Base!$M$3:$M$5001,"&lt;&gt;"))))</f>
        <v>154</v>
      </c>
      <c r="F147" s="149">
        <f>IF($A147&gt;$B$9,"",IF(COUNTIFS(Base!$B$3:$B$5001,F$143,Base!$A$3:$A$5001,"&gt;="&amp;$C$7,Base!$A$3:$A$5001,"&lt;="&amp;$B147,Base!$M$3:$M$5001,"&lt;&gt;")=0,"",SUMIFS(Base!$M$3:$M$5001,Base!$B$3:$B$5001,F$143,Base!$A$3:$A$5001,_xlfn.MAXIFS(Base!$A$3:$A$5001,Base!$B$3:$B$5001,F$143,Base!$A$3:$A$5001,"&gt;="&amp;$C$7,Base!$A$3:$A$5001,"&lt;="&amp;$B147,Base!$M$3:$M$5001,"&lt;&gt;"))))</f>
        <v>804</v>
      </c>
      <c r="G147" s="149">
        <f>IF($A147&gt;$B$9,"",IF(COUNTIFS(Base!$B$3:$B$5001,G$143,Base!$A$3:$A$5001,"&gt;="&amp;$C$7,Base!$A$3:$A$5001,"&lt;="&amp;$B147,Base!$M$3:$M$5001,"&lt;&gt;")=0,"",SUMIFS(Base!$M$3:$M$5001,Base!$B$3:$B$5001,G$143,Base!$A$3:$A$5001,_xlfn.MAXIFS(Base!$A$3:$A$5001,Base!$B$3:$B$5001,G$143,Base!$A$3:$A$5001,"&gt;="&amp;$C$7,Base!$A$3:$A$5001,"&lt;="&amp;$B147,Base!$M$3:$M$5001,"&lt;&gt;"))))</f>
        <v>251</v>
      </c>
    </row>
    <row r="148">
      <c r="A148" s="147">
        <v>5</v>
      </c>
      <c r="B148" s="148">
        <f>$B$16</f>
        <v>46270</v>
      </c>
      <c r="C148" s="149">
        <f>IF($A148&gt;$B$9,"",IF(COUNTIFS(Base!$B$3:$B$5001,C$143,Base!$A$3:$A$5001,"&gt;="&amp;$C$7,Base!$A$3:$A$5001,"&lt;="&amp;$B148,Base!$M$3:$M$5001,"&lt;&gt;")=0,"",SUMIFS(Base!$M$3:$M$5001,Base!$B$3:$B$5001,C$143,Base!$A$3:$A$5001,_xlfn.MAXIFS(Base!$A$3:$A$5001,Base!$B$3:$B$5001,C$143,Base!$A$3:$A$5001,"&gt;="&amp;$C$7,Base!$A$3:$A$5001,"&lt;="&amp;$B148,Base!$M$3:$M$5001,"&lt;&gt;"))))</f>
        <v>1309</v>
      </c>
      <c r="D148" s="149">
        <f>IF($A148&gt;$B$9,"",IF(COUNTIFS(Base!$B$3:$B$5001,D$143,Base!$A$3:$A$5001,"&gt;="&amp;$C$7,Base!$A$3:$A$5001,"&lt;="&amp;$B148,Base!$M$3:$M$5001,"&lt;&gt;")=0,"",SUMIFS(Base!$M$3:$M$5001,Base!$B$3:$B$5001,D$143,Base!$A$3:$A$5001,_xlfn.MAXIFS(Base!$A$3:$A$5001,Base!$B$3:$B$5001,D$143,Base!$A$3:$A$5001,"&gt;="&amp;$C$7,Base!$A$3:$A$5001,"&lt;="&amp;$B148,Base!$M$3:$M$5001,"&lt;&gt;"))))</f>
        <v>617</v>
      </c>
      <c r="E148" s="149">
        <f>IF($A148&gt;$B$9,"",IF(COUNTIFS(Base!$B$3:$B$5001,E$143,Base!$A$3:$A$5001,"&gt;="&amp;$C$7,Base!$A$3:$A$5001,"&lt;="&amp;$B148,Base!$M$3:$M$5001,"&lt;&gt;")=0,"",SUMIFS(Base!$M$3:$M$5001,Base!$B$3:$B$5001,E$143,Base!$A$3:$A$5001,_xlfn.MAXIFS(Base!$A$3:$A$5001,Base!$B$3:$B$5001,E$143,Base!$A$3:$A$5001,"&gt;="&amp;$C$7,Base!$A$3:$A$5001,"&lt;="&amp;$B148,Base!$M$3:$M$5001,"&lt;&gt;"))))</f>
        <v>202</v>
      </c>
      <c r="F148" s="149">
        <f>IF($A148&gt;$B$9,"",IF(COUNTIFS(Base!$B$3:$B$5001,F$143,Base!$A$3:$A$5001,"&gt;="&amp;$C$7,Base!$A$3:$A$5001,"&lt;="&amp;$B148,Base!$M$3:$M$5001,"&lt;&gt;")=0,"",SUMIFS(Base!$M$3:$M$5001,Base!$B$3:$B$5001,F$143,Base!$A$3:$A$5001,_xlfn.MAXIFS(Base!$A$3:$A$5001,Base!$B$3:$B$5001,F$143,Base!$A$3:$A$5001,"&gt;="&amp;$C$7,Base!$A$3:$A$5001,"&lt;="&amp;$B148,Base!$M$3:$M$5001,"&lt;&gt;"))))</f>
        <v>887</v>
      </c>
      <c r="G148" s="149">
        <f>IF($A148&gt;$B$9,"",IF(COUNTIFS(Base!$B$3:$B$5001,G$143,Base!$A$3:$A$5001,"&gt;="&amp;$C$7,Base!$A$3:$A$5001,"&lt;="&amp;$B148,Base!$M$3:$M$5001,"&lt;&gt;")=0,"",SUMIFS(Base!$M$3:$M$5001,Base!$B$3:$B$5001,G$143,Base!$A$3:$A$5001,_xlfn.MAXIFS(Base!$A$3:$A$5001,Base!$B$3:$B$5001,G$143,Base!$A$3:$A$5001,"&gt;="&amp;$C$7,Base!$A$3:$A$5001,"&lt;="&amp;$B148,Base!$M$3:$M$5001,"&lt;&gt;"))))</f>
        <v>251</v>
      </c>
    </row>
    <row r="149">
      <c r="A149" s="147">
        <v>6</v>
      </c>
      <c r="B149" s="148">
        <f>$B$17</f>
        <v>46271</v>
      </c>
      <c r="C149" s="149">
        <f>IF($A149&gt;$B$9,"",IF(COUNTIFS(Base!$B$3:$B$5001,C$143,Base!$A$3:$A$5001,"&gt;="&amp;$C$7,Base!$A$3:$A$5001,"&lt;="&amp;$B149,Base!$M$3:$M$5001,"&lt;&gt;")=0,"",SUMIFS(Base!$M$3:$M$5001,Base!$B$3:$B$5001,C$143,Base!$A$3:$A$5001,_xlfn.MAXIFS(Base!$A$3:$A$5001,Base!$B$3:$B$5001,C$143,Base!$A$3:$A$5001,"&gt;="&amp;$C$7,Base!$A$3:$A$5001,"&lt;="&amp;$B149,Base!$M$3:$M$5001,"&lt;&gt;"))))</f>
        <v>1309</v>
      </c>
      <c r="D149" s="149">
        <f>IF($A149&gt;$B$9,"",IF(COUNTIFS(Base!$B$3:$B$5001,D$143,Base!$A$3:$A$5001,"&gt;="&amp;$C$7,Base!$A$3:$A$5001,"&lt;="&amp;$B149,Base!$M$3:$M$5001,"&lt;&gt;")=0,"",SUMIFS(Base!$M$3:$M$5001,Base!$B$3:$B$5001,D$143,Base!$A$3:$A$5001,_xlfn.MAXIFS(Base!$A$3:$A$5001,Base!$B$3:$B$5001,D$143,Base!$A$3:$A$5001,"&gt;="&amp;$C$7,Base!$A$3:$A$5001,"&lt;="&amp;$B149,Base!$M$3:$M$5001,"&lt;&gt;"))))</f>
        <v>617</v>
      </c>
      <c r="E149" s="149">
        <f>IF($A149&gt;$B$9,"",IF(COUNTIFS(Base!$B$3:$B$5001,E$143,Base!$A$3:$A$5001,"&gt;="&amp;$C$7,Base!$A$3:$A$5001,"&lt;="&amp;$B149,Base!$M$3:$M$5001,"&lt;&gt;")=0,"",SUMIFS(Base!$M$3:$M$5001,Base!$B$3:$B$5001,E$143,Base!$A$3:$A$5001,_xlfn.MAXIFS(Base!$A$3:$A$5001,Base!$B$3:$B$5001,E$143,Base!$A$3:$A$5001,"&gt;="&amp;$C$7,Base!$A$3:$A$5001,"&lt;="&amp;$B149,Base!$M$3:$M$5001,"&lt;&gt;"))))</f>
        <v>363</v>
      </c>
      <c r="F149" s="149">
        <f>IF($A149&gt;$B$9,"",IF(COUNTIFS(Base!$B$3:$B$5001,F$143,Base!$A$3:$A$5001,"&gt;="&amp;$C$7,Base!$A$3:$A$5001,"&lt;="&amp;$B149,Base!$M$3:$M$5001,"&lt;&gt;")=0,"",SUMIFS(Base!$M$3:$M$5001,Base!$B$3:$B$5001,F$143,Base!$A$3:$A$5001,_xlfn.MAXIFS(Base!$A$3:$A$5001,Base!$B$3:$B$5001,F$143,Base!$A$3:$A$5001,"&gt;="&amp;$C$7,Base!$A$3:$A$5001,"&lt;="&amp;$B149,Base!$M$3:$M$5001,"&lt;&gt;"))))</f>
        <v>887</v>
      </c>
      <c r="G149" s="149">
        <f>IF($A149&gt;$B$9,"",IF(COUNTIFS(Base!$B$3:$B$5001,G$143,Base!$A$3:$A$5001,"&gt;="&amp;$C$7,Base!$A$3:$A$5001,"&lt;="&amp;$B149,Base!$M$3:$M$5001,"&lt;&gt;")=0,"",SUMIFS(Base!$M$3:$M$5001,Base!$B$3:$B$5001,G$143,Base!$A$3:$A$5001,_xlfn.MAXIFS(Base!$A$3:$A$5001,Base!$B$3:$B$5001,G$143,Base!$A$3:$A$5001,"&gt;="&amp;$C$7,Base!$A$3:$A$5001,"&lt;="&amp;$B149,Base!$M$3:$M$5001,"&lt;&gt;"))))</f>
        <v>280</v>
      </c>
    </row>
    <row r="150">
      <c r="A150" s="147">
        <v>7</v>
      </c>
      <c r="B150" s="148">
        <f>$B$18</f>
        <v>46272</v>
      </c>
      <c r="C150" s="149">
        <f>IF($A150&gt;$B$9,"",IF(COUNTIFS(Base!$B$3:$B$5001,C$143,Base!$A$3:$A$5001,"&gt;="&amp;$C$7,Base!$A$3:$A$5001,"&lt;="&amp;$B150,Base!$M$3:$M$5001,"&lt;&gt;")=0,"",SUMIFS(Base!$M$3:$M$5001,Base!$B$3:$B$5001,C$143,Base!$A$3:$A$5001,_xlfn.MAXIFS(Base!$A$3:$A$5001,Base!$B$3:$B$5001,C$143,Base!$A$3:$A$5001,"&gt;="&amp;$C$7,Base!$A$3:$A$5001,"&lt;="&amp;$B150,Base!$M$3:$M$5001,"&lt;&gt;"))))</f>
        <v>1068</v>
      </c>
      <c r="D150" s="149">
        <f>IF($A150&gt;$B$9,"",IF(COUNTIFS(Base!$B$3:$B$5001,D$143,Base!$A$3:$A$5001,"&gt;="&amp;$C$7,Base!$A$3:$A$5001,"&lt;="&amp;$B150,Base!$M$3:$M$5001,"&lt;&gt;")=0,"",SUMIFS(Base!$M$3:$M$5001,Base!$B$3:$B$5001,D$143,Base!$A$3:$A$5001,_xlfn.MAXIFS(Base!$A$3:$A$5001,Base!$B$3:$B$5001,D$143,Base!$A$3:$A$5001,"&gt;="&amp;$C$7,Base!$A$3:$A$5001,"&lt;="&amp;$B150,Base!$M$3:$M$5001,"&lt;&gt;"))))</f>
        <v>666</v>
      </c>
      <c r="E150" s="149">
        <f>IF($A150&gt;$B$9,"",IF(COUNTIFS(Base!$B$3:$B$5001,E$143,Base!$A$3:$A$5001,"&gt;="&amp;$C$7,Base!$A$3:$A$5001,"&lt;="&amp;$B150,Base!$M$3:$M$5001,"&lt;&gt;")=0,"",SUMIFS(Base!$M$3:$M$5001,Base!$B$3:$B$5001,E$143,Base!$A$3:$A$5001,_xlfn.MAXIFS(Base!$A$3:$A$5001,Base!$B$3:$B$5001,E$143,Base!$A$3:$A$5001,"&gt;="&amp;$C$7,Base!$A$3:$A$5001,"&lt;="&amp;$B150,Base!$M$3:$M$5001,"&lt;&gt;"))))</f>
        <v>217</v>
      </c>
      <c r="F150" s="149">
        <f>IF($A150&gt;$B$9,"",IF(COUNTIFS(Base!$B$3:$B$5001,F$143,Base!$A$3:$A$5001,"&gt;="&amp;$C$7,Base!$A$3:$A$5001,"&lt;="&amp;$B150,Base!$M$3:$M$5001,"&lt;&gt;")=0,"",SUMIFS(Base!$M$3:$M$5001,Base!$B$3:$B$5001,F$143,Base!$A$3:$A$5001,_xlfn.MAXIFS(Base!$A$3:$A$5001,Base!$B$3:$B$5001,F$143,Base!$A$3:$A$5001,"&gt;="&amp;$C$7,Base!$A$3:$A$5001,"&lt;="&amp;$B150,Base!$M$3:$M$5001,"&lt;&gt;"))))</f>
        <v>931</v>
      </c>
      <c r="G150" s="149">
        <f>IF($A150&gt;$B$9,"",IF(COUNTIFS(Base!$B$3:$B$5001,G$143,Base!$A$3:$A$5001,"&gt;="&amp;$C$7,Base!$A$3:$A$5001,"&lt;="&amp;$B150,Base!$M$3:$M$5001,"&lt;&gt;")=0,"",SUMIFS(Base!$M$3:$M$5001,Base!$B$3:$B$5001,G$143,Base!$A$3:$A$5001,_xlfn.MAXIFS(Base!$A$3:$A$5001,Base!$B$3:$B$5001,G$143,Base!$A$3:$A$5001,"&gt;="&amp;$C$7,Base!$A$3:$A$5001,"&lt;="&amp;$B150,Base!$M$3:$M$5001,"&lt;&gt;"))))</f>
        <v>345</v>
      </c>
    </row>
    <row r="151">
      <c r="A151" s="147">
        <v>8</v>
      </c>
      <c r="B151" s="148">
        <f>$B$19</f>
        <v>46273</v>
      </c>
      <c r="C151" s="149">
        <f>IF($A151&gt;$B$9,"",IF(COUNTIFS(Base!$B$3:$B$5001,C$143,Base!$A$3:$A$5001,"&gt;="&amp;$C$7,Base!$A$3:$A$5001,"&lt;="&amp;$B151,Base!$M$3:$M$5001,"&lt;&gt;")=0,"",SUMIFS(Base!$M$3:$M$5001,Base!$B$3:$B$5001,C$143,Base!$A$3:$A$5001,_xlfn.MAXIFS(Base!$A$3:$A$5001,Base!$B$3:$B$5001,C$143,Base!$A$3:$A$5001,"&gt;="&amp;$C$7,Base!$A$3:$A$5001,"&lt;="&amp;$B151,Base!$M$3:$M$5001,"&lt;&gt;"))))</f>
        <v>1571</v>
      </c>
      <c r="D151" s="149">
        <f>IF($A151&gt;$B$9,"",IF(COUNTIFS(Base!$B$3:$B$5001,D$143,Base!$A$3:$A$5001,"&gt;="&amp;$C$7,Base!$A$3:$A$5001,"&lt;="&amp;$B151,Base!$M$3:$M$5001,"&lt;&gt;")=0,"",SUMIFS(Base!$M$3:$M$5001,Base!$B$3:$B$5001,D$143,Base!$A$3:$A$5001,_xlfn.MAXIFS(Base!$A$3:$A$5001,Base!$B$3:$B$5001,D$143,Base!$A$3:$A$5001,"&gt;="&amp;$C$7,Base!$A$3:$A$5001,"&lt;="&amp;$B151,Base!$M$3:$M$5001,"&lt;&gt;"))))</f>
        <v>503</v>
      </c>
      <c r="E151" s="149">
        <f>IF($A151&gt;$B$9,"",IF(COUNTIFS(Base!$B$3:$B$5001,E$143,Base!$A$3:$A$5001,"&gt;="&amp;$C$7,Base!$A$3:$A$5001,"&lt;="&amp;$B151,Base!$M$3:$M$5001,"&lt;&gt;")=0,"",SUMIFS(Base!$M$3:$M$5001,Base!$B$3:$B$5001,E$143,Base!$A$3:$A$5001,_xlfn.MAXIFS(Base!$A$3:$A$5001,Base!$B$3:$B$5001,E$143,Base!$A$3:$A$5001,"&gt;="&amp;$C$7,Base!$A$3:$A$5001,"&lt;="&amp;$B151,Base!$M$3:$M$5001,"&lt;&gt;"))))</f>
        <v>252</v>
      </c>
      <c r="F151" s="149">
        <f>IF($A151&gt;$B$9,"",IF(COUNTIFS(Base!$B$3:$B$5001,F$143,Base!$A$3:$A$5001,"&gt;="&amp;$C$7,Base!$A$3:$A$5001,"&lt;="&amp;$B151,Base!$M$3:$M$5001,"&lt;&gt;")=0,"",SUMIFS(Base!$M$3:$M$5001,Base!$B$3:$B$5001,F$143,Base!$A$3:$A$5001,_xlfn.MAXIFS(Base!$A$3:$A$5001,Base!$B$3:$B$5001,F$143,Base!$A$3:$A$5001,"&gt;="&amp;$C$7,Base!$A$3:$A$5001,"&lt;="&amp;$B151,Base!$M$3:$M$5001,"&lt;&gt;"))))</f>
        <v>856</v>
      </c>
      <c r="G151" s="149">
        <f>IF($A151&gt;$B$9,"",IF(COUNTIFS(Base!$B$3:$B$5001,G$143,Base!$A$3:$A$5001,"&gt;="&amp;$C$7,Base!$A$3:$A$5001,"&lt;="&amp;$B151,Base!$M$3:$M$5001,"&lt;&gt;")=0,"",SUMIFS(Base!$M$3:$M$5001,Base!$B$3:$B$5001,G$143,Base!$A$3:$A$5001,_xlfn.MAXIFS(Base!$A$3:$A$5001,Base!$B$3:$B$5001,G$143,Base!$A$3:$A$5001,"&gt;="&amp;$C$7,Base!$A$3:$A$5001,"&lt;="&amp;$B151,Base!$M$3:$M$5001,"&lt;&gt;"))))</f>
        <v>171</v>
      </c>
    </row>
    <row r="152">
      <c r="A152" s="147">
        <v>9</v>
      </c>
      <c r="B152" s="148">
        <f>$B$20</f>
        <v>46274</v>
      </c>
      <c r="C152" s="149">
        <f>IF($A152&gt;$B$9,"",IF(COUNTIFS(Base!$B$3:$B$5001,C$143,Base!$A$3:$A$5001,"&gt;="&amp;$C$7,Base!$A$3:$A$5001,"&lt;="&amp;$B152,Base!$M$3:$M$5001,"&lt;&gt;")=0,"",SUMIFS(Base!$M$3:$M$5001,Base!$B$3:$B$5001,C$143,Base!$A$3:$A$5001,_xlfn.MAXIFS(Base!$A$3:$A$5001,Base!$B$3:$B$5001,C$143,Base!$A$3:$A$5001,"&gt;="&amp;$C$7,Base!$A$3:$A$5001,"&lt;="&amp;$B152,Base!$M$3:$M$5001,"&lt;&gt;"))))</f>
        <v>1336</v>
      </c>
      <c r="D152" s="149">
        <f>IF($A152&gt;$B$9,"",IF(COUNTIFS(Base!$B$3:$B$5001,D$143,Base!$A$3:$A$5001,"&gt;="&amp;$C$7,Base!$A$3:$A$5001,"&lt;="&amp;$B152,Base!$M$3:$M$5001,"&lt;&gt;")=0,"",SUMIFS(Base!$M$3:$M$5001,Base!$B$3:$B$5001,D$143,Base!$A$3:$A$5001,_xlfn.MAXIFS(Base!$A$3:$A$5001,Base!$B$3:$B$5001,D$143,Base!$A$3:$A$5001,"&gt;="&amp;$C$7,Base!$A$3:$A$5001,"&lt;="&amp;$B152,Base!$M$3:$M$5001,"&lt;&gt;"))))</f>
        <v>669</v>
      </c>
      <c r="E152" s="149">
        <f>IF($A152&gt;$B$9,"",IF(COUNTIFS(Base!$B$3:$B$5001,E$143,Base!$A$3:$A$5001,"&gt;="&amp;$C$7,Base!$A$3:$A$5001,"&lt;="&amp;$B152,Base!$M$3:$M$5001,"&lt;&gt;")=0,"",SUMIFS(Base!$M$3:$M$5001,Base!$B$3:$B$5001,E$143,Base!$A$3:$A$5001,_xlfn.MAXIFS(Base!$A$3:$A$5001,Base!$B$3:$B$5001,E$143,Base!$A$3:$A$5001,"&gt;="&amp;$C$7,Base!$A$3:$A$5001,"&lt;="&amp;$B152,Base!$M$3:$M$5001,"&lt;&gt;"))))</f>
        <v>148</v>
      </c>
      <c r="F152" s="149">
        <f>IF($A152&gt;$B$9,"",IF(COUNTIFS(Base!$B$3:$B$5001,F$143,Base!$A$3:$A$5001,"&gt;="&amp;$C$7,Base!$A$3:$A$5001,"&lt;="&amp;$B152,Base!$M$3:$M$5001,"&lt;&gt;")=0,"",SUMIFS(Base!$M$3:$M$5001,Base!$B$3:$B$5001,F$143,Base!$A$3:$A$5001,_xlfn.MAXIFS(Base!$A$3:$A$5001,Base!$B$3:$B$5001,F$143,Base!$A$3:$A$5001,"&gt;="&amp;$C$7,Base!$A$3:$A$5001,"&lt;="&amp;$B152,Base!$M$3:$M$5001,"&lt;&gt;"))))</f>
        <v>746</v>
      </c>
      <c r="G152" s="149">
        <f>IF($A152&gt;$B$9,"",IF(COUNTIFS(Base!$B$3:$B$5001,G$143,Base!$A$3:$A$5001,"&gt;="&amp;$C$7,Base!$A$3:$A$5001,"&lt;="&amp;$B152,Base!$M$3:$M$5001,"&lt;&gt;")=0,"",SUMIFS(Base!$M$3:$M$5001,Base!$B$3:$B$5001,G$143,Base!$A$3:$A$5001,_xlfn.MAXIFS(Base!$A$3:$A$5001,Base!$B$3:$B$5001,G$143,Base!$A$3:$A$5001,"&gt;="&amp;$C$7,Base!$A$3:$A$5001,"&lt;="&amp;$B152,Base!$M$3:$M$5001,"&lt;&gt;"))))</f>
        <v>126</v>
      </c>
    </row>
    <row r="153">
      <c r="A153" s="147">
        <v>10</v>
      </c>
      <c r="B153" s="148">
        <f>$B$21</f>
        <v>46275</v>
      </c>
      <c r="C153" s="149">
        <f>IF($A153&gt;$B$9,"",IF(COUNTIFS(Base!$B$3:$B$5001,C$143,Base!$A$3:$A$5001,"&gt;="&amp;$C$7,Base!$A$3:$A$5001,"&lt;="&amp;$B153,Base!$M$3:$M$5001,"&lt;&gt;")=0,"",SUMIFS(Base!$M$3:$M$5001,Base!$B$3:$B$5001,C$143,Base!$A$3:$A$5001,_xlfn.MAXIFS(Base!$A$3:$A$5001,Base!$B$3:$B$5001,C$143,Base!$A$3:$A$5001,"&gt;="&amp;$C$7,Base!$A$3:$A$5001,"&lt;="&amp;$B153,Base!$M$3:$M$5001,"&lt;&gt;"))))</f>
        <v>1308</v>
      </c>
      <c r="D153" s="149">
        <f>IF($A153&gt;$B$9,"",IF(COUNTIFS(Base!$B$3:$B$5001,D$143,Base!$A$3:$A$5001,"&gt;="&amp;$C$7,Base!$A$3:$A$5001,"&lt;="&amp;$B153,Base!$M$3:$M$5001,"&lt;&gt;")=0,"",SUMIFS(Base!$M$3:$M$5001,Base!$B$3:$B$5001,D$143,Base!$A$3:$A$5001,_xlfn.MAXIFS(Base!$A$3:$A$5001,Base!$B$3:$B$5001,D$143,Base!$A$3:$A$5001,"&gt;="&amp;$C$7,Base!$A$3:$A$5001,"&lt;="&amp;$B153,Base!$M$3:$M$5001,"&lt;&gt;"))))</f>
        <v>527</v>
      </c>
      <c r="E153" s="149">
        <f>IF($A153&gt;$B$9,"",IF(COUNTIFS(Base!$B$3:$B$5001,E$143,Base!$A$3:$A$5001,"&gt;="&amp;$C$7,Base!$A$3:$A$5001,"&lt;="&amp;$B153,Base!$M$3:$M$5001,"&lt;&gt;")=0,"",SUMIFS(Base!$M$3:$M$5001,Base!$B$3:$B$5001,E$143,Base!$A$3:$A$5001,_xlfn.MAXIFS(Base!$A$3:$A$5001,Base!$B$3:$B$5001,E$143,Base!$A$3:$A$5001,"&gt;="&amp;$C$7,Base!$A$3:$A$5001,"&lt;="&amp;$B153,Base!$M$3:$M$5001,"&lt;&gt;"))))</f>
        <v>189</v>
      </c>
      <c r="F153" s="149">
        <f>IF($A153&gt;$B$9,"",IF(COUNTIFS(Base!$B$3:$B$5001,F$143,Base!$A$3:$A$5001,"&gt;="&amp;$C$7,Base!$A$3:$A$5001,"&lt;="&amp;$B153,Base!$M$3:$M$5001,"&lt;&gt;")=0,"",SUMIFS(Base!$M$3:$M$5001,Base!$B$3:$B$5001,F$143,Base!$A$3:$A$5001,_xlfn.MAXIFS(Base!$A$3:$A$5001,Base!$B$3:$B$5001,F$143,Base!$A$3:$A$5001,"&gt;="&amp;$C$7,Base!$A$3:$A$5001,"&lt;="&amp;$B153,Base!$M$3:$M$5001,"&lt;&gt;"))))</f>
        <v>1186</v>
      </c>
      <c r="G153" s="149">
        <f>IF($A153&gt;$B$9,"",IF(COUNTIFS(Base!$B$3:$B$5001,G$143,Base!$A$3:$A$5001,"&gt;="&amp;$C$7,Base!$A$3:$A$5001,"&lt;="&amp;$B153,Base!$M$3:$M$5001,"&lt;&gt;")=0,"",SUMIFS(Base!$M$3:$M$5001,Base!$B$3:$B$5001,G$143,Base!$A$3:$A$5001,_xlfn.MAXIFS(Base!$A$3:$A$5001,Base!$B$3:$B$5001,G$143,Base!$A$3:$A$5001,"&gt;="&amp;$C$7,Base!$A$3:$A$5001,"&lt;="&amp;$B153,Base!$M$3:$M$5001,"&lt;&gt;"))))</f>
        <v>258</v>
      </c>
    </row>
    <row r="154">
      <c r="A154" s="147">
        <v>11</v>
      </c>
      <c r="B154" s="148">
        <f>$B$22</f>
        <v>46276</v>
      </c>
      <c r="C154" s="149">
        <f>IF($A154&gt;$B$9,"",IF(COUNTIFS(Base!$B$3:$B$5001,C$143,Base!$A$3:$A$5001,"&gt;="&amp;$C$7,Base!$A$3:$A$5001,"&lt;="&amp;$B154,Base!$M$3:$M$5001,"&lt;&gt;")=0,"",SUMIFS(Base!$M$3:$M$5001,Base!$B$3:$B$5001,C$143,Base!$A$3:$A$5001,_xlfn.MAXIFS(Base!$A$3:$A$5001,Base!$B$3:$B$5001,C$143,Base!$A$3:$A$5001,"&gt;="&amp;$C$7,Base!$A$3:$A$5001,"&lt;="&amp;$B154,Base!$M$3:$M$5001,"&lt;&gt;"))))</f>
        <v>1314</v>
      </c>
      <c r="D154" s="149">
        <f>IF($A154&gt;$B$9,"",IF(COUNTIFS(Base!$B$3:$B$5001,D$143,Base!$A$3:$A$5001,"&gt;="&amp;$C$7,Base!$A$3:$A$5001,"&lt;="&amp;$B154,Base!$M$3:$M$5001,"&lt;&gt;")=0,"",SUMIFS(Base!$M$3:$M$5001,Base!$B$3:$B$5001,D$143,Base!$A$3:$A$5001,_xlfn.MAXIFS(Base!$A$3:$A$5001,Base!$B$3:$B$5001,D$143,Base!$A$3:$A$5001,"&gt;="&amp;$C$7,Base!$A$3:$A$5001,"&lt;="&amp;$B154,Base!$M$3:$M$5001,"&lt;&gt;"))))</f>
        <v>526</v>
      </c>
      <c r="E154" s="149">
        <f>IF($A154&gt;$B$9,"",IF(COUNTIFS(Base!$B$3:$B$5001,E$143,Base!$A$3:$A$5001,"&gt;="&amp;$C$7,Base!$A$3:$A$5001,"&lt;="&amp;$B154,Base!$M$3:$M$5001,"&lt;&gt;")=0,"",SUMIFS(Base!$M$3:$M$5001,Base!$B$3:$B$5001,E$143,Base!$A$3:$A$5001,_xlfn.MAXIFS(Base!$A$3:$A$5001,Base!$B$3:$B$5001,E$143,Base!$A$3:$A$5001,"&gt;="&amp;$C$7,Base!$A$3:$A$5001,"&lt;="&amp;$B154,Base!$M$3:$M$5001,"&lt;&gt;"))))</f>
        <v>162</v>
      </c>
      <c r="F154" s="149">
        <f>IF($A154&gt;$B$9,"",IF(COUNTIFS(Base!$B$3:$B$5001,F$143,Base!$A$3:$A$5001,"&gt;="&amp;$C$7,Base!$A$3:$A$5001,"&lt;="&amp;$B154,Base!$M$3:$M$5001,"&lt;&gt;")=0,"",SUMIFS(Base!$M$3:$M$5001,Base!$B$3:$B$5001,F$143,Base!$A$3:$A$5001,_xlfn.MAXIFS(Base!$A$3:$A$5001,Base!$B$3:$B$5001,F$143,Base!$A$3:$A$5001,"&gt;="&amp;$C$7,Base!$A$3:$A$5001,"&lt;="&amp;$B154,Base!$M$3:$M$5001,"&lt;&gt;"))))</f>
        <v>1122</v>
      </c>
      <c r="G154" s="149">
        <f>IF($A154&gt;$B$9,"",IF(COUNTIFS(Base!$B$3:$B$5001,G$143,Base!$A$3:$A$5001,"&gt;="&amp;$C$7,Base!$A$3:$A$5001,"&lt;="&amp;$B154,Base!$M$3:$M$5001,"&lt;&gt;")=0,"",SUMIFS(Base!$M$3:$M$5001,Base!$B$3:$B$5001,G$143,Base!$A$3:$A$5001,_xlfn.MAXIFS(Base!$A$3:$A$5001,Base!$B$3:$B$5001,G$143,Base!$A$3:$A$5001,"&gt;="&amp;$C$7,Base!$A$3:$A$5001,"&lt;="&amp;$B154,Base!$M$3:$M$5001,"&lt;&gt;"))))</f>
        <v>125</v>
      </c>
    </row>
    <row r="155">
      <c r="A155" s="147">
        <v>12</v>
      </c>
      <c r="B155" s="148">
        <f>$B$23</f>
        <v>46277</v>
      </c>
      <c r="C155" s="149">
        <f>IF($A155&gt;$B$9,"",IF(COUNTIFS(Base!$B$3:$B$5001,C$143,Base!$A$3:$A$5001,"&gt;="&amp;$C$7,Base!$A$3:$A$5001,"&lt;="&amp;$B155,Base!$M$3:$M$5001,"&lt;&gt;")=0,"",SUMIFS(Base!$M$3:$M$5001,Base!$B$3:$B$5001,C$143,Base!$A$3:$A$5001,_xlfn.MAXIFS(Base!$A$3:$A$5001,Base!$B$3:$B$5001,C$143,Base!$A$3:$A$5001,"&gt;="&amp;$C$7,Base!$A$3:$A$5001,"&lt;="&amp;$B155,Base!$M$3:$M$5001,"&lt;&gt;"))))</f>
        <v>1754</v>
      </c>
      <c r="D155" s="149">
        <f>IF($A155&gt;$B$9,"",IF(COUNTIFS(Base!$B$3:$B$5001,D$143,Base!$A$3:$A$5001,"&gt;="&amp;$C$7,Base!$A$3:$A$5001,"&lt;="&amp;$B155,Base!$M$3:$M$5001,"&lt;&gt;")=0,"",SUMIFS(Base!$M$3:$M$5001,Base!$B$3:$B$5001,D$143,Base!$A$3:$A$5001,_xlfn.MAXIFS(Base!$A$3:$A$5001,Base!$B$3:$B$5001,D$143,Base!$A$3:$A$5001,"&gt;="&amp;$C$7,Base!$A$3:$A$5001,"&lt;="&amp;$B155,Base!$M$3:$M$5001,"&lt;&gt;"))))</f>
        <v>526</v>
      </c>
      <c r="E155" s="149">
        <f>IF($A155&gt;$B$9,"",IF(COUNTIFS(Base!$B$3:$B$5001,E$143,Base!$A$3:$A$5001,"&gt;="&amp;$C$7,Base!$A$3:$A$5001,"&lt;="&amp;$B155,Base!$M$3:$M$5001,"&lt;&gt;")=0,"",SUMIFS(Base!$M$3:$M$5001,Base!$B$3:$B$5001,E$143,Base!$A$3:$A$5001,_xlfn.MAXIFS(Base!$A$3:$A$5001,Base!$B$3:$B$5001,E$143,Base!$A$3:$A$5001,"&gt;="&amp;$C$7,Base!$A$3:$A$5001,"&lt;="&amp;$B155,Base!$M$3:$M$5001,"&lt;&gt;"))))</f>
        <v>162</v>
      </c>
      <c r="F155" s="149">
        <f>IF($A155&gt;$B$9,"",IF(COUNTIFS(Base!$B$3:$B$5001,F$143,Base!$A$3:$A$5001,"&gt;="&amp;$C$7,Base!$A$3:$A$5001,"&lt;="&amp;$B155,Base!$M$3:$M$5001,"&lt;&gt;")=0,"",SUMIFS(Base!$M$3:$M$5001,Base!$B$3:$B$5001,F$143,Base!$A$3:$A$5001,_xlfn.MAXIFS(Base!$A$3:$A$5001,Base!$B$3:$B$5001,F$143,Base!$A$3:$A$5001,"&gt;="&amp;$C$7,Base!$A$3:$A$5001,"&lt;="&amp;$B155,Base!$M$3:$M$5001,"&lt;&gt;"))))</f>
        <v>1122</v>
      </c>
      <c r="G155" s="149">
        <f>IF($A155&gt;$B$9,"",IF(COUNTIFS(Base!$B$3:$B$5001,G$143,Base!$A$3:$A$5001,"&gt;="&amp;$C$7,Base!$A$3:$A$5001,"&lt;="&amp;$B155,Base!$M$3:$M$5001,"&lt;&gt;")=0,"",SUMIFS(Base!$M$3:$M$5001,Base!$B$3:$B$5001,G$143,Base!$A$3:$A$5001,_xlfn.MAXIFS(Base!$A$3:$A$5001,Base!$B$3:$B$5001,G$143,Base!$A$3:$A$5001,"&gt;="&amp;$C$7,Base!$A$3:$A$5001,"&lt;="&amp;$B155,Base!$M$3:$M$5001,"&lt;&gt;"))))</f>
        <v>125</v>
      </c>
    </row>
    <row r="156">
      <c r="A156" s="147">
        <v>13</v>
      </c>
      <c r="B156" s="148">
        <f>$B$24</f>
        <v>46278</v>
      </c>
      <c r="C156" s="149">
        <f>IF($A156&gt;$B$9,"",IF(COUNTIFS(Base!$B$3:$B$5001,C$143,Base!$A$3:$A$5001,"&gt;="&amp;$C$7,Base!$A$3:$A$5001,"&lt;="&amp;$B156,Base!$M$3:$M$5001,"&lt;&gt;")=0,"",SUMIFS(Base!$M$3:$M$5001,Base!$B$3:$B$5001,C$143,Base!$A$3:$A$5001,_xlfn.MAXIFS(Base!$A$3:$A$5001,Base!$B$3:$B$5001,C$143,Base!$A$3:$A$5001,"&gt;="&amp;$C$7,Base!$A$3:$A$5001,"&lt;="&amp;$B156,Base!$M$3:$M$5001,"&lt;&gt;"))))</f>
        <v>1754</v>
      </c>
      <c r="D156" s="149">
        <f>IF($A156&gt;$B$9,"",IF(COUNTIFS(Base!$B$3:$B$5001,D$143,Base!$A$3:$A$5001,"&gt;="&amp;$C$7,Base!$A$3:$A$5001,"&lt;="&amp;$B156,Base!$M$3:$M$5001,"&lt;&gt;")=0,"",SUMIFS(Base!$M$3:$M$5001,Base!$B$3:$B$5001,D$143,Base!$A$3:$A$5001,_xlfn.MAXIFS(Base!$A$3:$A$5001,Base!$B$3:$B$5001,D$143,Base!$A$3:$A$5001,"&gt;="&amp;$C$7,Base!$A$3:$A$5001,"&lt;="&amp;$B156,Base!$M$3:$M$5001,"&lt;&gt;"))))</f>
        <v>526</v>
      </c>
      <c r="E156" s="149">
        <f>IF($A156&gt;$B$9,"",IF(COUNTIFS(Base!$B$3:$B$5001,E$143,Base!$A$3:$A$5001,"&gt;="&amp;$C$7,Base!$A$3:$A$5001,"&lt;="&amp;$B156,Base!$M$3:$M$5001,"&lt;&gt;")=0,"",SUMIFS(Base!$M$3:$M$5001,Base!$B$3:$B$5001,E$143,Base!$A$3:$A$5001,_xlfn.MAXIFS(Base!$A$3:$A$5001,Base!$B$3:$B$5001,E$143,Base!$A$3:$A$5001,"&gt;="&amp;$C$7,Base!$A$3:$A$5001,"&lt;="&amp;$B156,Base!$M$3:$M$5001,"&lt;&gt;"))))</f>
        <v>177</v>
      </c>
      <c r="F156" s="149">
        <f>IF($A156&gt;$B$9,"",IF(COUNTIFS(Base!$B$3:$B$5001,F$143,Base!$A$3:$A$5001,"&gt;="&amp;$C$7,Base!$A$3:$A$5001,"&lt;="&amp;$B156,Base!$M$3:$M$5001,"&lt;&gt;")=0,"",SUMIFS(Base!$M$3:$M$5001,Base!$B$3:$B$5001,F$143,Base!$A$3:$A$5001,_xlfn.MAXIFS(Base!$A$3:$A$5001,Base!$B$3:$B$5001,F$143,Base!$A$3:$A$5001,"&gt;="&amp;$C$7,Base!$A$3:$A$5001,"&lt;="&amp;$B156,Base!$M$3:$M$5001,"&lt;&gt;"))))</f>
        <v>1094</v>
      </c>
      <c r="G156" s="149">
        <f>IF($A156&gt;$B$9,"",IF(COUNTIFS(Base!$B$3:$B$5001,G$143,Base!$A$3:$A$5001,"&gt;="&amp;$C$7,Base!$A$3:$A$5001,"&lt;="&amp;$B156,Base!$M$3:$M$5001,"&lt;&gt;")=0,"",SUMIFS(Base!$M$3:$M$5001,Base!$B$3:$B$5001,G$143,Base!$A$3:$A$5001,_xlfn.MAXIFS(Base!$A$3:$A$5001,Base!$B$3:$B$5001,G$143,Base!$A$3:$A$5001,"&gt;="&amp;$C$7,Base!$A$3:$A$5001,"&lt;="&amp;$B156,Base!$M$3:$M$5001,"&lt;&gt;"))))</f>
        <v>234</v>
      </c>
    </row>
    <row r="157">
      <c r="A157" s="147">
        <v>14</v>
      </c>
      <c r="B157" s="148">
        <f>$B$25</f>
        <v>46279</v>
      </c>
      <c r="C157" s="149">
        <f>IF($A157&gt;$B$9,"",IF(COUNTIFS(Base!$B$3:$B$5001,C$143,Base!$A$3:$A$5001,"&gt;="&amp;$C$7,Base!$A$3:$A$5001,"&lt;="&amp;$B157,Base!$M$3:$M$5001,"&lt;&gt;")=0,"",SUMIFS(Base!$M$3:$M$5001,Base!$B$3:$B$5001,C$143,Base!$A$3:$A$5001,_xlfn.MAXIFS(Base!$A$3:$A$5001,Base!$B$3:$B$5001,C$143,Base!$A$3:$A$5001,"&gt;="&amp;$C$7,Base!$A$3:$A$5001,"&lt;="&amp;$B157,Base!$M$3:$M$5001,"&lt;&gt;"))))</f>
        <v>1050</v>
      </c>
      <c r="D157" s="149">
        <f>IF($A157&gt;$B$9,"",IF(COUNTIFS(Base!$B$3:$B$5001,D$143,Base!$A$3:$A$5001,"&gt;="&amp;$C$7,Base!$A$3:$A$5001,"&lt;="&amp;$B157,Base!$M$3:$M$5001,"&lt;&gt;")=0,"",SUMIFS(Base!$M$3:$M$5001,Base!$B$3:$B$5001,D$143,Base!$A$3:$A$5001,_xlfn.MAXIFS(Base!$A$3:$A$5001,Base!$B$3:$B$5001,D$143,Base!$A$3:$A$5001,"&gt;="&amp;$C$7,Base!$A$3:$A$5001,"&lt;="&amp;$B157,Base!$M$3:$M$5001,"&lt;&gt;"))))</f>
        <v>683</v>
      </c>
      <c r="E157" s="149">
        <f>IF($A157&gt;$B$9,"",IF(COUNTIFS(Base!$B$3:$B$5001,E$143,Base!$A$3:$A$5001,"&gt;="&amp;$C$7,Base!$A$3:$A$5001,"&lt;="&amp;$B157,Base!$M$3:$M$5001,"&lt;&gt;")=0,"",SUMIFS(Base!$M$3:$M$5001,Base!$B$3:$B$5001,E$143,Base!$A$3:$A$5001,_xlfn.MAXIFS(Base!$A$3:$A$5001,Base!$B$3:$B$5001,E$143,Base!$A$3:$A$5001,"&gt;="&amp;$C$7,Base!$A$3:$A$5001,"&lt;="&amp;$B157,Base!$M$3:$M$5001,"&lt;&gt;"))))</f>
        <v>400</v>
      </c>
      <c r="F157" s="149">
        <f>IF($A157&gt;$B$9,"",IF(COUNTIFS(Base!$B$3:$B$5001,F$143,Base!$A$3:$A$5001,"&gt;="&amp;$C$7,Base!$A$3:$A$5001,"&lt;="&amp;$B157,Base!$M$3:$M$5001,"&lt;&gt;")=0,"",SUMIFS(Base!$M$3:$M$5001,Base!$B$3:$B$5001,F$143,Base!$A$3:$A$5001,_xlfn.MAXIFS(Base!$A$3:$A$5001,Base!$B$3:$B$5001,F$143,Base!$A$3:$A$5001,"&gt;="&amp;$C$7,Base!$A$3:$A$5001,"&lt;="&amp;$B157,Base!$M$3:$M$5001,"&lt;&gt;"))))</f>
        <v>1266</v>
      </c>
      <c r="G157" s="149">
        <f>IF($A157&gt;$B$9,"",IF(COUNTIFS(Base!$B$3:$B$5001,G$143,Base!$A$3:$A$5001,"&gt;="&amp;$C$7,Base!$A$3:$A$5001,"&lt;="&amp;$B157,Base!$M$3:$M$5001,"&lt;&gt;")=0,"",SUMIFS(Base!$M$3:$M$5001,Base!$B$3:$B$5001,G$143,Base!$A$3:$A$5001,_xlfn.MAXIFS(Base!$A$3:$A$5001,Base!$B$3:$B$5001,G$143,Base!$A$3:$A$5001,"&gt;="&amp;$C$7,Base!$A$3:$A$5001,"&lt;="&amp;$B157,Base!$M$3:$M$5001,"&lt;&gt;"))))</f>
        <v>232</v>
      </c>
    </row>
    <row r="158">
      <c r="A158" s="147">
        <v>15</v>
      </c>
      <c r="B158" s="148">
        <f>$B$26</f>
        <v>46280</v>
      </c>
      <c r="C158" s="149">
        <f>IF($A158&gt;$B$9,"",IF(COUNTIFS(Base!$B$3:$B$5001,C$143,Base!$A$3:$A$5001,"&gt;="&amp;$C$7,Base!$A$3:$A$5001,"&lt;="&amp;$B158,Base!$M$3:$M$5001,"&lt;&gt;")=0,"",SUMIFS(Base!$M$3:$M$5001,Base!$B$3:$B$5001,C$143,Base!$A$3:$A$5001,_xlfn.MAXIFS(Base!$A$3:$A$5001,Base!$B$3:$B$5001,C$143,Base!$A$3:$A$5001,"&gt;="&amp;$C$7,Base!$A$3:$A$5001,"&lt;="&amp;$B158,Base!$M$3:$M$5001,"&lt;&gt;"))))</f>
        <v>1547</v>
      </c>
      <c r="D158" s="149">
        <f>IF($A158&gt;$B$9,"",IF(COUNTIFS(Base!$B$3:$B$5001,D$143,Base!$A$3:$A$5001,"&gt;="&amp;$C$7,Base!$A$3:$A$5001,"&lt;="&amp;$B158,Base!$M$3:$M$5001,"&lt;&gt;")=0,"",SUMIFS(Base!$M$3:$M$5001,Base!$B$3:$B$5001,D$143,Base!$A$3:$A$5001,_xlfn.MAXIFS(Base!$A$3:$A$5001,Base!$B$3:$B$5001,D$143,Base!$A$3:$A$5001,"&gt;="&amp;$C$7,Base!$A$3:$A$5001,"&lt;="&amp;$B158,Base!$M$3:$M$5001,"&lt;&gt;"))))</f>
        <v>759</v>
      </c>
      <c r="E158" s="149">
        <f>IF($A158&gt;$B$9,"",IF(COUNTIFS(Base!$B$3:$B$5001,E$143,Base!$A$3:$A$5001,"&gt;="&amp;$C$7,Base!$A$3:$A$5001,"&lt;="&amp;$B158,Base!$M$3:$M$5001,"&lt;&gt;")=0,"",SUMIFS(Base!$M$3:$M$5001,Base!$B$3:$B$5001,E$143,Base!$A$3:$A$5001,_xlfn.MAXIFS(Base!$A$3:$A$5001,Base!$B$3:$B$5001,E$143,Base!$A$3:$A$5001,"&gt;="&amp;$C$7,Base!$A$3:$A$5001,"&lt;="&amp;$B158,Base!$M$3:$M$5001,"&lt;&gt;"))))</f>
        <v>167</v>
      </c>
      <c r="F158" s="149">
        <f>IF($A158&gt;$B$9,"",IF(COUNTIFS(Base!$B$3:$B$5001,F$143,Base!$A$3:$A$5001,"&gt;="&amp;$C$7,Base!$A$3:$A$5001,"&lt;="&amp;$B158,Base!$M$3:$M$5001,"&lt;&gt;")=0,"",SUMIFS(Base!$M$3:$M$5001,Base!$B$3:$B$5001,F$143,Base!$A$3:$A$5001,_xlfn.MAXIFS(Base!$A$3:$A$5001,Base!$B$3:$B$5001,F$143,Base!$A$3:$A$5001,"&gt;="&amp;$C$7,Base!$A$3:$A$5001,"&lt;="&amp;$B158,Base!$M$3:$M$5001,"&lt;&gt;"))))</f>
        <v>796</v>
      </c>
      <c r="G158" s="149">
        <f>IF($A158&gt;$B$9,"",IF(COUNTIFS(Base!$B$3:$B$5001,G$143,Base!$A$3:$A$5001,"&gt;="&amp;$C$7,Base!$A$3:$A$5001,"&lt;="&amp;$B158,Base!$M$3:$M$5001,"&lt;&gt;")=0,"",SUMIFS(Base!$M$3:$M$5001,Base!$B$3:$B$5001,G$143,Base!$A$3:$A$5001,_xlfn.MAXIFS(Base!$A$3:$A$5001,Base!$B$3:$B$5001,G$143,Base!$A$3:$A$5001,"&gt;="&amp;$C$7,Base!$A$3:$A$5001,"&lt;="&amp;$B158,Base!$M$3:$M$5001,"&lt;&gt;"))))</f>
        <v>349</v>
      </c>
    </row>
    <row r="159">
      <c r="A159" s="147">
        <v>16</v>
      </c>
      <c r="B159" s="148">
        <f>$B$27</f>
        <v>46281</v>
      </c>
      <c r="C159" s="149">
        <f>IF($A159&gt;$B$9,"",IF(COUNTIFS(Base!$B$3:$B$5001,C$143,Base!$A$3:$A$5001,"&gt;="&amp;$C$7,Base!$A$3:$A$5001,"&lt;="&amp;$B159,Base!$M$3:$M$5001,"&lt;&gt;")=0,"",SUMIFS(Base!$M$3:$M$5001,Base!$B$3:$B$5001,C$143,Base!$A$3:$A$5001,_xlfn.MAXIFS(Base!$A$3:$A$5001,Base!$B$3:$B$5001,C$143,Base!$A$3:$A$5001,"&gt;="&amp;$C$7,Base!$A$3:$A$5001,"&lt;="&amp;$B159,Base!$M$3:$M$5001,"&lt;&gt;"))))</f>
        <v>1162</v>
      </c>
      <c r="D159" s="149">
        <f>IF($A159&gt;$B$9,"",IF(COUNTIFS(Base!$B$3:$B$5001,D$143,Base!$A$3:$A$5001,"&gt;="&amp;$C$7,Base!$A$3:$A$5001,"&lt;="&amp;$B159,Base!$M$3:$M$5001,"&lt;&gt;")=0,"",SUMIFS(Base!$M$3:$M$5001,Base!$B$3:$B$5001,D$143,Base!$A$3:$A$5001,_xlfn.MAXIFS(Base!$A$3:$A$5001,Base!$B$3:$B$5001,D$143,Base!$A$3:$A$5001,"&gt;="&amp;$C$7,Base!$A$3:$A$5001,"&lt;="&amp;$B159,Base!$M$3:$M$5001,"&lt;&gt;"))))</f>
        <v>697</v>
      </c>
      <c r="E159" s="149">
        <f>IF($A159&gt;$B$9,"",IF(COUNTIFS(Base!$B$3:$B$5001,E$143,Base!$A$3:$A$5001,"&gt;="&amp;$C$7,Base!$A$3:$A$5001,"&lt;="&amp;$B159,Base!$M$3:$M$5001,"&lt;&gt;")=0,"",SUMIFS(Base!$M$3:$M$5001,Base!$B$3:$B$5001,E$143,Base!$A$3:$A$5001,_xlfn.MAXIFS(Base!$A$3:$A$5001,Base!$B$3:$B$5001,E$143,Base!$A$3:$A$5001,"&gt;="&amp;$C$7,Base!$A$3:$A$5001,"&lt;="&amp;$B159,Base!$M$3:$M$5001,"&lt;&gt;"))))</f>
        <v>290</v>
      </c>
      <c r="F159" s="149">
        <f>IF($A159&gt;$B$9,"",IF(COUNTIFS(Base!$B$3:$B$5001,F$143,Base!$A$3:$A$5001,"&gt;="&amp;$C$7,Base!$A$3:$A$5001,"&lt;="&amp;$B159,Base!$M$3:$M$5001,"&lt;&gt;")=0,"",SUMIFS(Base!$M$3:$M$5001,Base!$B$3:$B$5001,F$143,Base!$A$3:$A$5001,_xlfn.MAXIFS(Base!$A$3:$A$5001,Base!$B$3:$B$5001,F$143,Base!$A$3:$A$5001,"&gt;="&amp;$C$7,Base!$A$3:$A$5001,"&lt;="&amp;$B159,Base!$M$3:$M$5001,"&lt;&gt;"))))</f>
        <v>1195</v>
      </c>
      <c r="G159" s="149">
        <f>IF($A159&gt;$B$9,"",IF(COUNTIFS(Base!$B$3:$B$5001,G$143,Base!$A$3:$A$5001,"&gt;="&amp;$C$7,Base!$A$3:$A$5001,"&lt;="&amp;$B159,Base!$M$3:$M$5001,"&lt;&gt;")=0,"",SUMIFS(Base!$M$3:$M$5001,Base!$B$3:$B$5001,G$143,Base!$A$3:$A$5001,_xlfn.MAXIFS(Base!$A$3:$A$5001,Base!$B$3:$B$5001,G$143,Base!$A$3:$A$5001,"&gt;="&amp;$C$7,Base!$A$3:$A$5001,"&lt;="&amp;$B159,Base!$M$3:$M$5001,"&lt;&gt;"))))</f>
        <v>199</v>
      </c>
    </row>
    <row r="160">
      <c r="A160" s="147">
        <v>17</v>
      </c>
      <c r="B160" s="148">
        <f>$B$28</f>
        <v>46282</v>
      </c>
      <c r="C160" s="149">
        <f>IF($A160&gt;$B$9,"",IF(COUNTIFS(Base!$B$3:$B$5001,C$143,Base!$A$3:$A$5001,"&gt;="&amp;$C$7,Base!$A$3:$A$5001,"&lt;="&amp;$B160,Base!$M$3:$M$5001,"&lt;&gt;")=0,"",SUMIFS(Base!$M$3:$M$5001,Base!$B$3:$B$5001,C$143,Base!$A$3:$A$5001,_xlfn.MAXIFS(Base!$A$3:$A$5001,Base!$B$3:$B$5001,C$143,Base!$A$3:$A$5001,"&gt;="&amp;$C$7,Base!$A$3:$A$5001,"&lt;="&amp;$B160,Base!$M$3:$M$5001,"&lt;&gt;"))))</f>
        <v>1046</v>
      </c>
      <c r="D160" s="149">
        <f>IF($A160&gt;$B$9,"",IF(COUNTIFS(Base!$B$3:$B$5001,D$143,Base!$A$3:$A$5001,"&gt;="&amp;$C$7,Base!$A$3:$A$5001,"&lt;="&amp;$B160,Base!$M$3:$M$5001,"&lt;&gt;")=0,"",SUMIFS(Base!$M$3:$M$5001,Base!$B$3:$B$5001,D$143,Base!$A$3:$A$5001,_xlfn.MAXIFS(Base!$A$3:$A$5001,Base!$B$3:$B$5001,D$143,Base!$A$3:$A$5001,"&gt;="&amp;$C$7,Base!$A$3:$A$5001,"&lt;="&amp;$B160,Base!$M$3:$M$5001,"&lt;&gt;"))))</f>
        <v>650</v>
      </c>
      <c r="E160" s="149">
        <f>IF($A160&gt;$B$9,"",IF(COUNTIFS(Base!$B$3:$B$5001,E$143,Base!$A$3:$A$5001,"&gt;="&amp;$C$7,Base!$A$3:$A$5001,"&lt;="&amp;$B160,Base!$M$3:$M$5001,"&lt;&gt;")=0,"",SUMIFS(Base!$M$3:$M$5001,Base!$B$3:$B$5001,E$143,Base!$A$3:$A$5001,_xlfn.MAXIFS(Base!$A$3:$A$5001,Base!$B$3:$B$5001,E$143,Base!$A$3:$A$5001,"&gt;="&amp;$C$7,Base!$A$3:$A$5001,"&lt;="&amp;$B160,Base!$M$3:$M$5001,"&lt;&gt;"))))</f>
        <v>333</v>
      </c>
      <c r="F160" s="149">
        <f>IF($A160&gt;$B$9,"",IF(COUNTIFS(Base!$B$3:$B$5001,F$143,Base!$A$3:$A$5001,"&gt;="&amp;$C$7,Base!$A$3:$A$5001,"&lt;="&amp;$B160,Base!$M$3:$M$5001,"&lt;&gt;")=0,"",SUMIFS(Base!$M$3:$M$5001,Base!$B$3:$B$5001,F$143,Base!$A$3:$A$5001,_xlfn.MAXIFS(Base!$A$3:$A$5001,Base!$B$3:$B$5001,F$143,Base!$A$3:$A$5001,"&gt;="&amp;$C$7,Base!$A$3:$A$5001,"&lt;="&amp;$B160,Base!$M$3:$M$5001,"&lt;&gt;"))))</f>
        <v>852</v>
      </c>
      <c r="G160" s="149">
        <f>IF($A160&gt;$B$9,"",IF(COUNTIFS(Base!$B$3:$B$5001,G$143,Base!$A$3:$A$5001,"&gt;="&amp;$C$7,Base!$A$3:$A$5001,"&lt;="&amp;$B160,Base!$M$3:$M$5001,"&lt;&gt;")=0,"",SUMIFS(Base!$M$3:$M$5001,Base!$B$3:$B$5001,G$143,Base!$A$3:$A$5001,_xlfn.MAXIFS(Base!$A$3:$A$5001,Base!$B$3:$B$5001,G$143,Base!$A$3:$A$5001,"&gt;="&amp;$C$7,Base!$A$3:$A$5001,"&lt;="&amp;$B160,Base!$M$3:$M$5001,"&lt;&gt;"))))</f>
        <v>231</v>
      </c>
    </row>
    <row r="161">
      <c r="A161" s="147">
        <v>18</v>
      </c>
      <c r="B161" s="148">
        <f>$B$29</f>
        <v>46283</v>
      </c>
      <c r="C161" s="149">
        <f>IF($A161&gt;$B$9,"",IF(COUNTIFS(Base!$B$3:$B$5001,C$143,Base!$A$3:$A$5001,"&gt;="&amp;$C$7,Base!$A$3:$A$5001,"&lt;="&amp;$B161,Base!$M$3:$M$5001,"&lt;&gt;")=0,"",SUMIFS(Base!$M$3:$M$5001,Base!$B$3:$B$5001,C$143,Base!$A$3:$A$5001,_xlfn.MAXIFS(Base!$A$3:$A$5001,Base!$B$3:$B$5001,C$143,Base!$A$3:$A$5001,"&gt;="&amp;$C$7,Base!$A$3:$A$5001,"&lt;="&amp;$B161,Base!$M$3:$M$5001,"&lt;&gt;"))))</f>
        <v>1708</v>
      </c>
      <c r="D161" s="149">
        <f>IF($A161&gt;$B$9,"",IF(COUNTIFS(Base!$B$3:$B$5001,D$143,Base!$A$3:$A$5001,"&gt;="&amp;$C$7,Base!$A$3:$A$5001,"&lt;="&amp;$B161,Base!$M$3:$M$5001,"&lt;&gt;")=0,"",SUMIFS(Base!$M$3:$M$5001,Base!$B$3:$B$5001,D$143,Base!$A$3:$A$5001,_xlfn.MAXIFS(Base!$A$3:$A$5001,Base!$B$3:$B$5001,D$143,Base!$A$3:$A$5001,"&gt;="&amp;$C$7,Base!$A$3:$A$5001,"&lt;="&amp;$B161,Base!$M$3:$M$5001,"&lt;&gt;"))))</f>
        <v>518</v>
      </c>
      <c r="E161" s="149">
        <f>IF($A161&gt;$B$9,"",IF(COUNTIFS(Base!$B$3:$B$5001,E$143,Base!$A$3:$A$5001,"&gt;="&amp;$C$7,Base!$A$3:$A$5001,"&lt;="&amp;$B161,Base!$M$3:$M$5001,"&lt;&gt;")=0,"",SUMIFS(Base!$M$3:$M$5001,Base!$B$3:$B$5001,E$143,Base!$A$3:$A$5001,_xlfn.MAXIFS(Base!$A$3:$A$5001,Base!$B$3:$B$5001,E$143,Base!$A$3:$A$5001,"&gt;="&amp;$C$7,Base!$A$3:$A$5001,"&lt;="&amp;$B161,Base!$M$3:$M$5001,"&lt;&gt;"))))</f>
        <v>198</v>
      </c>
      <c r="F161" s="149">
        <f>IF($A161&gt;$B$9,"",IF(COUNTIFS(Base!$B$3:$B$5001,F$143,Base!$A$3:$A$5001,"&gt;="&amp;$C$7,Base!$A$3:$A$5001,"&lt;="&amp;$B161,Base!$M$3:$M$5001,"&lt;&gt;")=0,"",SUMIFS(Base!$M$3:$M$5001,Base!$B$3:$B$5001,F$143,Base!$A$3:$A$5001,_xlfn.MAXIFS(Base!$A$3:$A$5001,Base!$B$3:$B$5001,F$143,Base!$A$3:$A$5001,"&gt;="&amp;$C$7,Base!$A$3:$A$5001,"&lt;="&amp;$B161,Base!$M$3:$M$5001,"&lt;&gt;"))))</f>
        <v>841</v>
      </c>
      <c r="G161" s="149">
        <f>IF($A161&gt;$B$9,"",IF(COUNTIFS(Base!$B$3:$B$5001,G$143,Base!$A$3:$A$5001,"&gt;="&amp;$C$7,Base!$A$3:$A$5001,"&lt;="&amp;$B161,Base!$M$3:$M$5001,"&lt;&gt;")=0,"",SUMIFS(Base!$M$3:$M$5001,Base!$B$3:$B$5001,G$143,Base!$A$3:$A$5001,_xlfn.MAXIFS(Base!$A$3:$A$5001,Base!$B$3:$B$5001,G$143,Base!$A$3:$A$5001,"&gt;="&amp;$C$7,Base!$A$3:$A$5001,"&lt;="&amp;$B161,Base!$M$3:$M$5001,"&lt;&gt;"))))</f>
        <v>352</v>
      </c>
    </row>
    <row r="162">
      <c r="A162" s="147">
        <v>19</v>
      </c>
      <c r="B162" s="148">
        <f>$B$30</f>
        <v>46284</v>
      </c>
      <c r="C162" s="149">
        <f>IF($A162&gt;$B$9,"",IF(COUNTIFS(Base!$B$3:$B$5001,C$143,Base!$A$3:$A$5001,"&gt;="&amp;$C$7,Base!$A$3:$A$5001,"&lt;="&amp;$B162,Base!$M$3:$M$5001,"&lt;&gt;")=0,"",SUMIFS(Base!$M$3:$M$5001,Base!$B$3:$B$5001,C$143,Base!$A$3:$A$5001,_xlfn.MAXIFS(Base!$A$3:$A$5001,Base!$B$3:$B$5001,C$143,Base!$A$3:$A$5001,"&gt;="&amp;$C$7,Base!$A$3:$A$5001,"&lt;="&amp;$B162,Base!$M$3:$M$5001,"&lt;&gt;"))))</f>
        <v>1708</v>
      </c>
      <c r="D162" s="149">
        <f>IF($A162&gt;$B$9,"",IF(COUNTIFS(Base!$B$3:$B$5001,D$143,Base!$A$3:$A$5001,"&gt;="&amp;$C$7,Base!$A$3:$A$5001,"&lt;="&amp;$B162,Base!$M$3:$M$5001,"&lt;&gt;")=0,"",SUMIFS(Base!$M$3:$M$5001,Base!$B$3:$B$5001,D$143,Base!$A$3:$A$5001,_xlfn.MAXIFS(Base!$A$3:$A$5001,Base!$B$3:$B$5001,D$143,Base!$A$3:$A$5001,"&gt;="&amp;$C$7,Base!$A$3:$A$5001,"&lt;="&amp;$B162,Base!$M$3:$M$5001,"&lt;&gt;"))))</f>
        <v>518</v>
      </c>
      <c r="E162" s="149">
        <f>IF($A162&gt;$B$9,"",IF(COUNTIFS(Base!$B$3:$B$5001,E$143,Base!$A$3:$A$5001,"&gt;="&amp;$C$7,Base!$A$3:$A$5001,"&lt;="&amp;$B162,Base!$M$3:$M$5001,"&lt;&gt;")=0,"",SUMIFS(Base!$M$3:$M$5001,Base!$B$3:$B$5001,E$143,Base!$A$3:$A$5001,_xlfn.MAXIFS(Base!$A$3:$A$5001,Base!$B$3:$B$5001,E$143,Base!$A$3:$A$5001,"&gt;="&amp;$C$7,Base!$A$3:$A$5001,"&lt;="&amp;$B162,Base!$M$3:$M$5001,"&lt;&gt;"))))</f>
        <v>198</v>
      </c>
      <c r="F162" s="149">
        <f>IF($A162&gt;$B$9,"",IF(COUNTIFS(Base!$B$3:$B$5001,F$143,Base!$A$3:$A$5001,"&gt;="&amp;$C$7,Base!$A$3:$A$5001,"&lt;="&amp;$B162,Base!$M$3:$M$5001,"&lt;&gt;")=0,"",SUMIFS(Base!$M$3:$M$5001,Base!$B$3:$B$5001,F$143,Base!$A$3:$A$5001,_xlfn.MAXIFS(Base!$A$3:$A$5001,Base!$B$3:$B$5001,F$143,Base!$A$3:$A$5001,"&gt;="&amp;$C$7,Base!$A$3:$A$5001,"&lt;="&amp;$B162,Base!$M$3:$M$5001,"&lt;&gt;"))))</f>
        <v>841</v>
      </c>
      <c r="G162" s="149">
        <f>IF($A162&gt;$B$9,"",IF(COUNTIFS(Base!$B$3:$B$5001,G$143,Base!$A$3:$A$5001,"&gt;="&amp;$C$7,Base!$A$3:$A$5001,"&lt;="&amp;$B162,Base!$M$3:$M$5001,"&lt;&gt;")=0,"",SUMIFS(Base!$M$3:$M$5001,Base!$B$3:$B$5001,G$143,Base!$A$3:$A$5001,_xlfn.MAXIFS(Base!$A$3:$A$5001,Base!$B$3:$B$5001,G$143,Base!$A$3:$A$5001,"&gt;="&amp;$C$7,Base!$A$3:$A$5001,"&lt;="&amp;$B162,Base!$M$3:$M$5001,"&lt;&gt;"))))</f>
        <v>352</v>
      </c>
    </row>
    <row r="163">
      <c r="A163" s="147">
        <v>20</v>
      </c>
      <c r="B163" s="148">
        <f>$B$31</f>
        <v>46285</v>
      </c>
      <c r="C163" s="149">
        <f>IF($A163&gt;$B$9,"",IF(COUNTIFS(Base!$B$3:$B$5001,C$143,Base!$A$3:$A$5001,"&gt;="&amp;$C$7,Base!$A$3:$A$5001,"&lt;="&amp;$B163,Base!$M$3:$M$5001,"&lt;&gt;")=0,"",SUMIFS(Base!$M$3:$M$5001,Base!$B$3:$B$5001,C$143,Base!$A$3:$A$5001,_xlfn.MAXIFS(Base!$A$3:$A$5001,Base!$B$3:$B$5001,C$143,Base!$A$3:$A$5001,"&gt;="&amp;$C$7,Base!$A$3:$A$5001,"&lt;="&amp;$B163,Base!$M$3:$M$5001,"&lt;&gt;"))))</f>
        <v>1708</v>
      </c>
      <c r="D163" s="149">
        <f>IF($A163&gt;$B$9,"",IF(COUNTIFS(Base!$B$3:$B$5001,D$143,Base!$A$3:$A$5001,"&gt;="&amp;$C$7,Base!$A$3:$A$5001,"&lt;="&amp;$B163,Base!$M$3:$M$5001,"&lt;&gt;")=0,"",SUMIFS(Base!$M$3:$M$5001,Base!$B$3:$B$5001,D$143,Base!$A$3:$A$5001,_xlfn.MAXIFS(Base!$A$3:$A$5001,Base!$B$3:$B$5001,D$143,Base!$A$3:$A$5001,"&gt;="&amp;$C$7,Base!$A$3:$A$5001,"&lt;="&amp;$B163,Base!$M$3:$M$5001,"&lt;&gt;"))))</f>
        <v>518</v>
      </c>
      <c r="E163" s="149">
        <f>IF($A163&gt;$B$9,"",IF(COUNTIFS(Base!$B$3:$B$5001,E$143,Base!$A$3:$A$5001,"&gt;="&amp;$C$7,Base!$A$3:$A$5001,"&lt;="&amp;$B163,Base!$M$3:$M$5001,"&lt;&gt;")=0,"",SUMIFS(Base!$M$3:$M$5001,Base!$B$3:$B$5001,E$143,Base!$A$3:$A$5001,_xlfn.MAXIFS(Base!$A$3:$A$5001,Base!$B$3:$B$5001,E$143,Base!$A$3:$A$5001,"&gt;="&amp;$C$7,Base!$A$3:$A$5001,"&lt;="&amp;$B163,Base!$M$3:$M$5001,"&lt;&gt;"))))</f>
        <v>198</v>
      </c>
      <c r="F163" s="149">
        <f>IF($A163&gt;$B$9,"",IF(COUNTIFS(Base!$B$3:$B$5001,F$143,Base!$A$3:$A$5001,"&gt;="&amp;$C$7,Base!$A$3:$A$5001,"&lt;="&amp;$B163,Base!$M$3:$M$5001,"&lt;&gt;")=0,"",SUMIFS(Base!$M$3:$M$5001,Base!$B$3:$B$5001,F$143,Base!$A$3:$A$5001,_xlfn.MAXIFS(Base!$A$3:$A$5001,Base!$B$3:$B$5001,F$143,Base!$A$3:$A$5001,"&gt;="&amp;$C$7,Base!$A$3:$A$5001,"&lt;="&amp;$B163,Base!$M$3:$M$5001,"&lt;&gt;"))))</f>
        <v>841</v>
      </c>
      <c r="G163" s="149">
        <f>IF($A163&gt;$B$9,"",IF(COUNTIFS(Base!$B$3:$B$5001,G$143,Base!$A$3:$A$5001,"&gt;="&amp;$C$7,Base!$A$3:$A$5001,"&lt;="&amp;$B163,Base!$M$3:$M$5001,"&lt;&gt;")=0,"",SUMIFS(Base!$M$3:$M$5001,Base!$B$3:$B$5001,G$143,Base!$A$3:$A$5001,_xlfn.MAXIFS(Base!$A$3:$A$5001,Base!$B$3:$B$5001,G$143,Base!$A$3:$A$5001,"&gt;="&amp;$C$7,Base!$A$3:$A$5001,"&lt;="&amp;$B163,Base!$M$3:$M$5001,"&lt;&gt;"))))</f>
        <v>375</v>
      </c>
    </row>
    <row r="164">
      <c r="A164" s="147">
        <v>21</v>
      </c>
      <c r="B164" s="148">
        <f>$B$32</f>
        <v>46286</v>
      </c>
      <c r="C164" s="149">
        <f>IF($A164&gt;$B$9,"",IF(COUNTIFS(Base!$B$3:$B$5001,C$143,Base!$A$3:$A$5001,"&gt;="&amp;$C$7,Base!$A$3:$A$5001,"&lt;="&amp;$B164,Base!$M$3:$M$5001,"&lt;&gt;")=0,"",SUMIFS(Base!$M$3:$M$5001,Base!$B$3:$B$5001,C$143,Base!$A$3:$A$5001,_xlfn.MAXIFS(Base!$A$3:$A$5001,Base!$B$3:$B$5001,C$143,Base!$A$3:$A$5001,"&gt;="&amp;$C$7,Base!$A$3:$A$5001,"&lt;="&amp;$B164,Base!$M$3:$M$5001,"&lt;&gt;"))))</f>
        <v>1878</v>
      </c>
      <c r="D164" s="149">
        <f>IF($A164&gt;$B$9,"",IF(COUNTIFS(Base!$B$3:$B$5001,D$143,Base!$A$3:$A$5001,"&gt;="&amp;$C$7,Base!$A$3:$A$5001,"&lt;="&amp;$B164,Base!$M$3:$M$5001,"&lt;&gt;")=0,"",SUMIFS(Base!$M$3:$M$5001,Base!$B$3:$B$5001,D$143,Base!$A$3:$A$5001,_xlfn.MAXIFS(Base!$A$3:$A$5001,Base!$B$3:$B$5001,D$143,Base!$A$3:$A$5001,"&gt;="&amp;$C$7,Base!$A$3:$A$5001,"&lt;="&amp;$B164,Base!$M$3:$M$5001,"&lt;&gt;"))))</f>
        <v>723</v>
      </c>
      <c r="E164" s="149">
        <f>IF($A164&gt;$B$9,"",IF(COUNTIFS(Base!$B$3:$B$5001,E$143,Base!$A$3:$A$5001,"&gt;="&amp;$C$7,Base!$A$3:$A$5001,"&lt;="&amp;$B164,Base!$M$3:$M$5001,"&lt;&gt;")=0,"",SUMIFS(Base!$M$3:$M$5001,Base!$B$3:$B$5001,E$143,Base!$A$3:$A$5001,_xlfn.MAXIFS(Base!$A$3:$A$5001,Base!$B$3:$B$5001,E$143,Base!$A$3:$A$5001,"&gt;="&amp;$C$7,Base!$A$3:$A$5001,"&lt;="&amp;$B164,Base!$M$3:$M$5001,"&lt;&gt;"))))</f>
        <v>243</v>
      </c>
      <c r="F164" s="149">
        <f>IF($A164&gt;$B$9,"",IF(COUNTIFS(Base!$B$3:$B$5001,F$143,Base!$A$3:$A$5001,"&gt;="&amp;$C$7,Base!$A$3:$A$5001,"&lt;="&amp;$B164,Base!$M$3:$M$5001,"&lt;&gt;")=0,"",SUMIFS(Base!$M$3:$M$5001,Base!$B$3:$B$5001,F$143,Base!$A$3:$A$5001,_xlfn.MAXIFS(Base!$A$3:$A$5001,Base!$B$3:$B$5001,F$143,Base!$A$3:$A$5001,"&gt;="&amp;$C$7,Base!$A$3:$A$5001,"&lt;="&amp;$B164,Base!$M$3:$M$5001,"&lt;&gt;"))))</f>
        <v>944</v>
      </c>
      <c r="G164" s="149">
        <f>IF($A164&gt;$B$9,"",IF(COUNTIFS(Base!$B$3:$B$5001,G$143,Base!$A$3:$A$5001,"&gt;="&amp;$C$7,Base!$A$3:$A$5001,"&lt;="&amp;$B164,Base!$M$3:$M$5001,"&lt;&gt;")=0,"",SUMIFS(Base!$M$3:$M$5001,Base!$B$3:$B$5001,G$143,Base!$A$3:$A$5001,_xlfn.MAXIFS(Base!$A$3:$A$5001,Base!$B$3:$B$5001,G$143,Base!$A$3:$A$5001,"&gt;="&amp;$C$7,Base!$A$3:$A$5001,"&lt;="&amp;$B164,Base!$M$3:$M$5001,"&lt;&gt;"))))</f>
        <v>184</v>
      </c>
    </row>
    <row r="165">
      <c r="A165" s="147">
        <v>22</v>
      </c>
      <c r="B165" s="148">
        <f>$B$33</f>
        <v>46287</v>
      </c>
      <c r="C165" s="149">
        <f>IF($A165&gt;$B$9,"",IF(COUNTIFS(Base!$B$3:$B$5001,C$143,Base!$A$3:$A$5001,"&gt;="&amp;$C$7,Base!$A$3:$A$5001,"&lt;="&amp;$B165,Base!$M$3:$M$5001,"&lt;&gt;")=0,"",SUMIFS(Base!$M$3:$M$5001,Base!$B$3:$B$5001,C$143,Base!$A$3:$A$5001,_xlfn.MAXIFS(Base!$A$3:$A$5001,Base!$B$3:$B$5001,C$143,Base!$A$3:$A$5001,"&gt;="&amp;$C$7,Base!$A$3:$A$5001,"&lt;="&amp;$B165,Base!$M$3:$M$5001,"&lt;&gt;"))))</f>
        <v>1880</v>
      </c>
      <c r="D165" s="149">
        <f>IF($A165&gt;$B$9,"",IF(COUNTIFS(Base!$B$3:$B$5001,D$143,Base!$A$3:$A$5001,"&gt;="&amp;$C$7,Base!$A$3:$A$5001,"&lt;="&amp;$B165,Base!$M$3:$M$5001,"&lt;&gt;")=0,"",SUMIFS(Base!$M$3:$M$5001,Base!$B$3:$B$5001,D$143,Base!$A$3:$A$5001,_xlfn.MAXIFS(Base!$A$3:$A$5001,Base!$B$3:$B$5001,D$143,Base!$A$3:$A$5001,"&gt;="&amp;$C$7,Base!$A$3:$A$5001,"&lt;="&amp;$B165,Base!$M$3:$M$5001,"&lt;&gt;"))))</f>
        <v>575</v>
      </c>
      <c r="E165" s="149">
        <f>IF($A165&gt;$B$9,"",IF(COUNTIFS(Base!$B$3:$B$5001,E$143,Base!$A$3:$A$5001,"&gt;="&amp;$C$7,Base!$A$3:$A$5001,"&lt;="&amp;$B165,Base!$M$3:$M$5001,"&lt;&gt;")=0,"",SUMIFS(Base!$M$3:$M$5001,Base!$B$3:$B$5001,E$143,Base!$A$3:$A$5001,_xlfn.MAXIFS(Base!$A$3:$A$5001,Base!$B$3:$B$5001,E$143,Base!$A$3:$A$5001,"&gt;="&amp;$C$7,Base!$A$3:$A$5001,"&lt;="&amp;$B165,Base!$M$3:$M$5001,"&lt;&gt;"))))</f>
        <v>120</v>
      </c>
      <c r="F165" s="149">
        <f>IF($A165&gt;$B$9,"",IF(COUNTIFS(Base!$B$3:$B$5001,F$143,Base!$A$3:$A$5001,"&gt;="&amp;$C$7,Base!$A$3:$A$5001,"&lt;="&amp;$B165,Base!$M$3:$M$5001,"&lt;&gt;")=0,"",SUMIFS(Base!$M$3:$M$5001,Base!$B$3:$B$5001,F$143,Base!$A$3:$A$5001,_xlfn.MAXIFS(Base!$A$3:$A$5001,Base!$B$3:$B$5001,F$143,Base!$A$3:$A$5001,"&gt;="&amp;$C$7,Base!$A$3:$A$5001,"&lt;="&amp;$B165,Base!$M$3:$M$5001,"&lt;&gt;"))))</f>
        <v>1032</v>
      </c>
      <c r="G165" s="149">
        <f>IF($A165&gt;$B$9,"",IF(COUNTIFS(Base!$B$3:$B$5001,G$143,Base!$A$3:$A$5001,"&gt;="&amp;$C$7,Base!$A$3:$A$5001,"&lt;="&amp;$B165,Base!$M$3:$M$5001,"&lt;&gt;")=0,"",SUMIFS(Base!$M$3:$M$5001,Base!$B$3:$B$5001,G$143,Base!$A$3:$A$5001,_xlfn.MAXIFS(Base!$A$3:$A$5001,Base!$B$3:$B$5001,G$143,Base!$A$3:$A$5001,"&gt;="&amp;$C$7,Base!$A$3:$A$5001,"&lt;="&amp;$B165,Base!$M$3:$M$5001,"&lt;&gt;"))))</f>
        <v>221</v>
      </c>
    </row>
    <row r="166">
      <c r="A166" s="147">
        <v>23</v>
      </c>
      <c r="B166" s="148">
        <f>$B$34</f>
        <v>46288</v>
      </c>
      <c r="C166" s="149">
        <f>IF($A166&gt;$B$9,"",IF(COUNTIFS(Base!$B$3:$B$5001,C$143,Base!$A$3:$A$5001,"&gt;="&amp;$C$7,Base!$A$3:$A$5001,"&lt;="&amp;$B166,Base!$M$3:$M$5001,"&lt;&gt;")=0,"",SUMIFS(Base!$M$3:$M$5001,Base!$B$3:$B$5001,C$143,Base!$A$3:$A$5001,_xlfn.MAXIFS(Base!$A$3:$A$5001,Base!$B$3:$B$5001,C$143,Base!$A$3:$A$5001,"&gt;="&amp;$C$7,Base!$A$3:$A$5001,"&lt;="&amp;$B166,Base!$M$3:$M$5001,"&lt;&gt;"))))</f>
        <v>989</v>
      </c>
      <c r="D166" s="149">
        <f>IF($A166&gt;$B$9,"",IF(COUNTIFS(Base!$B$3:$B$5001,D$143,Base!$A$3:$A$5001,"&gt;="&amp;$C$7,Base!$A$3:$A$5001,"&lt;="&amp;$B166,Base!$M$3:$M$5001,"&lt;&gt;")=0,"",SUMIFS(Base!$M$3:$M$5001,Base!$B$3:$B$5001,D$143,Base!$A$3:$A$5001,_xlfn.MAXIFS(Base!$A$3:$A$5001,Base!$B$3:$B$5001,D$143,Base!$A$3:$A$5001,"&gt;="&amp;$C$7,Base!$A$3:$A$5001,"&lt;="&amp;$B166,Base!$M$3:$M$5001,"&lt;&gt;"))))</f>
        <v>725</v>
      </c>
      <c r="E166" s="149">
        <f>IF($A166&gt;$B$9,"",IF(COUNTIFS(Base!$B$3:$B$5001,E$143,Base!$A$3:$A$5001,"&gt;="&amp;$C$7,Base!$A$3:$A$5001,"&lt;="&amp;$B166,Base!$M$3:$M$5001,"&lt;&gt;")=0,"",SUMIFS(Base!$M$3:$M$5001,Base!$B$3:$B$5001,E$143,Base!$A$3:$A$5001,_xlfn.MAXIFS(Base!$A$3:$A$5001,Base!$B$3:$B$5001,E$143,Base!$A$3:$A$5001,"&gt;="&amp;$C$7,Base!$A$3:$A$5001,"&lt;="&amp;$B166,Base!$M$3:$M$5001,"&lt;&gt;"))))</f>
        <v>296</v>
      </c>
      <c r="F166" s="149">
        <f>IF($A166&gt;$B$9,"",IF(COUNTIFS(Base!$B$3:$B$5001,F$143,Base!$A$3:$A$5001,"&gt;="&amp;$C$7,Base!$A$3:$A$5001,"&lt;="&amp;$B166,Base!$M$3:$M$5001,"&lt;&gt;")=0,"",SUMIFS(Base!$M$3:$M$5001,Base!$B$3:$B$5001,F$143,Base!$A$3:$A$5001,_xlfn.MAXIFS(Base!$A$3:$A$5001,Base!$B$3:$B$5001,F$143,Base!$A$3:$A$5001,"&gt;="&amp;$C$7,Base!$A$3:$A$5001,"&lt;="&amp;$B166,Base!$M$3:$M$5001,"&lt;&gt;"))))</f>
        <v>1075</v>
      </c>
      <c r="G166" s="149">
        <f>IF($A166&gt;$B$9,"",IF(COUNTIFS(Base!$B$3:$B$5001,G$143,Base!$A$3:$A$5001,"&gt;="&amp;$C$7,Base!$A$3:$A$5001,"&lt;="&amp;$B166,Base!$M$3:$M$5001,"&lt;&gt;")=0,"",SUMIFS(Base!$M$3:$M$5001,Base!$B$3:$B$5001,G$143,Base!$A$3:$A$5001,_xlfn.MAXIFS(Base!$A$3:$A$5001,Base!$B$3:$B$5001,G$143,Base!$A$3:$A$5001,"&gt;="&amp;$C$7,Base!$A$3:$A$5001,"&lt;="&amp;$B166,Base!$M$3:$M$5001,"&lt;&gt;"))))</f>
        <v>210</v>
      </c>
    </row>
    <row r="167">
      <c r="A167" s="147">
        <v>24</v>
      </c>
      <c r="B167" s="148">
        <f>$B$35</f>
        <v>46289</v>
      </c>
      <c r="C167" s="149">
        <f>IF($A167&gt;$B$9,"",IF(COUNTIFS(Base!$B$3:$B$5001,C$143,Base!$A$3:$A$5001,"&gt;="&amp;$C$7,Base!$A$3:$A$5001,"&lt;="&amp;$B167,Base!$M$3:$M$5001,"&lt;&gt;")=0,"",SUMIFS(Base!$M$3:$M$5001,Base!$B$3:$B$5001,C$143,Base!$A$3:$A$5001,_xlfn.MAXIFS(Base!$A$3:$A$5001,Base!$B$3:$B$5001,C$143,Base!$A$3:$A$5001,"&gt;="&amp;$C$7,Base!$A$3:$A$5001,"&lt;="&amp;$B167,Base!$M$3:$M$5001,"&lt;&gt;"))))</f>
        <v>1245</v>
      </c>
      <c r="D167" s="149">
        <f>IF($A167&gt;$B$9,"",IF(COUNTIFS(Base!$B$3:$B$5001,D$143,Base!$A$3:$A$5001,"&gt;="&amp;$C$7,Base!$A$3:$A$5001,"&lt;="&amp;$B167,Base!$M$3:$M$5001,"&lt;&gt;")=0,"",SUMIFS(Base!$M$3:$M$5001,Base!$B$3:$B$5001,D$143,Base!$A$3:$A$5001,_xlfn.MAXIFS(Base!$A$3:$A$5001,Base!$B$3:$B$5001,D$143,Base!$A$3:$A$5001,"&gt;="&amp;$C$7,Base!$A$3:$A$5001,"&lt;="&amp;$B167,Base!$M$3:$M$5001,"&lt;&gt;"))))</f>
        <v>727</v>
      </c>
      <c r="E167" s="149">
        <f>IF($A167&gt;$B$9,"",IF(COUNTIFS(Base!$B$3:$B$5001,E$143,Base!$A$3:$A$5001,"&gt;="&amp;$C$7,Base!$A$3:$A$5001,"&lt;="&amp;$B167,Base!$M$3:$M$5001,"&lt;&gt;")=0,"",SUMIFS(Base!$M$3:$M$5001,Base!$B$3:$B$5001,E$143,Base!$A$3:$A$5001,_xlfn.MAXIFS(Base!$A$3:$A$5001,Base!$B$3:$B$5001,E$143,Base!$A$3:$A$5001,"&gt;="&amp;$C$7,Base!$A$3:$A$5001,"&lt;="&amp;$B167,Base!$M$3:$M$5001,"&lt;&gt;"))))</f>
        <v>303</v>
      </c>
      <c r="F167" s="149">
        <f>IF($A167&gt;$B$9,"",IF(COUNTIFS(Base!$B$3:$B$5001,F$143,Base!$A$3:$A$5001,"&gt;="&amp;$C$7,Base!$A$3:$A$5001,"&lt;="&amp;$B167,Base!$M$3:$M$5001,"&lt;&gt;")=0,"",SUMIFS(Base!$M$3:$M$5001,Base!$B$3:$B$5001,F$143,Base!$A$3:$A$5001,_xlfn.MAXIFS(Base!$A$3:$A$5001,Base!$B$3:$B$5001,F$143,Base!$A$3:$A$5001,"&gt;="&amp;$C$7,Base!$A$3:$A$5001,"&lt;="&amp;$B167,Base!$M$3:$M$5001,"&lt;&gt;"))))</f>
        <v>1186</v>
      </c>
      <c r="G167" s="149">
        <f>IF($A167&gt;$B$9,"",IF(COUNTIFS(Base!$B$3:$B$5001,G$143,Base!$A$3:$A$5001,"&gt;="&amp;$C$7,Base!$A$3:$A$5001,"&lt;="&amp;$B167,Base!$M$3:$M$5001,"&lt;&gt;")=0,"",SUMIFS(Base!$M$3:$M$5001,Base!$B$3:$B$5001,G$143,Base!$A$3:$A$5001,_xlfn.MAXIFS(Base!$A$3:$A$5001,Base!$B$3:$B$5001,G$143,Base!$A$3:$A$5001,"&gt;="&amp;$C$7,Base!$A$3:$A$5001,"&lt;="&amp;$B167,Base!$M$3:$M$5001,"&lt;&gt;"))))</f>
        <v>280</v>
      </c>
    </row>
    <row r="168">
      <c r="A168" s="147">
        <v>25</v>
      </c>
      <c r="B168" s="148">
        <f>$B$36</f>
        <v>46290</v>
      </c>
      <c r="C168" s="149">
        <f>IF($A168&gt;$B$9,"",IF(COUNTIFS(Base!$B$3:$B$5001,C$143,Base!$A$3:$A$5001,"&gt;="&amp;$C$7,Base!$A$3:$A$5001,"&lt;="&amp;$B168,Base!$M$3:$M$5001,"&lt;&gt;")=0,"",SUMIFS(Base!$M$3:$M$5001,Base!$B$3:$B$5001,C$143,Base!$A$3:$A$5001,_xlfn.MAXIFS(Base!$A$3:$A$5001,Base!$B$3:$B$5001,C$143,Base!$A$3:$A$5001,"&gt;="&amp;$C$7,Base!$A$3:$A$5001,"&lt;="&amp;$B168,Base!$M$3:$M$5001,"&lt;&gt;"))))</f>
        <v>1741</v>
      </c>
      <c r="D168" s="149">
        <f>IF($A168&gt;$B$9,"",IF(COUNTIFS(Base!$B$3:$B$5001,D$143,Base!$A$3:$A$5001,"&gt;="&amp;$C$7,Base!$A$3:$A$5001,"&lt;="&amp;$B168,Base!$M$3:$M$5001,"&lt;&gt;")=0,"",SUMIFS(Base!$M$3:$M$5001,Base!$B$3:$B$5001,D$143,Base!$A$3:$A$5001,_xlfn.MAXIFS(Base!$A$3:$A$5001,Base!$B$3:$B$5001,D$143,Base!$A$3:$A$5001,"&gt;="&amp;$C$7,Base!$A$3:$A$5001,"&lt;="&amp;$B168,Base!$M$3:$M$5001,"&lt;&gt;"))))</f>
        <v>675</v>
      </c>
      <c r="E168" s="149">
        <f>IF($A168&gt;$B$9,"",IF(COUNTIFS(Base!$B$3:$B$5001,E$143,Base!$A$3:$A$5001,"&gt;="&amp;$C$7,Base!$A$3:$A$5001,"&lt;="&amp;$B168,Base!$M$3:$M$5001,"&lt;&gt;")=0,"",SUMIFS(Base!$M$3:$M$5001,Base!$B$3:$B$5001,E$143,Base!$A$3:$A$5001,_xlfn.MAXIFS(Base!$A$3:$A$5001,Base!$B$3:$B$5001,E$143,Base!$A$3:$A$5001,"&gt;="&amp;$C$7,Base!$A$3:$A$5001,"&lt;="&amp;$B168,Base!$M$3:$M$5001,"&lt;&gt;"))))</f>
        <v>364</v>
      </c>
      <c r="F168" s="149">
        <f>IF($A168&gt;$B$9,"",IF(COUNTIFS(Base!$B$3:$B$5001,F$143,Base!$A$3:$A$5001,"&gt;="&amp;$C$7,Base!$A$3:$A$5001,"&lt;="&amp;$B168,Base!$M$3:$M$5001,"&lt;&gt;")=0,"",SUMIFS(Base!$M$3:$M$5001,Base!$B$3:$B$5001,F$143,Base!$A$3:$A$5001,_xlfn.MAXIFS(Base!$A$3:$A$5001,Base!$B$3:$B$5001,F$143,Base!$A$3:$A$5001,"&gt;="&amp;$C$7,Base!$A$3:$A$5001,"&lt;="&amp;$B168,Base!$M$3:$M$5001,"&lt;&gt;"))))</f>
        <v>726</v>
      </c>
      <c r="G168" s="149">
        <f>IF($A168&gt;$B$9,"",IF(COUNTIFS(Base!$B$3:$B$5001,G$143,Base!$A$3:$A$5001,"&gt;="&amp;$C$7,Base!$A$3:$A$5001,"&lt;="&amp;$B168,Base!$M$3:$M$5001,"&lt;&gt;")=0,"",SUMIFS(Base!$M$3:$M$5001,Base!$B$3:$B$5001,G$143,Base!$A$3:$A$5001,_xlfn.MAXIFS(Base!$A$3:$A$5001,Base!$B$3:$B$5001,G$143,Base!$A$3:$A$5001,"&gt;="&amp;$C$7,Base!$A$3:$A$5001,"&lt;="&amp;$B168,Base!$M$3:$M$5001,"&lt;&gt;"))))</f>
        <v>309</v>
      </c>
    </row>
    <row r="169">
      <c r="A169" s="147">
        <v>26</v>
      </c>
      <c r="B169" s="148">
        <f>$B$37</f>
        <v>46291</v>
      </c>
      <c r="C169" s="149">
        <f>IF($A169&gt;$B$9,"",IF(COUNTIFS(Base!$B$3:$B$5001,C$143,Base!$A$3:$A$5001,"&gt;="&amp;$C$7,Base!$A$3:$A$5001,"&lt;="&amp;$B169,Base!$M$3:$M$5001,"&lt;&gt;")=0,"",SUMIFS(Base!$M$3:$M$5001,Base!$B$3:$B$5001,C$143,Base!$A$3:$A$5001,_xlfn.MAXIFS(Base!$A$3:$A$5001,Base!$B$3:$B$5001,C$143,Base!$A$3:$A$5001,"&gt;="&amp;$C$7,Base!$A$3:$A$5001,"&lt;="&amp;$B169,Base!$M$3:$M$5001,"&lt;&gt;"))))</f>
        <v>1815</v>
      </c>
      <c r="D169" s="149">
        <f>IF($A169&gt;$B$9,"",IF(COUNTIFS(Base!$B$3:$B$5001,D$143,Base!$A$3:$A$5001,"&gt;="&amp;$C$7,Base!$A$3:$A$5001,"&lt;="&amp;$B169,Base!$M$3:$M$5001,"&lt;&gt;")=0,"",SUMIFS(Base!$M$3:$M$5001,Base!$B$3:$B$5001,D$143,Base!$A$3:$A$5001,_xlfn.MAXIFS(Base!$A$3:$A$5001,Base!$B$3:$B$5001,D$143,Base!$A$3:$A$5001,"&gt;="&amp;$C$7,Base!$A$3:$A$5001,"&lt;="&amp;$B169,Base!$M$3:$M$5001,"&lt;&gt;"))))</f>
        <v>675</v>
      </c>
      <c r="E169" s="149">
        <f>IF($A169&gt;$B$9,"",IF(COUNTIFS(Base!$B$3:$B$5001,E$143,Base!$A$3:$A$5001,"&gt;="&amp;$C$7,Base!$A$3:$A$5001,"&lt;="&amp;$B169,Base!$M$3:$M$5001,"&lt;&gt;")=0,"",SUMIFS(Base!$M$3:$M$5001,Base!$B$3:$B$5001,E$143,Base!$A$3:$A$5001,_xlfn.MAXIFS(Base!$A$3:$A$5001,Base!$B$3:$B$5001,E$143,Base!$A$3:$A$5001,"&gt;="&amp;$C$7,Base!$A$3:$A$5001,"&lt;="&amp;$B169,Base!$M$3:$M$5001,"&lt;&gt;"))))</f>
        <v>364</v>
      </c>
      <c r="F169" s="149">
        <f>IF($A169&gt;$B$9,"",IF(COUNTIFS(Base!$B$3:$B$5001,F$143,Base!$A$3:$A$5001,"&gt;="&amp;$C$7,Base!$A$3:$A$5001,"&lt;="&amp;$B169,Base!$M$3:$M$5001,"&lt;&gt;")=0,"",SUMIFS(Base!$M$3:$M$5001,Base!$B$3:$B$5001,F$143,Base!$A$3:$A$5001,_xlfn.MAXIFS(Base!$A$3:$A$5001,Base!$B$3:$B$5001,F$143,Base!$A$3:$A$5001,"&gt;="&amp;$C$7,Base!$A$3:$A$5001,"&lt;="&amp;$B169,Base!$M$3:$M$5001,"&lt;&gt;"))))</f>
        <v>726</v>
      </c>
      <c r="G169" s="149">
        <f>IF($A169&gt;$B$9,"",IF(COUNTIFS(Base!$B$3:$B$5001,G$143,Base!$A$3:$A$5001,"&gt;="&amp;$C$7,Base!$A$3:$A$5001,"&lt;="&amp;$B169,Base!$M$3:$M$5001,"&lt;&gt;")=0,"",SUMIFS(Base!$M$3:$M$5001,Base!$B$3:$B$5001,G$143,Base!$A$3:$A$5001,_xlfn.MAXIFS(Base!$A$3:$A$5001,Base!$B$3:$B$5001,G$143,Base!$A$3:$A$5001,"&gt;="&amp;$C$7,Base!$A$3:$A$5001,"&lt;="&amp;$B169,Base!$M$3:$M$5001,"&lt;&gt;"))))</f>
        <v>154</v>
      </c>
    </row>
    <row r="170">
      <c r="A170" s="147">
        <v>27</v>
      </c>
      <c r="B170" s="148">
        <f>$B$38</f>
        <v>46292</v>
      </c>
      <c r="C170" s="149">
        <f>IF($A170&gt;$B$9,"",IF(COUNTIFS(Base!$B$3:$B$5001,C$143,Base!$A$3:$A$5001,"&gt;="&amp;$C$7,Base!$A$3:$A$5001,"&lt;="&amp;$B170,Base!$M$3:$M$5001,"&lt;&gt;")=0,"",SUMIFS(Base!$M$3:$M$5001,Base!$B$3:$B$5001,C$143,Base!$A$3:$A$5001,_xlfn.MAXIFS(Base!$A$3:$A$5001,Base!$B$3:$B$5001,C$143,Base!$A$3:$A$5001,"&gt;="&amp;$C$7,Base!$A$3:$A$5001,"&lt;="&amp;$B170,Base!$M$3:$M$5001,"&lt;&gt;"))))</f>
        <v>1211</v>
      </c>
      <c r="D170" s="149">
        <f>IF($A170&gt;$B$9,"",IF(COUNTIFS(Base!$B$3:$B$5001,D$143,Base!$A$3:$A$5001,"&gt;="&amp;$C$7,Base!$A$3:$A$5001,"&lt;="&amp;$B170,Base!$M$3:$M$5001,"&lt;&gt;")=0,"",SUMIFS(Base!$M$3:$M$5001,Base!$B$3:$B$5001,D$143,Base!$A$3:$A$5001,_xlfn.MAXIFS(Base!$A$3:$A$5001,Base!$B$3:$B$5001,D$143,Base!$A$3:$A$5001,"&gt;="&amp;$C$7,Base!$A$3:$A$5001,"&lt;="&amp;$B170,Base!$M$3:$M$5001,"&lt;&gt;"))))</f>
        <v>675</v>
      </c>
      <c r="E170" s="149">
        <f>IF($A170&gt;$B$9,"",IF(COUNTIFS(Base!$B$3:$B$5001,E$143,Base!$A$3:$A$5001,"&gt;="&amp;$C$7,Base!$A$3:$A$5001,"&lt;="&amp;$B170,Base!$M$3:$M$5001,"&lt;&gt;")=0,"",SUMIFS(Base!$M$3:$M$5001,Base!$B$3:$B$5001,E$143,Base!$A$3:$A$5001,_xlfn.MAXIFS(Base!$A$3:$A$5001,Base!$B$3:$B$5001,E$143,Base!$A$3:$A$5001,"&gt;="&amp;$C$7,Base!$A$3:$A$5001,"&lt;="&amp;$B170,Base!$M$3:$M$5001,"&lt;&gt;"))))</f>
        <v>364</v>
      </c>
      <c r="F170" s="149">
        <f>IF($A170&gt;$B$9,"",IF(COUNTIFS(Base!$B$3:$B$5001,F$143,Base!$A$3:$A$5001,"&gt;="&amp;$C$7,Base!$A$3:$A$5001,"&lt;="&amp;$B170,Base!$M$3:$M$5001,"&lt;&gt;")=0,"",SUMIFS(Base!$M$3:$M$5001,Base!$B$3:$B$5001,F$143,Base!$A$3:$A$5001,_xlfn.MAXIFS(Base!$A$3:$A$5001,Base!$B$3:$B$5001,F$143,Base!$A$3:$A$5001,"&gt;="&amp;$C$7,Base!$A$3:$A$5001,"&lt;="&amp;$B170,Base!$M$3:$M$5001,"&lt;&gt;"))))</f>
        <v>726</v>
      </c>
      <c r="G170" s="149">
        <f>IF($A170&gt;$B$9,"",IF(COUNTIFS(Base!$B$3:$B$5001,G$143,Base!$A$3:$A$5001,"&gt;="&amp;$C$7,Base!$A$3:$A$5001,"&lt;="&amp;$B170,Base!$M$3:$M$5001,"&lt;&gt;")=0,"",SUMIFS(Base!$M$3:$M$5001,Base!$B$3:$B$5001,G$143,Base!$A$3:$A$5001,_xlfn.MAXIFS(Base!$A$3:$A$5001,Base!$B$3:$B$5001,G$143,Base!$A$3:$A$5001,"&gt;="&amp;$C$7,Base!$A$3:$A$5001,"&lt;="&amp;$B170,Base!$M$3:$M$5001,"&lt;&gt;"))))</f>
        <v>154</v>
      </c>
    </row>
    <row r="171">
      <c r="A171" s="147">
        <v>28</v>
      </c>
      <c r="B171" s="148">
        <f>$B$39</f>
        <v>46293</v>
      </c>
      <c r="C171" s="149">
        <f>IF($A171&gt;$B$9,"",IF(COUNTIFS(Base!$B$3:$B$5001,C$143,Base!$A$3:$A$5001,"&gt;="&amp;$C$7,Base!$A$3:$A$5001,"&lt;="&amp;$B171,Base!$M$3:$M$5001,"&lt;&gt;")=0,"",SUMIFS(Base!$M$3:$M$5001,Base!$B$3:$B$5001,C$143,Base!$A$3:$A$5001,_xlfn.MAXIFS(Base!$A$3:$A$5001,Base!$B$3:$B$5001,C$143,Base!$A$3:$A$5001,"&gt;="&amp;$C$7,Base!$A$3:$A$5001,"&lt;="&amp;$B171,Base!$M$3:$M$5001,"&lt;&gt;"))))</f>
        <v>1047</v>
      </c>
      <c r="D171" s="149">
        <f>IF($A171&gt;$B$9,"",IF(COUNTIFS(Base!$B$3:$B$5001,D$143,Base!$A$3:$A$5001,"&gt;="&amp;$C$7,Base!$A$3:$A$5001,"&lt;="&amp;$B171,Base!$M$3:$M$5001,"&lt;&gt;")=0,"",SUMIFS(Base!$M$3:$M$5001,Base!$B$3:$B$5001,D$143,Base!$A$3:$A$5001,_xlfn.MAXIFS(Base!$A$3:$A$5001,Base!$B$3:$B$5001,D$143,Base!$A$3:$A$5001,"&gt;="&amp;$C$7,Base!$A$3:$A$5001,"&lt;="&amp;$B171,Base!$M$3:$M$5001,"&lt;&gt;"))))</f>
        <v>588</v>
      </c>
      <c r="E171" s="149">
        <f>IF($A171&gt;$B$9,"",IF(COUNTIFS(Base!$B$3:$B$5001,E$143,Base!$A$3:$A$5001,"&gt;="&amp;$C$7,Base!$A$3:$A$5001,"&lt;="&amp;$B171,Base!$M$3:$M$5001,"&lt;&gt;")=0,"",SUMIFS(Base!$M$3:$M$5001,Base!$B$3:$B$5001,E$143,Base!$A$3:$A$5001,_xlfn.MAXIFS(Base!$A$3:$A$5001,Base!$B$3:$B$5001,E$143,Base!$A$3:$A$5001,"&gt;="&amp;$C$7,Base!$A$3:$A$5001,"&lt;="&amp;$B171,Base!$M$3:$M$5001,"&lt;&gt;"))))</f>
        <v>265</v>
      </c>
      <c r="F171" s="149">
        <f>IF($A171&gt;$B$9,"",IF(COUNTIFS(Base!$B$3:$B$5001,F$143,Base!$A$3:$A$5001,"&gt;="&amp;$C$7,Base!$A$3:$A$5001,"&lt;="&amp;$B171,Base!$M$3:$M$5001,"&lt;&gt;")=0,"",SUMIFS(Base!$M$3:$M$5001,Base!$B$3:$B$5001,F$143,Base!$A$3:$A$5001,_xlfn.MAXIFS(Base!$A$3:$A$5001,Base!$B$3:$B$5001,F$143,Base!$A$3:$A$5001,"&gt;="&amp;$C$7,Base!$A$3:$A$5001,"&lt;="&amp;$B171,Base!$M$3:$M$5001,"&lt;&gt;"))))</f>
        <v>777</v>
      </c>
      <c r="G171" s="149">
        <f>IF($A171&gt;$B$9,"",IF(COUNTIFS(Base!$B$3:$B$5001,G$143,Base!$A$3:$A$5001,"&gt;="&amp;$C$7,Base!$A$3:$A$5001,"&lt;="&amp;$B171,Base!$M$3:$M$5001,"&lt;&gt;")=0,"",SUMIFS(Base!$M$3:$M$5001,Base!$B$3:$B$5001,G$143,Base!$A$3:$A$5001,_xlfn.MAXIFS(Base!$A$3:$A$5001,Base!$B$3:$B$5001,G$143,Base!$A$3:$A$5001,"&gt;="&amp;$C$7,Base!$A$3:$A$5001,"&lt;="&amp;$B171,Base!$M$3:$M$5001,"&lt;&gt;"))))</f>
        <v>110</v>
      </c>
    </row>
    <row r="172">
      <c r="A172" s="147">
        <v>29</v>
      </c>
      <c r="B172" s="148">
        <f>$B$40</f>
        <v>46294</v>
      </c>
      <c r="C172" s="149">
        <f>IF($A172&gt;$B$9,"",IF(COUNTIFS(Base!$B$3:$B$5001,C$143,Base!$A$3:$A$5001,"&gt;="&amp;$C$7,Base!$A$3:$A$5001,"&lt;="&amp;$B172,Base!$M$3:$M$5001,"&lt;&gt;")=0,"",SUMIFS(Base!$M$3:$M$5001,Base!$B$3:$B$5001,C$143,Base!$A$3:$A$5001,_xlfn.MAXIFS(Base!$A$3:$A$5001,Base!$B$3:$B$5001,C$143,Base!$A$3:$A$5001,"&gt;="&amp;$C$7,Base!$A$3:$A$5001,"&lt;="&amp;$B172,Base!$M$3:$M$5001,"&lt;&gt;"))))</f>
        <v>1872</v>
      </c>
      <c r="D172" s="149">
        <f>IF($A172&gt;$B$9,"",IF(COUNTIFS(Base!$B$3:$B$5001,D$143,Base!$A$3:$A$5001,"&gt;="&amp;$C$7,Base!$A$3:$A$5001,"&lt;="&amp;$B172,Base!$M$3:$M$5001,"&lt;&gt;")=0,"",SUMIFS(Base!$M$3:$M$5001,Base!$B$3:$B$5001,D$143,Base!$A$3:$A$5001,_xlfn.MAXIFS(Base!$A$3:$A$5001,Base!$B$3:$B$5001,D$143,Base!$A$3:$A$5001,"&gt;="&amp;$C$7,Base!$A$3:$A$5001,"&lt;="&amp;$B172,Base!$M$3:$M$5001,"&lt;&gt;"))))</f>
        <v>565</v>
      </c>
      <c r="E172" s="149">
        <f>IF($A172&gt;$B$9,"",IF(COUNTIFS(Base!$B$3:$B$5001,E$143,Base!$A$3:$A$5001,"&gt;="&amp;$C$7,Base!$A$3:$A$5001,"&lt;="&amp;$B172,Base!$M$3:$M$5001,"&lt;&gt;")=0,"",SUMIFS(Base!$M$3:$M$5001,Base!$B$3:$B$5001,E$143,Base!$A$3:$A$5001,_xlfn.MAXIFS(Base!$A$3:$A$5001,Base!$B$3:$B$5001,E$143,Base!$A$3:$A$5001,"&gt;="&amp;$C$7,Base!$A$3:$A$5001,"&lt;="&amp;$B172,Base!$M$3:$M$5001,"&lt;&gt;"))))</f>
        <v>373</v>
      </c>
      <c r="F172" s="149">
        <f>IF($A172&gt;$B$9,"",IF(COUNTIFS(Base!$B$3:$B$5001,F$143,Base!$A$3:$A$5001,"&gt;="&amp;$C$7,Base!$A$3:$A$5001,"&lt;="&amp;$B172,Base!$M$3:$M$5001,"&lt;&gt;")=0,"",SUMIFS(Base!$M$3:$M$5001,Base!$B$3:$B$5001,F$143,Base!$A$3:$A$5001,_xlfn.MAXIFS(Base!$A$3:$A$5001,Base!$B$3:$B$5001,F$143,Base!$A$3:$A$5001,"&gt;="&amp;$C$7,Base!$A$3:$A$5001,"&lt;="&amp;$B172,Base!$M$3:$M$5001,"&lt;&gt;"))))</f>
        <v>1196</v>
      </c>
      <c r="G172" s="149">
        <f>IF($A172&gt;$B$9,"",IF(COUNTIFS(Base!$B$3:$B$5001,G$143,Base!$A$3:$A$5001,"&gt;="&amp;$C$7,Base!$A$3:$A$5001,"&lt;="&amp;$B172,Base!$M$3:$M$5001,"&lt;&gt;")=0,"",SUMIFS(Base!$M$3:$M$5001,Base!$B$3:$B$5001,G$143,Base!$A$3:$A$5001,_xlfn.MAXIFS(Base!$A$3:$A$5001,Base!$B$3:$B$5001,G$143,Base!$A$3:$A$5001,"&gt;="&amp;$C$7,Base!$A$3:$A$5001,"&lt;="&amp;$B172,Base!$M$3:$M$5001,"&lt;&gt;"))))</f>
        <v>221</v>
      </c>
    </row>
    <row r="173">
      <c r="A173" s="147">
        <v>30</v>
      </c>
      <c r="B173" s="148">
        <f>$B$41</f>
        <v>46295</v>
      </c>
      <c r="C173" s="149" t="str">
        <f>IF($A173&gt;$B$9,"",IF(COUNTIFS(Base!$B$3:$B$5001,C$143,Base!$A$3:$A$5001,"&gt;="&amp;$C$7,Base!$A$3:$A$5001,"&lt;="&amp;$B173,Base!$M$3:$M$5001,"&lt;&gt;")=0,"",SUMIFS(Base!$M$3:$M$5001,Base!$B$3:$B$5001,C$143,Base!$A$3:$A$5001,_xlfn.MAXIFS(Base!$A$3:$A$5001,Base!$B$3:$B$5001,C$143,Base!$A$3:$A$5001,"&gt;="&amp;$C$7,Base!$A$3:$A$5001,"&lt;="&amp;$B173,Base!$M$3:$M$5001,"&lt;&gt;"))))</f>
        <v/>
      </c>
      <c r="D173" s="149" t="str">
        <f>IF($A173&gt;$B$9,"",IF(COUNTIFS(Base!$B$3:$B$5001,D$143,Base!$A$3:$A$5001,"&gt;="&amp;$C$7,Base!$A$3:$A$5001,"&lt;="&amp;$B173,Base!$M$3:$M$5001,"&lt;&gt;")=0,"",SUMIFS(Base!$M$3:$M$5001,Base!$B$3:$B$5001,D$143,Base!$A$3:$A$5001,_xlfn.MAXIFS(Base!$A$3:$A$5001,Base!$B$3:$B$5001,D$143,Base!$A$3:$A$5001,"&gt;="&amp;$C$7,Base!$A$3:$A$5001,"&lt;="&amp;$B173,Base!$M$3:$M$5001,"&lt;&gt;"))))</f>
        <v/>
      </c>
      <c r="E173" s="149" t="str">
        <f>IF($A173&gt;$B$9,"",IF(COUNTIFS(Base!$B$3:$B$5001,E$143,Base!$A$3:$A$5001,"&gt;="&amp;$C$7,Base!$A$3:$A$5001,"&lt;="&amp;$B173,Base!$M$3:$M$5001,"&lt;&gt;")=0,"",SUMIFS(Base!$M$3:$M$5001,Base!$B$3:$B$5001,E$143,Base!$A$3:$A$5001,_xlfn.MAXIFS(Base!$A$3:$A$5001,Base!$B$3:$B$5001,E$143,Base!$A$3:$A$5001,"&gt;="&amp;$C$7,Base!$A$3:$A$5001,"&lt;="&amp;$B173,Base!$M$3:$M$5001,"&lt;&gt;"))))</f>
        <v/>
      </c>
      <c r="F173" s="149" t="str">
        <f>IF($A173&gt;$B$9,"",IF(COUNTIFS(Base!$B$3:$B$5001,F$143,Base!$A$3:$A$5001,"&gt;="&amp;$C$7,Base!$A$3:$A$5001,"&lt;="&amp;$B173,Base!$M$3:$M$5001,"&lt;&gt;")=0,"",SUMIFS(Base!$M$3:$M$5001,Base!$B$3:$B$5001,F$143,Base!$A$3:$A$5001,_xlfn.MAXIFS(Base!$A$3:$A$5001,Base!$B$3:$B$5001,F$143,Base!$A$3:$A$5001,"&gt;="&amp;$C$7,Base!$A$3:$A$5001,"&lt;="&amp;$B173,Base!$M$3:$M$5001,"&lt;&gt;"))))</f>
        <v/>
      </c>
      <c r="G173" s="149" t="str">
        <f>IF($A173&gt;$B$9,"",IF(COUNTIFS(Base!$B$3:$B$5001,G$143,Base!$A$3:$A$5001,"&gt;="&amp;$C$7,Base!$A$3:$A$5001,"&lt;="&amp;$B173,Base!$M$3:$M$5001,"&lt;&gt;")=0,"",SUMIFS(Base!$M$3:$M$5001,Base!$B$3:$B$5001,G$143,Base!$A$3:$A$5001,_xlfn.MAXIFS(Base!$A$3:$A$5001,Base!$B$3:$B$5001,G$143,Base!$A$3:$A$5001,"&gt;="&amp;$C$7,Base!$A$3:$A$5001,"&lt;="&amp;$B173,Base!$M$3:$M$5001,"&lt;&gt;"))))</f>
        <v/>
      </c>
    </row>
    <row r="174">
      <c r="A174" s="147">
        <v>31</v>
      </c>
      <c r="B174" s="148" t="str">
        <f>$B$42</f>
        <v/>
      </c>
      <c r="C174" s="149" t="str">
        <f>IF($A174&gt;$B$9,"",IF(COUNTIFS(Base!$B$3:$B$5001,C$143,Base!$A$3:$A$5001,"&gt;="&amp;$C$7,Base!$A$3:$A$5001,"&lt;="&amp;$B174,Base!$M$3:$M$5001,"&lt;&gt;")=0,"",SUMIFS(Base!$M$3:$M$5001,Base!$B$3:$B$5001,C$143,Base!$A$3:$A$5001,_xlfn.MAXIFS(Base!$A$3:$A$5001,Base!$B$3:$B$5001,C$143,Base!$A$3:$A$5001,"&gt;="&amp;$C$7,Base!$A$3:$A$5001,"&lt;="&amp;$B174,Base!$M$3:$M$5001,"&lt;&gt;"))))</f>
        <v/>
      </c>
      <c r="D174" s="149" t="str">
        <f>IF($A174&gt;$B$9,"",IF(COUNTIFS(Base!$B$3:$B$5001,D$143,Base!$A$3:$A$5001,"&gt;="&amp;$C$7,Base!$A$3:$A$5001,"&lt;="&amp;$B174,Base!$M$3:$M$5001,"&lt;&gt;")=0,"",SUMIFS(Base!$M$3:$M$5001,Base!$B$3:$B$5001,D$143,Base!$A$3:$A$5001,_xlfn.MAXIFS(Base!$A$3:$A$5001,Base!$B$3:$B$5001,D$143,Base!$A$3:$A$5001,"&gt;="&amp;$C$7,Base!$A$3:$A$5001,"&lt;="&amp;$B174,Base!$M$3:$M$5001,"&lt;&gt;"))))</f>
        <v/>
      </c>
      <c r="E174" s="149" t="str">
        <f>IF($A174&gt;$B$9,"",IF(COUNTIFS(Base!$B$3:$B$5001,E$143,Base!$A$3:$A$5001,"&gt;="&amp;$C$7,Base!$A$3:$A$5001,"&lt;="&amp;$B174,Base!$M$3:$M$5001,"&lt;&gt;")=0,"",SUMIFS(Base!$M$3:$M$5001,Base!$B$3:$B$5001,E$143,Base!$A$3:$A$5001,_xlfn.MAXIFS(Base!$A$3:$A$5001,Base!$B$3:$B$5001,E$143,Base!$A$3:$A$5001,"&gt;="&amp;$C$7,Base!$A$3:$A$5001,"&lt;="&amp;$B174,Base!$M$3:$M$5001,"&lt;&gt;"))))</f>
        <v/>
      </c>
      <c r="F174" s="149" t="str">
        <f>IF($A174&gt;$B$9,"",IF(COUNTIFS(Base!$B$3:$B$5001,F$143,Base!$A$3:$A$5001,"&gt;="&amp;$C$7,Base!$A$3:$A$5001,"&lt;="&amp;$B174,Base!$M$3:$M$5001,"&lt;&gt;")=0,"",SUMIFS(Base!$M$3:$M$5001,Base!$B$3:$B$5001,F$143,Base!$A$3:$A$5001,_xlfn.MAXIFS(Base!$A$3:$A$5001,Base!$B$3:$B$5001,F$143,Base!$A$3:$A$5001,"&gt;="&amp;$C$7,Base!$A$3:$A$5001,"&lt;="&amp;$B174,Base!$M$3:$M$5001,"&lt;&gt;"))))</f>
        <v/>
      </c>
      <c r="G174" s="149" t="str">
        <f>IF($A174&gt;$B$9,"",IF(COUNTIFS(Base!$B$3:$B$5001,G$143,Base!$A$3:$A$5001,"&gt;="&amp;$C$7,Base!$A$3:$A$5001,"&lt;="&amp;$B174,Base!$M$3:$M$5001,"&lt;&gt;")=0,"",SUMIFS(Base!$M$3:$M$5001,Base!$B$3:$B$5001,G$143,Base!$A$3:$A$5001,_xlfn.MAXIFS(Base!$A$3:$A$5001,Base!$B$3:$B$5001,G$143,Base!$A$3:$A$5001,"&gt;="&amp;$C$7,Base!$A$3:$A$5001,"&lt;="&amp;$B174,Base!$M$3:$M$5001,"&lt;&gt;"))))</f>
        <v/>
      </c>
    </row>
    <row r="175">
      <c r="A175" s="150" t="inlineStr">
        <is>
          <t xml:space="preserve">Mês anterior (último)</t>
        </is>
      </c>
      <c r="C175" s="151">
        <f>IF(COUNTIFS(Base!$B$3:$B$5001,C$143,Base!$A$3:$A$5001,"&gt;="&amp;$C$8,Base!$A$3:$A$5001,"&lt;="&amp;$D$8,Base!$M$3:$M$5001,"&lt;&gt;")=0,"",SUMIFS(Base!$M$3:$M$5001,Base!$B$3:$B$5001,C$143,Base!$A$3:$A$5001,_xlfn.MAXIFS(Base!$A$3:$A$5001,Base!$B$3:$B$5001,C$143,Base!$A$3:$A$5001,"&gt;="&amp;$C$8,Base!$A$3:$A$5001,"&lt;="&amp;$D$8,Base!$M$3:$M$5001,"&lt;&gt;")))</f>
        <v>1551</v>
      </c>
      <c r="D175" s="151">
        <f>IF(COUNTIFS(Base!$B$3:$B$5001,D$143,Base!$A$3:$A$5001,"&gt;="&amp;$C$8,Base!$A$3:$A$5001,"&lt;="&amp;$D$8,Base!$M$3:$M$5001,"&lt;&gt;")=0,"",SUMIFS(Base!$M$3:$M$5001,Base!$B$3:$B$5001,D$143,Base!$A$3:$A$5001,_xlfn.MAXIFS(Base!$A$3:$A$5001,Base!$B$3:$B$5001,D$143,Base!$A$3:$A$5001,"&gt;="&amp;$C$8,Base!$A$3:$A$5001,"&lt;="&amp;$D$8,Base!$M$3:$M$5001,"&lt;&gt;")))</f>
        <v>567</v>
      </c>
      <c r="E175" s="151">
        <f>IF(COUNTIFS(Base!$B$3:$B$5001,E$143,Base!$A$3:$A$5001,"&gt;="&amp;$C$8,Base!$A$3:$A$5001,"&lt;="&amp;$D$8,Base!$M$3:$M$5001,"&lt;&gt;")=0,"",SUMIFS(Base!$M$3:$M$5001,Base!$B$3:$B$5001,E$143,Base!$A$3:$A$5001,_xlfn.MAXIFS(Base!$A$3:$A$5001,Base!$B$3:$B$5001,E$143,Base!$A$3:$A$5001,"&gt;="&amp;$C$8,Base!$A$3:$A$5001,"&lt;="&amp;$D$8,Base!$M$3:$M$5001,"&lt;&gt;")))</f>
        <v>288</v>
      </c>
      <c r="F175" s="151">
        <f>IF(COUNTIFS(Base!$B$3:$B$5001,F$143,Base!$A$3:$A$5001,"&gt;="&amp;$C$8,Base!$A$3:$A$5001,"&lt;="&amp;$D$8,Base!$M$3:$M$5001,"&lt;&gt;")=0,"",SUMIFS(Base!$M$3:$M$5001,Base!$B$3:$B$5001,F$143,Base!$A$3:$A$5001,_xlfn.MAXIFS(Base!$A$3:$A$5001,Base!$B$3:$B$5001,F$143,Base!$A$3:$A$5001,"&gt;="&amp;$C$8,Base!$A$3:$A$5001,"&lt;="&amp;$D$8,Base!$M$3:$M$5001,"&lt;&gt;")))</f>
        <v>1123</v>
      </c>
      <c r="G175" s="151">
        <f>IF(COUNTIFS(Base!$B$3:$B$5001,G$143,Base!$A$3:$A$5001,"&gt;="&amp;$C$8,Base!$A$3:$A$5001,"&lt;="&amp;$D$8,Base!$M$3:$M$5001,"&lt;&gt;")=0,"",SUMIFS(Base!$M$3:$M$5001,Base!$B$3:$B$5001,G$143,Base!$A$3:$A$5001,_xlfn.MAXIFS(Base!$A$3:$A$5001,Base!$B$3:$B$5001,G$143,Base!$A$3:$A$5001,"&gt;="&amp;$C$8,Base!$A$3:$A$5001,"&lt;="&amp;$D$8,Base!$M$3:$M$5001,"&lt;&gt;")))</f>
        <v>399</v>
      </c>
    </row>
    <row r="178">
      <c r="A178" s="145" t="inlineStr">
        <is>
          <t xml:space="preserve">Posições Disponíveis</t>
        </is>
      </c>
      <c r="B178" s="145" t="inlineStr">
        <is>
          <t xml:space="preserve">Data</t>
        </is>
      </c>
      <c r="C178" s="145" t="inlineStr">
        <is>
          <t xml:space="preserve">Barry Callebaut</t>
        </is>
      </c>
      <c r="D178" s="145" t="inlineStr">
        <is>
          <t xml:space="preserve">Gm</t>
        </is>
      </c>
      <c r="E178" s="145" t="inlineStr">
        <is>
          <t xml:space="preserve">Mondelez</t>
        </is>
      </c>
      <c r="F178" s="145" t="inlineStr">
        <is>
          <t xml:space="preserve">Nestlé</t>
        </is>
      </c>
      <c r="G178" s="145" t="inlineStr">
        <is>
          <t xml:space="preserve">PMB</t>
        </is>
      </c>
    </row>
    <row r="179">
      <c r="A179" s="147">
        <v>1</v>
      </c>
      <c r="B179" s="148">
        <f>$B$12</f>
        <v>46266</v>
      </c>
      <c r="C179" s="149">
        <f>IF($A179&gt;$B$9,"",IF(COUNTIFS(Base!$B$3:$B$5001,C$178,Base!$A$3:$A$5001,"&gt;="&amp;$C$7,Base!$A$3:$A$5001,"&lt;="&amp;$B179,Base!$L$3:$L$5001,"&lt;&gt;")=0,"",SUMIFS(Base!$L$3:$L$5001,Base!$B$3:$B$5001,C$178,Base!$A$3:$A$5001,_xlfn.MAXIFS(Base!$A$3:$A$5001,Base!$B$3:$B$5001,C$178,Base!$A$3:$A$5001,"&gt;="&amp;$C$7,Base!$A$3:$A$5001,"&lt;="&amp;$B179,Base!$L$3:$L$5001,"&lt;&gt;"))))</f>
        <v>1950</v>
      </c>
      <c r="D179" s="149">
        <f>IF($A179&gt;$B$9,"",IF(COUNTIFS(Base!$B$3:$B$5001,D$178,Base!$A$3:$A$5001,"&gt;="&amp;$C$7,Base!$A$3:$A$5001,"&lt;="&amp;$B179,Base!$L$3:$L$5001,"&lt;&gt;")=0,"",SUMIFS(Base!$L$3:$L$5001,Base!$B$3:$B$5001,D$178,Base!$A$3:$A$5001,_xlfn.MAXIFS(Base!$A$3:$A$5001,Base!$B$3:$B$5001,D$178,Base!$A$3:$A$5001,"&gt;="&amp;$C$7,Base!$A$3:$A$5001,"&lt;="&amp;$B179,Base!$L$3:$L$5001,"&lt;&gt;"))))</f>
        <v>800</v>
      </c>
      <c r="E179" s="149" t="str">
        <f>IF($A179&gt;$B$9,"",IF(COUNTIFS(Base!$B$3:$B$5001,E$178,Base!$A$3:$A$5001,"&gt;="&amp;$C$7,Base!$A$3:$A$5001,"&lt;="&amp;$B179,Base!$L$3:$L$5001,"&lt;&gt;")=0,"",SUMIFS(Base!$L$3:$L$5001,Base!$B$3:$B$5001,E$178,Base!$A$3:$A$5001,_xlfn.MAXIFS(Base!$A$3:$A$5001,Base!$B$3:$B$5001,E$178,Base!$A$3:$A$5001,"&gt;="&amp;$C$7,Base!$A$3:$A$5001,"&lt;="&amp;$B179,Base!$L$3:$L$5001,"&lt;&gt;"))))</f>
        <v/>
      </c>
      <c r="F179" s="149">
        <f>IF($A179&gt;$B$9,"",IF(COUNTIFS(Base!$B$3:$B$5001,F$178,Base!$A$3:$A$5001,"&gt;="&amp;$C$7,Base!$A$3:$A$5001,"&lt;="&amp;$B179,Base!$L$3:$L$5001,"&lt;&gt;")=0,"",SUMIFS(Base!$L$3:$L$5001,Base!$B$3:$B$5001,F$178,Base!$A$3:$A$5001,_xlfn.MAXIFS(Base!$A$3:$A$5001,Base!$B$3:$B$5001,F$178,Base!$A$3:$A$5001,"&gt;="&amp;$C$7,Base!$A$3:$A$5001,"&lt;="&amp;$B179,Base!$L$3:$L$5001,"&lt;&gt;"))))</f>
        <v>1400</v>
      </c>
      <c r="G179" s="149" t="str">
        <f>IF($A179&gt;$B$9,"",IF(COUNTIFS(Base!$B$3:$B$5001,G$178,Base!$A$3:$A$5001,"&gt;="&amp;$C$7,Base!$A$3:$A$5001,"&lt;="&amp;$B179,Base!$L$3:$L$5001,"&lt;&gt;")=0,"",SUMIFS(Base!$L$3:$L$5001,Base!$B$3:$B$5001,G$178,Base!$A$3:$A$5001,_xlfn.MAXIFS(Base!$A$3:$A$5001,Base!$B$3:$B$5001,G$178,Base!$A$3:$A$5001,"&gt;="&amp;$C$7,Base!$A$3:$A$5001,"&lt;="&amp;$B179,Base!$L$3:$L$5001,"&lt;&gt;"))))</f>
        <v/>
      </c>
    </row>
    <row r="180">
      <c r="A180" s="147">
        <v>2</v>
      </c>
      <c r="B180" s="148">
        <f>$B$13</f>
        <v>46267</v>
      </c>
      <c r="C180" s="149">
        <f>IF($A180&gt;$B$9,"",IF(COUNTIFS(Base!$B$3:$B$5001,C$178,Base!$A$3:$A$5001,"&gt;="&amp;$C$7,Base!$A$3:$A$5001,"&lt;="&amp;$B180,Base!$L$3:$L$5001,"&lt;&gt;")=0,"",SUMIFS(Base!$L$3:$L$5001,Base!$B$3:$B$5001,C$178,Base!$A$3:$A$5001,_xlfn.MAXIFS(Base!$A$3:$A$5001,Base!$B$3:$B$5001,C$178,Base!$A$3:$A$5001,"&gt;="&amp;$C$7,Base!$A$3:$A$5001,"&lt;="&amp;$B180,Base!$L$3:$L$5001,"&lt;&gt;"))))</f>
        <v>1950</v>
      </c>
      <c r="D180" s="149">
        <f>IF($A180&gt;$B$9,"",IF(COUNTIFS(Base!$B$3:$B$5001,D$178,Base!$A$3:$A$5001,"&gt;="&amp;$C$7,Base!$A$3:$A$5001,"&lt;="&amp;$B180,Base!$L$3:$L$5001,"&lt;&gt;")=0,"",SUMIFS(Base!$L$3:$L$5001,Base!$B$3:$B$5001,D$178,Base!$A$3:$A$5001,_xlfn.MAXIFS(Base!$A$3:$A$5001,Base!$B$3:$B$5001,D$178,Base!$A$3:$A$5001,"&gt;="&amp;$C$7,Base!$A$3:$A$5001,"&lt;="&amp;$B180,Base!$L$3:$L$5001,"&lt;&gt;"))))</f>
        <v>800</v>
      </c>
      <c r="E180" s="149" t="str">
        <f>IF($A180&gt;$B$9,"",IF(COUNTIFS(Base!$B$3:$B$5001,E$178,Base!$A$3:$A$5001,"&gt;="&amp;$C$7,Base!$A$3:$A$5001,"&lt;="&amp;$B180,Base!$L$3:$L$5001,"&lt;&gt;")=0,"",SUMIFS(Base!$L$3:$L$5001,Base!$B$3:$B$5001,E$178,Base!$A$3:$A$5001,_xlfn.MAXIFS(Base!$A$3:$A$5001,Base!$B$3:$B$5001,E$178,Base!$A$3:$A$5001,"&gt;="&amp;$C$7,Base!$A$3:$A$5001,"&lt;="&amp;$B180,Base!$L$3:$L$5001,"&lt;&gt;"))))</f>
        <v/>
      </c>
      <c r="F180" s="149">
        <f>IF($A180&gt;$B$9,"",IF(COUNTIFS(Base!$B$3:$B$5001,F$178,Base!$A$3:$A$5001,"&gt;="&amp;$C$7,Base!$A$3:$A$5001,"&lt;="&amp;$B180,Base!$L$3:$L$5001,"&lt;&gt;")=0,"",SUMIFS(Base!$L$3:$L$5001,Base!$B$3:$B$5001,F$178,Base!$A$3:$A$5001,_xlfn.MAXIFS(Base!$A$3:$A$5001,Base!$B$3:$B$5001,F$178,Base!$A$3:$A$5001,"&gt;="&amp;$C$7,Base!$A$3:$A$5001,"&lt;="&amp;$B180,Base!$L$3:$L$5001,"&lt;&gt;"))))</f>
        <v>1400</v>
      </c>
      <c r="G180" s="149" t="str">
        <f>IF($A180&gt;$B$9,"",IF(COUNTIFS(Base!$B$3:$B$5001,G$178,Base!$A$3:$A$5001,"&gt;="&amp;$C$7,Base!$A$3:$A$5001,"&lt;="&amp;$B180,Base!$L$3:$L$5001,"&lt;&gt;")=0,"",SUMIFS(Base!$L$3:$L$5001,Base!$B$3:$B$5001,G$178,Base!$A$3:$A$5001,_xlfn.MAXIFS(Base!$A$3:$A$5001,Base!$B$3:$B$5001,G$178,Base!$A$3:$A$5001,"&gt;="&amp;$C$7,Base!$A$3:$A$5001,"&lt;="&amp;$B180,Base!$L$3:$L$5001,"&lt;&gt;"))))</f>
        <v/>
      </c>
    </row>
    <row r="181">
      <c r="A181" s="147">
        <v>3</v>
      </c>
      <c r="B181" s="148">
        <f>$B$14</f>
        <v>46268</v>
      </c>
      <c r="C181" s="149">
        <f>IF($A181&gt;$B$9,"",IF(COUNTIFS(Base!$B$3:$B$5001,C$178,Base!$A$3:$A$5001,"&gt;="&amp;$C$7,Base!$A$3:$A$5001,"&lt;="&amp;$B181,Base!$L$3:$L$5001,"&lt;&gt;")=0,"",SUMIFS(Base!$L$3:$L$5001,Base!$B$3:$B$5001,C$178,Base!$A$3:$A$5001,_xlfn.MAXIFS(Base!$A$3:$A$5001,Base!$B$3:$B$5001,C$178,Base!$A$3:$A$5001,"&gt;="&amp;$C$7,Base!$A$3:$A$5001,"&lt;="&amp;$B181,Base!$L$3:$L$5001,"&lt;&gt;"))))</f>
        <v>1950</v>
      </c>
      <c r="D181" s="149">
        <f>IF($A181&gt;$B$9,"",IF(COUNTIFS(Base!$B$3:$B$5001,D$178,Base!$A$3:$A$5001,"&gt;="&amp;$C$7,Base!$A$3:$A$5001,"&lt;="&amp;$B181,Base!$L$3:$L$5001,"&lt;&gt;")=0,"",SUMIFS(Base!$L$3:$L$5001,Base!$B$3:$B$5001,D$178,Base!$A$3:$A$5001,_xlfn.MAXIFS(Base!$A$3:$A$5001,Base!$B$3:$B$5001,D$178,Base!$A$3:$A$5001,"&gt;="&amp;$C$7,Base!$A$3:$A$5001,"&lt;="&amp;$B181,Base!$L$3:$L$5001,"&lt;&gt;"))))</f>
        <v>800</v>
      </c>
      <c r="E181" s="149" t="str">
        <f>IF($A181&gt;$B$9,"",IF(COUNTIFS(Base!$B$3:$B$5001,E$178,Base!$A$3:$A$5001,"&gt;="&amp;$C$7,Base!$A$3:$A$5001,"&lt;="&amp;$B181,Base!$L$3:$L$5001,"&lt;&gt;")=0,"",SUMIFS(Base!$L$3:$L$5001,Base!$B$3:$B$5001,E$178,Base!$A$3:$A$5001,_xlfn.MAXIFS(Base!$A$3:$A$5001,Base!$B$3:$B$5001,E$178,Base!$A$3:$A$5001,"&gt;="&amp;$C$7,Base!$A$3:$A$5001,"&lt;="&amp;$B181,Base!$L$3:$L$5001,"&lt;&gt;"))))</f>
        <v/>
      </c>
      <c r="F181" s="149">
        <f>IF($A181&gt;$B$9,"",IF(COUNTIFS(Base!$B$3:$B$5001,F$178,Base!$A$3:$A$5001,"&gt;="&amp;$C$7,Base!$A$3:$A$5001,"&lt;="&amp;$B181,Base!$L$3:$L$5001,"&lt;&gt;")=0,"",SUMIFS(Base!$L$3:$L$5001,Base!$B$3:$B$5001,F$178,Base!$A$3:$A$5001,_xlfn.MAXIFS(Base!$A$3:$A$5001,Base!$B$3:$B$5001,F$178,Base!$A$3:$A$5001,"&gt;="&amp;$C$7,Base!$A$3:$A$5001,"&lt;="&amp;$B181,Base!$L$3:$L$5001,"&lt;&gt;"))))</f>
        <v>1400</v>
      </c>
      <c r="G181" s="149" t="str">
        <f>IF($A181&gt;$B$9,"",IF(COUNTIFS(Base!$B$3:$B$5001,G$178,Base!$A$3:$A$5001,"&gt;="&amp;$C$7,Base!$A$3:$A$5001,"&lt;="&amp;$B181,Base!$L$3:$L$5001,"&lt;&gt;")=0,"",SUMIFS(Base!$L$3:$L$5001,Base!$B$3:$B$5001,G$178,Base!$A$3:$A$5001,_xlfn.MAXIFS(Base!$A$3:$A$5001,Base!$B$3:$B$5001,G$178,Base!$A$3:$A$5001,"&gt;="&amp;$C$7,Base!$A$3:$A$5001,"&lt;="&amp;$B181,Base!$L$3:$L$5001,"&lt;&gt;"))))</f>
        <v/>
      </c>
    </row>
    <row r="182">
      <c r="A182" s="147">
        <v>4</v>
      </c>
      <c r="B182" s="148">
        <f>$B$15</f>
        <v>46269</v>
      </c>
      <c r="C182" s="149">
        <f>IF($A182&gt;$B$9,"",IF(COUNTIFS(Base!$B$3:$B$5001,C$178,Base!$A$3:$A$5001,"&gt;="&amp;$C$7,Base!$A$3:$A$5001,"&lt;="&amp;$B182,Base!$L$3:$L$5001,"&lt;&gt;")=0,"",SUMIFS(Base!$L$3:$L$5001,Base!$B$3:$B$5001,C$178,Base!$A$3:$A$5001,_xlfn.MAXIFS(Base!$A$3:$A$5001,Base!$B$3:$B$5001,C$178,Base!$A$3:$A$5001,"&gt;="&amp;$C$7,Base!$A$3:$A$5001,"&lt;="&amp;$B182,Base!$L$3:$L$5001,"&lt;&gt;"))))</f>
        <v>1950</v>
      </c>
      <c r="D182" s="149">
        <f>IF($A182&gt;$B$9,"",IF(COUNTIFS(Base!$B$3:$B$5001,D$178,Base!$A$3:$A$5001,"&gt;="&amp;$C$7,Base!$A$3:$A$5001,"&lt;="&amp;$B182,Base!$L$3:$L$5001,"&lt;&gt;")=0,"",SUMIFS(Base!$L$3:$L$5001,Base!$B$3:$B$5001,D$178,Base!$A$3:$A$5001,_xlfn.MAXIFS(Base!$A$3:$A$5001,Base!$B$3:$B$5001,D$178,Base!$A$3:$A$5001,"&gt;="&amp;$C$7,Base!$A$3:$A$5001,"&lt;="&amp;$B182,Base!$L$3:$L$5001,"&lt;&gt;"))))</f>
        <v>800</v>
      </c>
      <c r="E182" s="149" t="str">
        <f>IF($A182&gt;$B$9,"",IF(COUNTIFS(Base!$B$3:$B$5001,E$178,Base!$A$3:$A$5001,"&gt;="&amp;$C$7,Base!$A$3:$A$5001,"&lt;="&amp;$B182,Base!$L$3:$L$5001,"&lt;&gt;")=0,"",SUMIFS(Base!$L$3:$L$5001,Base!$B$3:$B$5001,E$178,Base!$A$3:$A$5001,_xlfn.MAXIFS(Base!$A$3:$A$5001,Base!$B$3:$B$5001,E$178,Base!$A$3:$A$5001,"&gt;="&amp;$C$7,Base!$A$3:$A$5001,"&lt;="&amp;$B182,Base!$L$3:$L$5001,"&lt;&gt;"))))</f>
        <v/>
      </c>
      <c r="F182" s="149">
        <f>IF($A182&gt;$B$9,"",IF(COUNTIFS(Base!$B$3:$B$5001,F$178,Base!$A$3:$A$5001,"&gt;="&amp;$C$7,Base!$A$3:$A$5001,"&lt;="&amp;$B182,Base!$L$3:$L$5001,"&lt;&gt;")=0,"",SUMIFS(Base!$L$3:$L$5001,Base!$B$3:$B$5001,F$178,Base!$A$3:$A$5001,_xlfn.MAXIFS(Base!$A$3:$A$5001,Base!$B$3:$B$5001,F$178,Base!$A$3:$A$5001,"&gt;="&amp;$C$7,Base!$A$3:$A$5001,"&lt;="&amp;$B182,Base!$L$3:$L$5001,"&lt;&gt;"))))</f>
        <v>1400</v>
      </c>
      <c r="G182" s="149" t="str">
        <f>IF($A182&gt;$B$9,"",IF(COUNTIFS(Base!$B$3:$B$5001,G$178,Base!$A$3:$A$5001,"&gt;="&amp;$C$7,Base!$A$3:$A$5001,"&lt;="&amp;$B182,Base!$L$3:$L$5001,"&lt;&gt;")=0,"",SUMIFS(Base!$L$3:$L$5001,Base!$B$3:$B$5001,G$178,Base!$A$3:$A$5001,_xlfn.MAXIFS(Base!$A$3:$A$5001,Base!$B$3:$B$5001,G$178,Base!$A$3:$A$5001,"&gt;="&amp;$C$7,Base!$A$3:$A$5001,"&lt;="&amp;$B182,Base!$L$3:$L$5001,"&lt;&gt;"))))</f>
        <v/>
      </c>
    </row>
    <row r="183">
      <c r="A183" s="147">
        <v>5</v>
      </c>
      <c r="B183" s="148">
        <f>$B$16</f>
        <v>46270</v>
      </c>
      <c r="C183" s="149">
        <f>IF($A183&gt;$B$9,"",IF(COUNTIFS(Base!$B$3:$B$5001,C$178,Base!$A$3:$A$5001,"&gt;="&amp;$C$7,Base!$A$3:$A$5001,"&lt;="&amp;$B183,Base!$L$3:$L$5001,"&lt;&gt;")=0,"",SUMIFS(Base!$L$3:$L$5001,Base!$B$3:$B$5001,C$178,Base!$A$3:$A$5001,_xlfn.MAXIFS(Base!$A$3:$A$5001,Base!$B$3:$B$5001,C$178,Base!$A$3:$A$5001,"&gt;="&amp;$C$7,Base!$A$3:$A$5001,"&lt;="&amp;$B183,Base!$L$3:$L$5001,"&lt;&gt;"))))</f>
        <v>1950</v>
      </c>
      <c r="D183" s="149">
        <f>IF($A183&gt;$B$9,"",IF(COUNTIFS(Base!$B$3:$B$5001,D$178,Base!$A$3:$A$5001,"&gt;="&amp;$C$7,Base!$A$3:$A$5001,"&lt;="&amp;$B183,Base!$L$3:$L$5001,"&lt;&gt;")=0,"",SUMIFS(Base!$L$3:$L$5001,Base!$B$3:$B$5001,D$178,Base!$A$3:$A$5001,_xlfn.MAXIFS(Base!$A$3:$A$5001,Base!$B$3:$B$5001,D$178,Base!$A$3:$A$5001,"&gt;="&amp;$C$7,Base!$A$3:$A$5001,"&lt;="&amp;$B183,Base!$L$3:$L$5001,"&lt;&gt;"))))</f>
        <v>800</v>
      </c>
      <c r="E183" s="149" t="str">
        <f>IF($A183&gt;$B$9,"",IF(COUNTIFS(Base!$B$3:$B$5001,E$178,Base!$A$3:$A$5001,"&gt;="&amp;$C$7,Base!$A$3:$A$5001,"&lt;="&amp;$B183,Base!$L$3:$L$5001,"&lt;&gt;")=0,"",SUMIFS(Base!$L$3:$L$5001,Base!$B$3:$B$5001,E$178,Base!$A$3:$A$5001,_xlfn.MAXIFS(Base!$A$3:$A$5001,Base!$B$3:$B$5001,E$178,Base!$A$3:$A$5001,"&gt;="&amp;$C$7,Base!$A$3:$A$5001,"&lt;="&amp;$B183,Base!$L$3:$L$5001,"&lt;&gt;"))))</f>
        <v/>
      </c>
      <c r="F183" s="149">
        <f>IF($A183&gt;$B$9,"",IF(COUNTIFS(Base!$B$3:$B$5001,F$178,Base!$A$3:$A$5001,"&gt;="&amp;$C$7,Base!$A$3:$A$5001,"&lt;="&amp;$B183,Base!$L$3:$L$5001,"&lt;&gt;")=0,"",SUMIFS(Base!$L$3:$L$5001,Base!$B$3:$B$5001,F$178,Base!$A$3:$A$5001,_xlfn.MAXIFS(Base!$A$3:$A$5001,Base!$B$3:$B$5001,F$178,Base!$A$3:$A$5001,"&gt;="&amp;$C$7,Base!$A$3:$A$5001,"&lt;="&amp;$B183,Base!$L$3:$L$5001,"&lt;&gt;"))))</f>
        <v>1400</v>
      </c>
      <c r="G183" s="149" t="str">
        <f>IF($A183&gt;$B$9,"",IF(COUNTIFS(Base!$B$3:$B$5001,G$178,Base!$A$3:$A$5001,"&gt;="&amp;$C$7,Base!$A$3:$A$5001,"&lt;="&amp;$B183,Base!$L$3:$L$5001,"&lt;&gt;")=0,"",SUMIFS(Base!$L$3:$L$5001,Base!$B$3:$B$5001,G$178,Base!$A$3:$A$5001,_xlfn.MAXIFS(Base!$A$3:$A$5001,Base!$B$3:$B$5001,G$178,Base!$A$3:$A$5001,"&gt;="&amp;$C$7,Base!$A$3:$A$5001,"&lt;="&amp;$B183,Base!$L$3:$L$5001,"&lt;&gt;"))))</f>
        <v/>
      </c>
    </row>
    <row r="184">
      <c r="A184" s="147">
        <v>6</v>
      </c>
      <c r="B184" s="148">
        <f>$B$17</f>
        <v>46271</v>
      </c>
      <c r="C184" s="149">
        <f>IF($A184&gt;$B$9,"",IF(COUNTIFS(Base!$B$3:$B$5001,C$178,Base!$A$3:$A$5001,"&gt;="&amp;$C$7,Base!$A$3:$A$5001,"&lt;="&amp;$B184,Base!$L$3:$L$5001,"&lt;&gt;")=0,"",SUMIFS(Base!$L$3:$L$5001,Base!$B$3:$B$5001,C$178,Base!$A$3:$A$5001,_xlfn.MAXIFS(Base!$A$3:$A$5001,Base!$B$3:$B$5001,C$178,Base!$A$3:$A$5001,"&gt;="&amp;$C$7,Base!$A$3:$A$5001,"&lt;="&amp;$B184,Base!$L$3:$L$5001,"&lt;&gt;"))))</f>
        <v>1950</v>
      </c>
      <c r="D184" s="149">
        <f>IF($A184&gt;$B$9,"",IF(COUNTIFS(Base!$B$3:$B$5001,D$178,Base!$A$3:$A$5001,"&gt;="&amp;$C$7,Base!$A$3:$A$5001,"&lt;="&amp;$B184,Base!$L$3:$L$5001,"&lt;&gt;")=0,"",SUMIFS(Base!$L$3:$L$5001,Base!$B$3:$B$5001,D$178,Base!$A$3:$A$5001,_xlfn.MAXIFS(Base!$A$3:$A$5001,Base!$B$3:$B$5001,D$178,Base!$A$3:$A$5001,"&gt;="&amp;$C$7,Base!$A$3:$A$5001,"&lt;="&amp;$B184,Base!$L$3:$L$5001,"&lt;&gt;"))))</f>
        <v>800</v>
      </c>
      <c r="E184" s="149" t="str">
        <f>IF($A184&gt;$B$9,"",IF(COUNTIFS(Base!$B$3:$B$5001,E$178,Base!$A$3:$A$5001,"&gt;="&amp;$C$7,Base!$A$3:$A$5001,"&lt;="&amp;$B184,Base!$L$3:$L$5001,"&lt;&gt;")=0,"",SUMIFS(Base!$L$3:$L$5001,Base!$B$3:$B$5001,E$178,Base!$A$3:$A$5001,_xlfn.MAXIFS(Base!$A$3:$A$5001,Base!$B$3:$B$5001,E$178,Base!$A$3:$A$5001,"&gt;="&amp;$C$7,Base!$A$3:$A$5001,"&lt;="&amp;$B184,Base!$L$3:$L$5001,"&lt;&gt;"))))</f>
        <v/>
      </c>
      <c r="F184" s="149">
        <f>IF($A184&gt;$B$9,"",IF(COUNTIFS(Base!$B$3:$B$5001,F$178,Base!$A$3:$A$5001,"&gt;="&amp;$C$7,Base!$A$3:$A$5001,"&lt;="&amp;$B184,Base!$L$3:$L$5001,"&lt;&gt;")=0,"",SUMIFS(Base!$L$3:$L$5001,Base!$B$3:$B$5001,F$178,Base!$A$3:$A$5001,_xlfn.MAXIFS(Base!$A$3:$A$5001,Base!$B$3:$B$5001,F$178,Base!$A$3:$A$5001,"&gt;="&amp;$C$7,Base!$A$3:$A$5001,"&lt;="&amp;$B184,Base!$L$3:$L$5001,"&lt;&gt;"))))</f>
        <v>1400</v>
      </c>
      <c r="G184" s="149" t="str">
        <f>IF($A184&gt;$B$9,"",IF(COUNTIFS(Base!$B$3:$B$5001,G$178,Base!$A$3:$A$5001,"&gt;="&amp;$C$7,Base!$A$3:$A$5001,"&lt;="&amp;$B184,Base!$L$3:$L$5001,"&lt;&gt;")=0,"",SUMIFS(Base!$L$3:$L$5001,Base!$B$3:$B$5001,G$178,Base!$A$3:$A$5001,_xlfn.MAXIFS(Base!$A$3:$A$5001,Base!$B$3:$B$5001,G$178,Base!$A$3:$A$5001,"&gt;="&amp;$C$7,Base!$A$3:$A$5001,"&lt;="&amp;$B184,Base!$L$3:$L$5001,"&lt;&gt;"))))</f>
        <v/>
      </c>
    </row>
    <row r="185">
      <c r="A185" s="147">
        <v>7</v>
      </c>
      <c r="B185" s="148">
        <f>$B$18</f>
        <v>46272</v>
      </c>
      <c r="C185" s="149">
        <f>IF($A185&gt;$B$9,"",IF(COUNTIFS(Base!$B$3:$B$5001,C$178,Base!$A$3:$A$5001,"&gt;="&amp;$C$7,Base!$A$3:$A$5001,"&lt;="&amp;$B185,Base!$L$3:$L$5001,"&lt;&gt;")=0,"",SUMIFS(Base!$L$3:$L$5001,Base!$B$3:$B$5001,C$178,Base!$A$3:$A$5001,_xlfn.MAXIFS(Base!$A$3:$A$5001,Base!$B$3:$B$5001,C$178,Base!$A$3:$A$5001,"&gt;="&amp;$C$7,Base!$A$3:$A$5001,"&lt;="&amp;$B185,Base!$L$3:$L$5001,"&lt;&gt;"))))</f>
        <v>1950</v>
      </c>
      <c r="D185" s="149">
        <f>IF($A185&gt;$B$9,"",IF(COUNTIFS(Base!$B$3:$B$5001,D$178,Base!$A$3:$A$5001,"&gt;="&amp;$C$7,Base!$A$3:$A$5001,"&lt;="&amp;$B185,Base!$L$3:$L$5001,"&lt;&gt;")=0,"",SUMIFS(Base!$L$3:$L$5001,Base!$B$3:$B$5001,D$178,Base!$A$3:$A$5001,_xlfn.MAXIFS(Base!$A$3:$A$5001,Base!$B$3:$B$5001,D$178,Base!$A$3:$A$5001,"&gt;="&amp;$C$7,Base!$A$3:$A$5001,"&lt;="&amp;$B185,Base!$L$3:$L$5001,"&lt;&gt;"))))</f>
        <v>800</v>
      </c>
      <c r="E185" s="149" t="str">
        <f>IF($A185&gt;$B$9,"",IF(COUNTIFS(Base!$B$3:$B$5001,E$178,Base!$A$3:$A$5001,"&gt;="&amp;$C$7,Base!$A$3:$A$5001,"&lt;="&amp;$B185,Base!$L$3:$L$5001,"&lt;&gt;")=0,"",SUMIFS(Base!$L$3:$L$5001,Base!$B$3:$B$5001,E$178,Base!$A$3:$A$5001,_xlfn.MAXIFS(Base!$A$3:$A$5001,Base!$B$3:$B$5001,E$178,Base!$A$3:$A$5001,"&gt;="&amp;$C$7,Base!$A$3:$A$5001,"&lt;="&amp;$B185,Base!$L$3:$L$5001,"&lt;&gt;"))))</f>
        <v/>
      </c>
      <c r="F185" s="149">
        <f>IF($A185&gt;$B$9,"",IF(COUNTIFS(Base!$B$3:$B$5001,F$178,Base!$A$3:$A$5001,"&gt;="&amp;$C$7,Base!$A$3:$A$5001,"&lt;="&amp;$B185,Base!$L$3:$L$5001,"&lt;&gt;")=0,"",SUMIFS(Base!$L$3:$L$5001,Base!$B$3:$B$5001,F$178,Base!$A$3:$A$5001,_xlfn.MAXIFS(Base!$A$3:$A$5001,Base!$B$3:$B$5001,F$178,Base!$A$3:$A$5001,"&gt;="&amp;$C$7,Base!$A$3:$A$5001,"&lt;="&amp;$B185,Base!$L$3:$L$5001,"&lt;&gt;"))))</f>
        <v>1400</v>
      </c>
      <c r="G185" s="149" t="str">
        <f>IF($A185&gt;$B$9,"",IF(COUNTIFS(Base!$B$3:$B$5001,G$178,Base!$A$3:$A$5001,"&gt;="&amp;$C$7,Base!$A$3:$A$5001,"&lt;="&amp;$B185,Base!$L$3:$L$5001,"&lt;&gt;")=0,"",SUMIFS(Base!$L$3:$L$5001,Base!$B$3:$B$5001,G$178,Base!$A$3:$A$5001,_xlfn.MAXIFS(Base!$A$3:$A$5001,Base!$B$3:$B$5001,G$178,Base!$A$3:$A$5001,"&gt;="&amp;$C$7,Base!$A$3:$A$5001,"&lt;="&amp;$B185,Base!$L$3:$L$5001,"&lt;&gt;"))))</f>
        <v/>
      </c>
    </row>
    <row r="186">
      <c r="A186" s="147">
        <v>8</v>
      </c>
      <c r="B186" s="148">
        <f>$B$19</f>
        <v>46273</v>
      </c>
      <c r="C186" s="149">
        <f>IF($A186&gt;$B$9,"",IF(COUNTIFS(Base!$B$3:$B$5001,C$178,Base!$A$3:$A$5001,"&gt;="&amp;$C$7,Base!$A$3:$A$5001,"&lt;="&amp;$B186,Base!$L$3:$L$5001,"&lt;&gt;")=0,"",SUMIFS(Base!$L$3:$L$5001,Base!$B$3:$B$5001,C$178,Base!$A$3:$A$5001,_xlfn.MAXIFS(Base!$A$3:$A$5001,Base!$B$3:$B$5001,C$178,Base!$A$3:$A$5001,"&gt;="&amp;$C$7,Base!$A$3:$A$5001,"&lt;="&amp;$B186,Base!$L$3:$L$5001,"&lt;&gt;"))))</f>
        <v>1950</v>
      </c>
      <c r="D186" s="149">
        <f>IF($A186&gt;$B$9,"",IF(COUNTIFS(Base!$B$3:$B$5001,D$178,Base!$A$3:$A$5001,"&gt;="&amp;$C$7,Base!$A$3:$A$5001,"&lt;="&amp;$B186,Base!$L$3:$L$5001,"&lt;&gt;")=0,"",SUMIFS(Base!$L$3:$L$5001,Base!$B$3:$B$5001,D$178,Base!$A$3:$A$5001,_xlfn.MAXIFS(Base!$A$3:$A$5001,Base!$B$3:$B$5001,D$178,Base!$A$3:$A$5001,"&gt;="&amp;$C$7,Base!$A$3:$A$5001,"&lt;="&amp;$B186,Base!$L$3:$L$5001,"&lt;&gt;"))))</f>
        <v>800</v>
      </c>
      <c r="E186" s="149" t="str">
        <f>IF($A186&gt;$B$9,"",IF(COUNTIFS(Base!$B$3:$B$5001,E$178,Base!$A$3:$A$5001,"&gt;="&amp;$C$7,Base!$A$3:$A$5001,"&lt;="&amp;$B186,Base!$L$3:$L$5001,"&lt;&gt;")=0,"",SUMIFS(Base!$L$3:$L$5001,Base!$B$3:$B$5001,E$178,Base!$A$3:$A$5001,_xlfn.MAXIFS(Base!$A$3:$A$5001,Base!$B$3:$B$5001,E$178,Base!$A$3:$A$5001,"&gt;="&amp;$C$7,Base!$A$3:$A$5001,"&lt;="&amp;$B186,Base!$L$3:$L$5001,"&lt;&gt;"))))</f>
        <v/>
      </c>
      <c r="F186" s="149">
        <f>IF($A186&gt;$B$9,"",IF(COUNTIFS(Base!$B$3:$B$5001,F$178,Base!$A$3:$A$5001,"&gt;="&amp;$C$7,Base!$A$3:$A$5001,"&lt;="&amp;$B186,Base!$L$3:$L$5001,"&lt;&gt;")=0,"",SUMIFS(Base!$L$3:$L$5001,Base!$B$3:$B$5001,F$178,Base!$A$3:$A$5001,_xlfn.MAXIFS(Base!$A$3:$A$5001,Base!$B$3:$B$5001,F$178,Base!$A$3:$A$5001,"&gt;="&amp;$C$7,Base!$A$3:$A$5001,"&lt;="&amp;$B186,Base!$L$3:$L$5001,"&lt;&gt;"))))</f>
        <v>1400</v>
      </c>
      <c r="G186" s="149" t="str">
        <f>IF($A186&gt;$B$9,"",IF(COUNTIFS(Base!$B$3:$B$5001,G$178,Base!$A$3:$A$5001,"&gt;="&amp;$C$7,Base!$A$3:$A$5001,"&lt;="&amp;$B186,Base!$L$3:$L$5001,"&lt;&gt;")=0,"",SUMIFS(Base!$L$3:$L$5001,Base!$B$3:$B$5001,G$178,Base!$A$3:$A$5001,_xlfn.MAXIFS(Base!$A$3:$A$5001,Base!$B$3:$B$5001,G$178,Base!$A$3:$A$5001,"&gt;="&amp;$C$7,Base!$A$3:$A$5001,"&lt;="&amp;$B186,Base!$L$3:$L$5001,"&lt;&gt;"))))</f>
        <v/>
      </c>
    </row>
    <row r="187">
      <c r="A187" s="147">
        <v>9</v>
      </c>
      <c r="B187" s="148">
        <f>$B$20</f>
        <v>46274</v>
      </c>
      <c r="C187" s="149">
        <f>IF($A187&gt;$B$9,"",IF(COUNTIFS(Base!$B$3:$B$5001,C$178,Base!$A$3:$A$5001,"&gt;="&amp;$C$7,Base!$A$3:$A$5001,"&lt;="&amp;$B187,Base!$L$3:$L$5001,"&lt;&gt;")=0,"",SUMIFS(Base!$L$3:$L$5001,Base!$B$3:$B$5001,C$178,Base!$A$3:$A$5001,_xlfn.MAXIFS(Base!$A$3:$A$5001,Base!$B$3:$B$5001,C$178,Base!$A$3:$A$5001,"&gt;="&amp;$C$7,Base!$A$3:$A$5001,"&lt;="&amp;$B187,Base!$L$3:$L$5001,"&lt;&gt;"))))</f>
        <v>1950</v>
      </c>
      <c r="D187" s="149">
        <f>IF($A187&gt;$B$9,"",IF(COUNTIFS(Base!$B$3:$B$5001,D$178,Base!$A$3:$A$5001,"&gt;="&amp;$C$7,Base!$A$3:$A$5001,"&lt;="&amp;$B187,Base!$L$3:$L$5001,"&lt;&gt;")=0,"",SUMIFS(Base!$L$3:$L$5001,Base!$B$3:$B$5001,D$178,Base!$A$3:$A$5001,_xlfn.MAXIFS(Base!$A$3:$A$5001,Base!$B$3:$B$5001,D$178,Base!$A$3:$A$5001,"&gt;="&amp;$C$7,Base!$A$3:$A$5001,"&lt;="&amp;$B187,Base!$L$3:$L$5001,"&lt;&gt;"))))</f>
        <v>800</v>
      </c>
      <c r="E187" s="149" t="str">
        <f>IF($A187&gt;$B$9,"",IF(COUNTIFS(Base!$B$3:$B$5001,E$178,Base!$A$3:$A$5001,"&gt;="&amp;$C$7,Base!$A$3:$A$5001,"&lt;="&amp;$B187,Base!$L$3:$L$5001,"&lt;&gt;")=0,"",SUMIFS(Base!$L$3:$L$5001,Base!$B$3:$B$5001,E$178,Base!$A$3:$A$5001,_xlfn.MAXIFS(Base!$A$3:$A$5001,Base!$B$3:$B$5001,E$178,Base!$A$3:$A$5001,"&gt;="&amp;$C$7,Base!$A$3:$A$5001,"&lt;="&amp;$B187,Base!$L$3:$L$5001,"&lt;&gt;"))))</f>
        <v/>
      </c>
      <c r="F187" s="149">
        <f>IF($A187&gt;$B$9,"",IF(COUNTIFS(Base!$B$3:$B$5001,F$178,Base!$A$3:$A$5001,"&gt;="&amp;$C$7,Base!$A$3:$A$5001,"&lt;="&amp;$B187,Base!$L$3:$L$5001,"&lt;&gt;")=0,"",SUMIFS(Base!$L$3:$L$5001,Base!$B$3:$B$5001,F$178,Base!$A$3:$A$5001,_xlfn.MAXIFS(Base!$A$3:$A$5001,Base!$B$3:$B$5001,F$178,Base!$A$3:$A$5001,"&gt;="&amp;$C$7,Base!$A$3:$A$5001,"&lt;="&amp;$B187,Base!$L$3:$L$5001,"&lt;&gt;"))))</f>
        <v>1400</v>
      </c>
      <c r="G187" s="149" t="str">
        <f>IF($A187&gt;$B$9,"",IF(COUNTIFS(Base!$B$3:$B$5001,G$178,Base!$A$3:$A$5001,"&gt;="&amp;$C$7,Base!$A$3:$A$5001,"&lt;="&amp;$B187,Base!$L$3:$L$5001,"&lt;&gt;")=0,"",SUMIFS(Base!$L$3:$L$5001,Base!$B$3:$B$5001,G$178,Base!$A$3:$A$5001,_xlfn.MAXIFS(Base!$A$3:$A$5001,Base!$B$3:$B$5001,G$178,Base!$A$3:$A$5001,"&gt;="&amp;$C$7,Base!$A$3:$A$5001,"&lt;="&amp;$B187,Base!$L$3:$L$5001,"&lt;&gt;"))))</f>
        <v/>
      </c>
    </row>
    <row r="188">
      <c r="A188" s="147">
        <v>10</v>
      </c>
      <c r="B188" s="148">
        <f>$B$21</f>
        <v>46275</v>
      </c>
      <c r="C188" s="149">
        <f>IF($A188&gt;$B$9,"",IF(COUNTIFS(Base!$B$3:$B$5001,C$178,Base!$A$3:$A$5001,"&gt;="&amp;$C$7,Base!$A$3:$A$5001,"&lt;="&amp;$B188,Base!$L$3:$L$5001,"&lt;&gt;")=0,"",SUMIFS(Base!$L$3:$L$5001,Base!$B$3:$B$5001,C$178,Base!$A$3:$A$5001,_xlfn.MAXIFS(Base!$A$3:$A$5001,Base!$B$3:$B$5001,C$178,Base!$A$3:$A$5001,"&gt;="&amp;$C$7,Base!$A$3:$A$5001,"&lt;="&amp;$B188,Base!$L$3:$L$5001,"&lt;&gt;"))))</f>
        <v>1950</v>
      </c>
      <c r="D188" s="149">
        <f>IF($A188&gt;$B$9,"",IF(COUNTIFS(Base!$B$3:$B$5001,D$178,Base!$A$3:$A$5001,"&gt;="&amp;$C$7,Base!$A$3:$A$5001,"&lt;="&amp;$B188,Base!$L$3:$L$5001,"&lt;&gt;")=0,"",SUMIFS(Base!$L$3:$L$5001,Base!$B$3:$B$5001,D$178,Base!$A$3:$A$5001,_xlfn.MAXIFS(Base!$A$3:$A$5001,Base!$B$3:$B$5001,D$178,Base!$A$3:$A$5001,"&gt;="&amp;$C$7,Base!$A$3:$A$5001,"&lt;="&amp;$B188,Base!$L$3:$L$5001,"&lt;&gt;"))))</f>
        <v>800</v>
      </c>
      <c r="E188" s="149" t="str">
        <f>IF($A188&gt;$B$9,"",IF(COUNTIFS(Base!$B$3:$B$5001,E$178,Base!$A$3:$A$5001,"&gt;="&amp;$C$7,Base!$A$3:$A$5001,"&lt;="&amp;$B188,Base!$L$3:$L$5001,"&lt;&gt;")=0,"",SUMIFS(Base!$L$3:$L$5001,Base!$B$3:$B$5001,E$178,Base!$A$3:$A$5001,_xlfn.MAXIFS(Base!$A$3:$A$5001,Base!$B$3:$B$5001,E$178,Base!$A$3:$A$5001,"&gt;="&amp;$C$7,Base!$A$3:$A$5001,"&lt;="&amp;$B188,Base!$L$3:$L$5001,"&lt;&gt;"))))</f>
        <v/>
      </c>
      <c r="F188" s="149">
        <f>IF($A188&gt;$B$9,"",IF(COUNTIFS(Base!$B$3:$B$5001,F$178,Base!$A$3:$A$5001,"&gt;="&amp;$C$7,Base!$A$3:$A$5001,"&lt;="&amp;$B188,Base!$L$3:$L$5001,"&lt;&gt;")=0,"",SUMIFS(Base!$L$3:$L$5001,Base!$B$3:$B$5001,F$178,Base!$A$3:$A$5001,_xlfn.MAXIFS(Base!$A$3:$A$5001,Base!$B$3:$B$5001,F$178,Base!$A$3:$A$5001,"&gt;="&amp;$C$7,Base!$A$3:$A$5001,"&lt;="&amp;$B188,Base!$L$3:$L$5001,"&lt;&gt;"))))</f>
        <v>1400</v>
      </c>
      <c r="G188" s="149" t="str">
        <f>IF($A188&gt;$B$9,"",IF(COUNTIFS(Base!$B$3:$B$5001,G$178,Base!$A$3:$A$5001,"&gt;="&amp;$C$7,Base!$A$3:$A$5001,"&lt;="&amp;$B188,Base!$L$3:$L$5001,"&lt;&gt;")=0,"",SUMIFS(Base!$L$3:$L$5001,Base!$B$3:$B$5001,G$178,Base!$A$3:$A$5001,_xlfn.MAXIFS(Base!$A$3:$A$5001,Base!$B$3:$B$5001,G$178,Base!$A$3:$A$5001,"&gt;="&amp;$C$7,Base!$A$3:$A$5001,"&lt;="&amp;$B188,Base!$L$3:$L$5001,"&lt;&gt;"))))</f>
        <v/>
      </c>
    </row>
    <row r="189">
      <c r="A189" s="147">
        <v>11</v>
      </c>
      <c r="B189" s="148">
        <f>$B$22</f>
        <v>46276</v>
      </c>
      <c r="C189" s="149">
        <f>IF($A189&gt;$B$9,"",IF(COUNTIFS(Base!$B$3:$B$5001,C$178,Base!$A$3:$A$5001,"&gt;="&amp;$C$7,Base!$A$3:$A$5001,"&lt;="&amp;$B189,Base!$L$3:$L$5001,"&lt;&gt;")=0,"",SUMIFS(Base!$L$3:$L$5001,Base!$B$3:$B$5001,C$178,Base!$A$3:$A$5001,_xlfn.MAXIFS(Base!$A$3:$A$5001,Base!$B$3:$B$5001,C$178,Base!$A$3:$A$5001,"&gt;="&amp;$C$7,Base!$A$3:$A$5001,"&lt;="&amp;$B189,Base!$L$3:$L$5001,"&lt;&gt;"))))</f>
        <v>1950</v>
      </c>
      <c r="D189" s="149">
        <f>IF($A189&gt;$B$9,"",IF(COUNTIFS(Base!$B$3:$B$5001,D$178,Base!$A$3:$A$5001,"&gt;="&amp;$C$7,Base!$A$3:$A$5001,"&lt;="&amp;$B189,Base!$L$3:$L$5001,"&lt;&gt;")=0,"",SUMIFS(Base!$L$3:$L$5001,Base!$B$3:$B$5001,D$178,Base!$A$3:$A$5001,_xlfn.MAXIFS(Base!$A$3:$A$5001,Base!$B$3:$B$5001,D$178,Base!$A$3:$A$5001,"&gt;="&amp;$C$7,Base!$A$3:$A$5001,"&lt;="&amp;$B189,Base!$L$3:$L$5001,"&lt;&gt;"))))</f>
        <v>800</v>
      </c>
      <c r="E189" s="149" t="str">
        <f>IF($A189&gt;$B$9,"",IF(COUNTIFS(Base!$B$3:$B$5001,E$178,Base!$A$3:$A$5001,"&gt;="&amp;$C$7,Base!$A$3:$A$5001,"&lt;="&amp;$B189,Base!$L$3:$L$5001,"&lt;&gt;")=0,"",SUMIFS(Base!$L$3:$L$5001,Base!$B$3:$B$5001,E$178,Base!$A$3:$A$5001,_xlfn.MAXIFS(Base!$A$3:$A$5001,Base!$B$3:$B$5001,E$178,Base!$A$3:$A$5001,"&gt;="&amp;$C$7,Base!$A$3:$A$5001,"&lt;="&amp;$B189,Base!$L$3:$L$5001,"&lt;&gt;"))))</f>
        <v/>
      </c>
      <c r="F189" s="149">
        <f>IF($A189&gt;$B$9,"",IF(COUNTIFS(Base!$B$3:$B$5001,F$178,Base!$A$3:$A$5001,"&gt;="&amp;$C$7,Base!$A$3:$A$5001,"&lt;="&amp;$B189,Base!$L$3:$L$5001,"&lt;&gt;")=0,"",SUMIFS(Base!$L$3:$L$5001,Base!$B$3:$B$5001,F$178,Base!$A$3:$A$5001,_xlfn.MAXIFS(Base!$A$3:$A$5001,Base!$B$3:$B$5001,F$178,Base!$A$3:$A$5001,"&gt;="&amp;$C$7,Base!$A$3:$A$5001,"&lt;="&amp;$B189,Base!$L$3:$L$5001,"&lt;&gt;"))))</f>
        <v>1400</v>
      </c>
      <c r="G189" s="149" t="str">
        <f>IF($A189&gt;$B$9,"",IF(COUNTIFS(Base!$B$3:$B$5001,G$178,Base!$A$3:$A$5001,"&gt;="&amp;$C$7,Base!$A$3:$A$5001,"&lt;="&amp;$B189,Base!$L$3:$L$5001,"&lt;&gt;")=0,"",SUMIFS(Base!$L$3:$L$5001,Base!$B$3:$B$5001,G$178,Base!$A$3:$A$5001,_xlfn.MAXIFS(Base!$A$3:$A$5001,Base!$B$3:$B$5001,G$178,Base!$A$3:$A$5001,"&gt;="&amp;$C$7,Base!$A$3:$A$5001,"&lt;="&amp;$B189,Base!$L$3:$L$5001,"&lt;&gt;"))))</f>
        <v/>
      </c>
    </row>
    <row r="190">
      <c r="A190" s="147">
        <v>12</v>
      </c>
      <c r="B190" s="148">
        <f>$B$23</f>
        <v>46277</v>
      </c>
      <c r="C190" s="149">
        <f>IF($A190&gt;$B$9,"",IF(COUNTIFS(Base!$B$3:$B$5001,C$178,Base!$A$3:$A$5001,"&gt;="&amp;$C$7,Base!$A$3:$A$5001,"&lt;="&amp;$B190,Base!$L$3:$L$5001,"&lt;&gt;")=0,"",SUMIFS(Base!$L$3:$L$5001,Base!$B$3:$B$5001,C$178,Base!$A$3:$A$5001,_xlfn.MAXIFS(Base!$A$3:$A$5001,Base!$B$3:$B$5001,C$178,Base!$A$3:$A$5001,"&gt;="&amp;$C$7,Base!$A$3:$A$5001,"&lt;="&amp;$B190,Base!$L$3:$L$5001,"&lt;&gt;"))))</f>
        <v>1950</v>
      </c>
      <c r="D190" s="149">
        <f>IF($A190&gt;$B$9,"",IF(COUNTIFS(Base!$B$3:$B$5001,D$178,Base!$A$3:$A$5001,"&gt;="&amp;$C$7,Base!$A$3:$A$5001,"&lt;="&amp;$B190,Base!$L$3:$L$5001,"&lt;&gt;")=0,"",SUMIFS(Base!$L$3:$L$5001,Base!$B$3:$B$5001,D$178,Base!$A$3:$A$5001,_xlfn.MAXIFS(Base!$A$3:$A$5001,Base!$B$3:$B$5001,D$178,Base!$A$3:$A$5001,"&gt;="&amp;$C$7,Base!$A$3:$A$5001,"&lt;="&amp;$B190,Base!$L$3:$L$5001,"&lt;&gt;"))))</f>
        <v>800</v>
      </c>
      <c r="E190" s="149" t="str">
        <f>IF($A190&gt;$B$9,"",IF(COUNTIFS(Base!$B$3:$B$5001,E$178,Base!$A$3:$A$5001,"&gt;="&amp;$C$7,Base!$A$3:$A$5001,"&lt;="&amp;$B190,Base!$L$3:$L$5001,"&lt;&gt;")=0,"",SUMIFS(Base!$L$3:$L$5001,Base!$B$3:$B$5001,E$178,Base!$A$3:$A$5001,_xlfn.MAXIFS(Base!$A$3:$A$5001,Base!$B$3:$B$5001,E$178,Base!$A$3:$A$5001,"&gt;="&amp;$C$7,Base!$A$3:$A$5001,"&lt;="&amp;$B190,Base!$L$3:$L$5001,"&lt;&gt;"))))</f>
        <v/>
      </c>
      <c r="F190" s="149">
        <f>IF($A190&gt;$B$9,"",IF(COUNTIFS(Base!$B$3:$B$5001,F$178,Base!$A$3:$A$5001,"&gt;="&amp;$C$7,Base!$A$3:$A$5001,"&lt;="&amp;$B190,Base!$L$3:$L$5001,"&lt;&gt;")=0,"",SUMIFS(Base!$L$3:$L$5001,Base!$B$3:$B$5001,F$178,Base!$A$3:$A$5001,_xlfn.MAXIFS(Base!$A$3:$A$5001,Base!$B$3:$B$5001,F$178,Base!$A$3:$A$5001,"&gt;="&amp;$C$7,Base!$A$3:$A$5001,"&lt;="&amp;$B190,Base!$L$3:$L$5001,"&lt;&gt;"))))</f>
        <v>1400</v>
      </c>
      <c r="G190" s="149" t="str">
        <f>IF($A190&gt;$B$9,"",IF(COUNTIFS(Base!$B$3:$B$5001,G$178,Base!$A$3:$A$5001,"&gt;="&amp;$C$7,Base!$A$3:$A$5001,"&lt;="&amp;$B190,Base!$L$3:$L$5001,"&lt;&gt;")=0,"",SUMIFS(Base!$L$3:$L$5001,Base!$B$3:$B$5001,G$178,Base!$A$3:$A$5001,_xlfn.MAXIFS(Base!$A$3:$A$5001,Base!$B$3:$B$5001,G$178,Base!$A$3:$A$5001,"&gt;="&amp;$C$7,Base!$A$3:$A$5001,"&lt;="&amp;$B190,Base!$L$3:$L$5001,"&lt;&gt;"))))</f>
        <v/>
      </c>
    </row>
    <row r="191">
      <c r="A191" s="147">
        <v>13</v>
      </c>
      <c r="B191" s="148">
        <f>$B$24</f>
        <v>46278</v>
      </c>
      <c r="C191" s="149">
        <f>IF($A191&gt;$B$9,"",IF(COUNTIFS(Base!$B$3:$B$5001,C$178,Base!$A$3:$A$5001,"&gt;="&amp;$C$7,Base!$A$3:$A$5001,"&lt;="&amp;$B191,Base!$L$3:$L$5001,"&lt;&gt;")=0,"",SUMIFS(Base!$L$3:$L$5001,Base!$B$3:$B$5001,C$178,Base!$A$3:$A$5001,_xlfn.MAXIFS(Base!$A$3:$A$5001,Base!$B$3:$B$5001,C$178,Base!$A$3:$A$5001,"&gt;="&amp;$C$7,Base!$A$3:$A$5001,"&lt;="&amp;$B191,Base!$L$3:$L$5001,"&lt;&gt;"))))</f>
        <v>1950</v>
      </c>
      <c r="D191" s="149">
        <f>IF($A191&gt;$B$9,"",IF(COUNTIFS(Base!$B$3:$B$5001,D$178,Base!$A$3:$A$5001,"&gt;="&amp;$C$7,Base!$A$3:$A$5001,"&lt;="&amp;$B191,Base!$L$3:$L$5001,"&lt;&gt;")=0,"",SUMIFS(Base!$L$3:$L$5001,Base!$B$3:$B$5001,D$178,Base!$A$3:$A$5001,_xlfn.MAXIFS(Base!$A$3:$A$5001,Base!$B$3:$B$5001,D$178,Base!$A$3:$A$5001,"&gt;="&amp;$C$7,Base!$A$3:$A$5001,"&lt;="&amp;$B191,Base!$L$3:$L$5001,"&lt;&gt;"))))</f>
        <v>800</v>
      </c>
      <c r="E191" s="149" t="str">
        <f>IF($A191&gt;$B$9,"",IF(COUNTIFS(Base!$B$3:$B$5001,E$178,Base!$A$3:$A$5001,"&gt;="&amp;$C$7,Base!$A$3:$A$5001,"&lt;="&amp;$B191,Base!$L$3:$L$5001,"&lt;&gt;")=0,"",SUMIFS(Base!$L$3:$L$5001,Base!$B$3:$B$5001,E$178,Base!$A$3:$A$5001,_xlfn.MAXIFS(Base!$A$3:$A$5001,Base!$B$3:$B$5001,E$178,Base!$A$3:$A$5001,"&gt;="&amp;$C$7,Base!$A$3:$A$5001,"&lt;="&amp;$B191,Base!$L$3:$L$5001,"&lt;&gt;"))))</f>
        <v/>
      </c>
      <c r="F191" s="149">
        <f>IF($A191&gt;$B$9,"",IF(COUNTIFS(Base!$B$3:$B$5001,F$178,Base!$A$3:$A$5001,"&gt;="&amp;$C$7,Base!$A$3:$A$5001,"&lt;="&amp;$B191,Base!$L$3:$L$5001,"&lt;&gt;")=0,"",SUMIFS(Base!$L$3:$L$5001,Base!$B$3:$B$5001,F$178,Base!$A$3:$A$5001,_xlfn.MAXIFS(Base!$A$3:$A$5001,Base!$B$3:$B$5001,F$178,Base!$A$3:$A$5001,"&gt;="&amp;$C$7,Base!$A$3:$A$5001,"&lt;="&amp;$B191,Base!$L$3:$L$5001,"&lt;&gt;"))))</f>
        <v>1400</v>
      </c>
      <c r="G191" s="149" t="str">
        <f>IF($A191&gt;$B$9,"",IF(COUNTIFS(Base!$B$3:$B$5001,G$178,Base!$A$3:$A$5001,"&gt;="&amp;$C$7,Base!$A$3:$A$5001,"&lt;="&amp;$B191,Base!$L$3:$L$5001,"&lt;&gt;")=0,"",SUMIFS(Base!$L$3:$L$5001,Base!$B$3:$B$5001,G$178,Base!$A$3:$A$5001,_xlfn.MAXIFS(Base!$A$3:$A$5001,Base!$B$3:$B$5001,G$178,Base!$A$3:$A$5001,"&gt;="&amp;$C$7,Base!$A$3:$A$5001,"&lt;="&amp;$B191,Base!$L$3:$L$5001,"&lt;&gt;"))))</f>
        <v/>
      </c>
    </row>
    <row r="192">
      <c r="A192" s="147">
        <v>14</v>
      </c>
      <c r="B192" s="148">
        <f>$B$25</f>
        <v>46279</v>
      </c>
      <c r="C192" s="149">
        <f>IF($A192&gt;$B$9,"",IF(COUNTIFS(Base!$B$3:$B$5001,C$178,Base!$A$3:$A$5001,"&gt;="&amp;$C$7,Base!$A$3:$A$5001,"&lt;="&amp;$B192,Base!$L$3:$L$5001,"&lt;&gt;")=0,"",SUMIFS(Base!$L$3:$L$5001,Base!$B$3:$B$5001,C$178,Base!$A$3:$A$5001,_xlfn.MAXIFS(Base!$A$3:$A$5001,Base!$B$3:$B$5001,C$178,Base!$A$3:$A$5001,"&gt;="&amp;$C$7,Base!$A$3:$A$5001,"&lt;="&amp;$B192,Base!$L$3:$L$5001,"&lt;&gt;"))))</f>
        <v>1950</v>
      </c>
      <c r="D192" s="149">
        <f>IF($A192&gt;$B$9,"",IF(COUNTIFS(Base!$B$3:$B$5001,D$178,Base!$A$3:$A$5001,"&gt;="&amp;$C$7,Base!$A$3:$A$5001,"&lt;="&amp;$B192,Base!$L$3:$L$5001,"&lt;&gt;")=0,"",SUMIFS(Base!$L$3:$L$5001,Base!$B$3:$B$5001,D$178,Base!$A$3:$A$5001,_xlfn.MAXIFS(Base!$A$3:$A$5001,Base!$B$3:$B$5001,D$178,Base!$A$3:$A$5001,"&gt;="&amp;$C$7,Base!$A$3:$A$5001,"&lt;="&amp;$B192,Base!$L$3:$L$5001,"&lt;&gt;"))))</f>
        <v>800</v>
      </c>
      <c r="E192" s="149" t="str">
        <f>IF($A192&gt;$B$9,"",IF(COUNTIFS(Base!$B$3:$B$5001,E$178,Base!$A$3:$A$5001,"&gt;="&amp;$C$7,Base!$A$3:$A$5001,"&lt;="&amp;$B192,Base!$L$3:$L$5001,"&lt;&gt;")=0,"",SUMIFS(Base!$L$3:$L$5001,Base!$B$3:$B$5001,E$178,Base!$A$3:$A$5001,_xlfn.MAXIFS(Base!$A$3:$A$5001,Base!$B$3:$B$5001,E$178,Base!$A$3:$A$5001,"&gt;="&amp;$C$7,Base!$A$3:$A$5001,"&lt;="&amp;$B192,Base!$L$3:$L$5001,"&lt;&gt;"))))</f>
        <v/>
      </c>
      <c r="F192" s="149">
        <f>IF($A192&gt;$B$9,"",IF(COUNTIFS(Base!$B$3:$B$5001,F$178,Base!$A$3:$A$5001,"&gt;="&amp;$C$7,Base!$A$3:$A$5001,"&lt;="&amp;$B192,Base!$L$3:$L$5001,"&lt;&gt;")=0,"",SUMIFS(Base!$L$3:$L$5001,Base!$B$3:$B$5001,F$178,Base!$A$3:$A$5001,_xlfn.MAXIFS(Base!$A$3:$A$5001,Base!$B$3:$B$5001,F$178,Base!$A$3:$A$5001,"&gt;="&amp;$C$7,Base!$A$3:$A$5001,"&lt;="&amp;$B192,Base!$L$3:$L$5001,"&lt;&gt;"))))</f>
        <v>1400</v>
      </c>
      <c r="G192" s="149" t="str">
        <f>IF($A192&gt;$B$9,"",IF(COUNTIFS(Base!$B$3:$B$5001,G$178,Base!$A$3:$A$5001,"&gt;="&amp;$C$7,Base!$A$3:$A$5001,"&lt;="&amp;$B192,Base!$L$3:$L$5001,"&lt;&gt;")=0,"",SUMIFS(Base!$L$3:$L$5001,Base!$B$3:$B$5001,G$178,Base!$A$3:$A$5001,_xlfn.MAXIFS(Base!$A$3:$A$5001,Base!$B$3:$B$5001,G$178,Base!$A$3:$A$5001,"&gt;="&amp;$C$7,Base!$A$3:$A$5001,"&lt;="&amp;$B192,Base!$L$3:$L$5001,"&lt;&gt;"))))</f>
        <v/>
      </c>
    </row>
    <row r="193">
      <c r="A193" s="147">
        <v>15</v>
      </c>
      <c r="B193" s="148">
        <f>$B$26</f>
        <v>46280</v>
      </c>
      <c r="C193" s="149">
        <f>IF($A193&gt;$B$9,"",IF(COUNTIFS(Base!$B$3:$B$5001,C$178,Base!$A$3:$A$5001,"&gt;="&amp;$C$7,Base!$A$3:$A$5001,"&lt;="&amp;$B193,Base!$L$3:$L$5001,"&lt;&gt;")=0,"",SUMIFS(Base!$L$3:$L$5001,Base!$B$3:$B$5001,C$178,Base!$A$3:$A$5001,_xlfn.MAXIFS(Base!$A$3:$A$5001,Base!$B$3:$B$5001,C$178,Base!$A$3:$A$5001,"&gt;="&amp;$C$7,Base!$A$3:$A$5001,"&lt;="&amp;$B193,Base!$L$3:$L$5001,"&lt;&gt;"))))</f>
        <v>1950</v>
      </c>
      <c r="D193" s="149">
        <f>IF($A193&gt;$B$9,"",IF(COUNTIFS(Base!$B$3:$B$5001,D$178,Base!$A$3:$A$5001,"&gt;="&amp;$C$7,Base!$A$3:$A$5001,"&lt;="&amp;$B193,Base!$L$3:$L$5001,"&lt;&gt;")=0,"",SUMIFS(Base!$L$3:$L$5001,Base!$B$3:$B$5001,D$178,Base!$A$3:$A$5001,_xlfn.MAXIFS(Base!$A$3:$A$5001,Base!$B$3:$B$5001,D$178,Base!$A$3:$A$5001,"&gt;="&amp;$C$7,Base!$A$3:$A$5001,"&lt;="&amp;$B193,Base!$L$3:$L$5001,"&lt;&gt;"))))</f>
        <v>800</v>
      </c>
      <c r="E193" s="149" t="str">
        <f>IF($A193&gt;$B$9,"",IF(COUNTIFS(Base!$B$3:$B$5001,E$178,Base!$A$3:$A$5001,"&gt;="&amp;$C$7,Base!$A$3:$A$5001,"&lt;="&amp;$B193,Base!$L$3:$L$5001,"&lt;&gt;")=0,"",SUMIFS(Base!$L$3:$L$5001,Base!$B$3:$B$5001,E$178,Base!$A$3:$A$5001,_xlfn.MAXIFS(Base!$A$3:$A$5001,Base!$B$3:$B$5001,E$178,Base!$A$3:$A$5001,"&gt;="&amp;$C$7,Base!$A$3:$A$5001,"&lt;="&amp;$B193,Base!$L$3:$L$5001,"&lt;&gt;"))))</f>
        <v/>
      </c>
      <c r="F193" s="149">
        <f>IF($A193&gt;$B$9,"",IF(COUNTIFS(Base!$B$3:$B$5001,F$178,Base!$A$3:$A$5001,"&gt;="&amp;$C$7,Base!$A$3:$A$5001,"&lt;="&amp;$B193,Base!$L$3:$L$5001,"&lt;&gt;")=0,"",SUMIFS(Base!$L$3:$L$5001,Base!$B$3:$B$5001,F$178,Base!$A$3:$A$5001,_xlfn.MAXIFS(Base!$A$3:$A$5001,Base!$B$3:$B$5001,F$178,Base!$A$3:$A$5001,"&gt;="&amp;$C$7,Base!$A$3:$A$5001,"&lt;="&amp;$B193,Base!$L$3:$L$5001,"&lt;&gt;"))))</f>
        <v>1400</v>
      </c>
      <c r="G193" s="149" t="str">
        <f>IF($A193&gt;$B$9,"",IF(COUNTIFS(Base!$B$3:$B$5001,G$178,Base!$A$3:$A$5001,"&gt;="&amp;$C$7,Base!$A$3:$A$5001,"&lt;="&amp;$B193,Base!$L$3:$L$5001,"&lt;&gt;")=0,"",SUMIFS(Base!$L$3:$L$5001,Base!$B$3:$B$5001,G$178,Base!$A$3:$A$5001,_xlfn.MAXIFS(Base!$A$3:$A$5001,Base!$B$3:$B$5001,G$178,Base!$A$3:$A$5001,"&gt;="&amp;$C$7,Base!$A$3:$A$5001,"&lt;="&amp;$B193,Base!$L$3:$L$5001,"&lt;&gt;"))))</f>
        <v/>
      </c>
    </row>
    <row r="194">
      <c r="A194" s="147">
        <v>16</v>
      </c>
      <c r="B194" s="148">
        <f>$B$27</f>
        <v>46281</v>
      </c>
      <c r="C194" s="149">
        <f>IF($A194&gt;$B$9,"",IF(COUNTIFS(Base!$B$3:$B$5001,C$178,Base!$A$3:$A$5001,"&gt;="&amp;$C$7,Base!$A$3:$A$5001,"&lt;="&amp;$B194,Base!$L$3:$L$5001,"&lt;&gt;")=0,"",SUMIFS(Base!$L$3:$L$5001,Base!$B$3:$B$5001,C$178,Base!$A$3:$A$5001,_xlfn.MAXIFS(Base!$A$3:$A$5001,Base!$B$3:$B$5001,C$178,Base!$A$3:$A$5001,"&gt;="&amp;$C$7,Base!$A$3:$A$5001,"&lt;="&amp;$B194,Base!$L$3:$L$5001,"&lt;&gt;"))))</f>
        <v>1950</v>
      </c>
      <c r="D194" s="149">
        <f>IF($A194&gt;$B$9,"",IF(COUNTIFS(Base!$B$3:$B$5001,D$178,Base!$A$3:$A$5001,"&gt;="&amp;$C$7,Base!$A$3:$A$5001,"&lt;="&amp;$B194,Base!$L$3:$L$5001,"&lt;&gt;")=0,"",SUMIFS(Base!$L$3:$L$5001,Base!$B$3:$B$5001,D$178,Base!$A$3:$A$5001,_xlfn.MAXIFS(Base!$A$3:$A$5001,Base!$B$3:$B$5001,D$178,Base!$A$3:$A$5001,"&gt;="&amp;$C$7,Base!$A$3:$A$5001,"&lt;="&amp;$B194,Base!$L$3:$L$5001,"&lt;&gt;"))))</f>
        <v>800</v>
      </c>
      <c r="E194" s="149" t="str">
        <f>IF($A194&gt;$B$9,"",IF(COUNTIFS(Base!$B$3:$B$5001,E$178,Base!$A$3:$A$5001,"&gt;="&amp;$C$7,Base!$A$3:$A$5001,"&lt;="&amp;$B194,Base!$L$3:$L$5001,"&lt;&gt;")=0,"",SUMIFS(Base!$L$3:$L$5001,Base!$B$3:$B$5001,E$178,Base!$A$3:$A$5001,_xlfn.MAXIFS(Base!$A$3:$A$5001,Base!$B$3:$B$5001,E$178,Base!$A$3:$A$5001,"&gt;="&amp;$C$7,Base!$A$3:$A$5001,"&lt;="&amp;$B194,Base!$L$3:$L$5001,"&lt;&gt;"))))</f>
        <v/>
      </c>
      <c r="F194" s="149">
        <f>IF($A194&gt;$B$9,"",IF(COUNTIFS(Base!$B$3:$B$5001,F$178,Base!$A$3:$A$5001,"&gt;="&amp;$C$7,Base!$A$3:$A$5001,"&lt;="&amp;$B194,Base!$L$3:$L$5001,"&lt;&gt;")=0,"",SUMIFS(Base!$L$3:$L$5001,Base!$B$3:$B$5001,F$178,Base!$A$3:$A$5001,_xlfn.MAXIFS(Base!$A$3:$A$5001,Base!$B$3:$B$5001,F$178,Base!$A$3:$A$5001,"&gt;="&amp;$C$7,Base!$A$3:$A$5001,"&lt;="&amp;$B194,Base!$L$3:$L$5001,"&lt;&gt;"))))</f>
        <v>1400</v>
      </c>
      <c r="G194" s="149" t="str">
        <f>IF($A194&gt;$B$9,"",IF(COUNTIFS(Base!$B$3:$B$5001,G$178,Base!$A$3:$A$5001,"&gt;="&amp;$C$7,Base!$A$3:$A$5001,"&lt;="&amp;$B194,Base!$L$3:$L$5001,"&lt;&gt;")=0,"",SUMIFS(Base!$L$3:$L$5001,Base!$B$3:$B$5001,G$178,Base!$A$3:$A$5001,_xlfn.MAXIFS(Base!$A$3:$A$5001,Base!$B$3:$B$5001,G$178,Base!$A$3:$A$5001,"&gt;="&amp;$C$7,Base!$A$3:$A$5001,"&lt;="&amp;$B194,Base!$L$3:$L$5001,"&lt;&gt;"))))</f>
        <v/>
      </c>
    </row>
    <row r="195">
      <c r="A195" s="147">
        <v>17</v>
      </c>
      <c r="B195" s="148">
        <f>$B$28</f>
        <v>46282</v>
      </c>
      <c r="C195" s="149">
        <f>IF($A195&gt;$B$9,"",IF(COUNTIFS(Base!$B$3:$B$5001,C$178,Base!$A$3:$A$5001,"&gt;="&amp;$C$7,Base!$A$3:$A$5001,"&lt;="&amp;$B195,Base!$L$3:$L$5001,"&lt;&gt;")=0,"",SUMIFS(Base!$L$3:$L$5001,Base!$B$3:$B$5001,C$178,Base!$A$3:$A$5001,_xlfn.MAXIFS(Base!$A$3:$A$5001,Base!$B$3:$B$5001,C$178,Base!$A$3:$A$5001,"&gt;="&amp;$C$7,Base!$A$3:$A$5001,"&lt;="&amp;$B195,Base!$L$3:$L$5001,"&lt;&gt;"))))</f>
        <v>1950</v>
      </c>
      <c r="D195" s="149">
        <f>IF($A195&gt;$B$9,"",IF(COUNTIFS(Base!$B$3:$B$5001,D$178,Base!$A$3:$A$5001,"&gt;="&amp;$C$7,Base!$A$3:$A$5001,"&lt;="&amp;$B195,Base!$L$3:$L$5001,"&lt;&gt;")=0,"",SUMIFS(Base!$L$3:$L$5001,Base!$B$3:$B$5001,D$178,Base!$A$3:$A$5001,_xlfn.MAXIFS(Base!$A$3:$A$5001,Base!$B$3:$B$5001,D$178,Base!$A$3:$A$5001,"&gt;="&amp;$C$7,Base!$A$3:$A$5001,"&lt;="&amp;$B195,Base!$L$3:$L$5001,"&lt;&gt;"))))</f>
        <v>800</v>
      </c>
      <c r="E195" s="149" t="str">
        <f>IF($A195&gt;$B$9,"",IF(COUNTIFS(Base!$B$3:$B$5001,E$178,Base!$A$3:$A$5001,"&gt;="&amp;$C$7,Base!$A$3:$A$5001,"&lt;="&amp;$B195,Base!$L$3:$L$5001,"&lt;&gt;")=0,"",SUMIFS(Base!$L$3:$L$5001,Base!$B$3:$B$5001,E$178,Base!$A$3:$A$5001,_xlfn.MAXIFS(Base!$A$3:$A$5001,Base!$B$3:$B$5001,E$178,Base!$A$3:$A$5001,"&gt;="&amp;$C$7,Base!$A$3:$A$5001,"&lt;="&amp;$B195,Base!$L$3:$L$5001,"&lt;&gt;"))))</f>
        <v/>
      </c>
      <c r="F195" s="149">
        <f>IF($A195&gt;$B$9,"",IF(COUNTIFS(Base!$B$3:$B$5001,F$178,Base!$A$3:$A$5001,"&gt;="&amp;$C$7,Base!$A$3:$A$5001,"&lt;="&amp;$B195,Base!$L$3:$L$5001,"&lt;&gt;")=0,"",SUMIFS(Base!$L$3:$L$5001,Base!$B$3:$B$5001,F$178,Base!$A$3:$A$5001,_xlfn.MAXIFS(Base!$A$3:$A$5001,Base!$B$3:$B$5001,F$178,Base!$A$3:$A$5001,"&gt;="&amp;$C$7,Base!$A$3:$A$5001,"&lt;="&amp;$B195,Base!$L$3:$L$5001,"&lt;&gt;"))))</f>
        <v>1400</v>
      </c>
      <c r="G195" s="149" t="str">
        <f>IF($A195&gt;$B$9,"",IF(COUNTIFS(Base!$B$3:$B$5001,G$178,Base!$A$3:$A$5001,"&gt;="&amp;$C$7,Base!$A$3:$A$5001,"&lt;="&amp;$B195,Base!$L$3:$L$5001,"&lt;&gt;")=0,"",SUMIFS(Base!$L$3:$L$5001,Base!$B$3:$B$5001,G$178,Base!$A$3:$A$5001,_xlfn.MAXIFS(Base!$A$3:$A$5001,Base!$B$3:$B$5001,G$178,Base!$A$3:$A$5001,"&gt;="&amp;$C$7,Base!$A$3:$A$5001,"&lt;="&amp;$B195,Base!$L$3:$L$5001,"&lt;&gt;"))))</f>
        <v/>
      </c>
    </row>
    <row r="196">
      <c r="A196" s="147">
        <v>18</v>
      </c>
      <c r="B196" s="148">
        <f>$B$29</f>
        <v>46283</v>
      </c>
      <c r="C196" s="149">
        <f>IF($A196&gt;$B$9,"",IF(COUNTIFS(Base!$B$3:$B$5001,C$178,Base!$A$3:$A$5001,"&gt;="&amp;$C$7,Base!$A$3:$A$5001,"&lt;="&amp;$B196,Base!$L$3:$L$5001,"&lt;&gt;")=0,"",SUMIFS(Base!$L$3:$L$5001,Base!$B$3:$B$5001,C$178,Base!$A$3:$A$5001,_xlfn.MAXIFS(Base!$A$3:$A$5001,Base!$B$3:$B$5001,C$178,Base!$A$3:$A$5001,"&gt;="&amp;$C$7,Base!$A$3:$A$5001,"&lt;="&amp;$B196,Base!$L$3:$L$5001,"&lt;&gt;"))))</f>
        <v>1950</v>
      </c>
      <c r="D196" s="149">
        <f>IF($A196&gt;$B$9,"",IF(COUNTIFS(Base!$B$3:$B$5001,D$178,Base!$A$3:$A$5001,"&gt;="&amp;$C$7,Base!$A$3:$A$5001,"&lt;="&amp;$B196,Base!$L$3:$L$5001,"&lt;&gt;")=0,"",SUMIFS(Base!$L$3:$L$5001,Base!$B$3:$B$5001,D$178,Base!$A$3:$A$5001,_xlfn.MAXIFS(Base!$A$3:$A$5001,Base!$B$3:$B$5001,D$178,Base!$A$3:$A$5001,"&gt;="&amp;$C$7,Base!$A$3:$A$5001,"&lt;="&amp;$B196,Base!$L$3:$L$5001,"&lt;&gt;"))))</f>
        <v>800</v>
      </c>
      <c r="E196" s="149" t="str">
        <f>IF($A196&gt;$B$9,"",IF(COUNTIFS(Base!$B$3:$B$5001,E$178,Base!$A$3:$A$5001,"&gt;="&amp;$C$7,Base!$A$3:$A$5001,"&lt;="&amp;$B196,Base!$L$3:$L$5001,"&lt;&gt;")=0,"",SUMIFS(Base!$L$3:$L$5001,Base!$B$3:$B$5001,E$178,Base!$A$3:$A$5001,_xlfn.MAXIFS(Base!$A$3:$A$5001,Base!$B$3:$B$5001,E$178,Base!$A$3:$A$5001,"&gt;="&amp;$C$7,Base!$A$3:$A$5001,"&lt;="&amp;$B196,Base!$L$3:$L$5001,"&lt;&gt;"))))</f>
        <v/>
      </c>
      <c r="F196" s="149">
        <f>IF($A196&gt;$B$9,"",IF(COUNTIFS(Base!$B$3:$B$5001,F$178,Base!$A$3:$A$5001,"&gt;="&amp;$C$7,Base!$A$3:$A$5001,"&lt;="&amp;$B196,Base!$L$3:$L$5001,"&lt;&gt;")=0,"",SUMIFS(Base!$L$3:$L$5001,Base!$B$3:$B$5001,F$178,Base!$A$3:$A$5001,_xlfn.MAXIFS(Base!$A$3:$A$5001,Base!$B$3:$B$5001,F$178,Base!$A$3:$A$5001,"&gt;="&amp;$C$7,Base!$A$3:$A$5001,"&lt;="&amp;$B196,Base!$L$3:$L$5001,"&lt;&gt;"))))</f>
        <v>1400</v>
      </c>
      <c r="G196" s="149" t="str">
        <f>IF($A196&gt;$B$9,"",IF(COUNTIFS(Base!$B$3:$B$5001,G$178,Base!$A$3:$A$5001,"&gt;="&amp;$C$7,Base!$A$3:$A$5001,"&lt;="&amp;$B196,Base!$L$3:$L$5001,"&lt;&gt;")=0,"",SUMIFS(Base!$L$3:$L$5001,Base!$B$3:$B$5001,G$178,Base!$A$3:$A$5001,_xlfn.MAXIFS(Base!$A$3:$A$5001,Base!$B$3:$B$5001,G$178,Base!$A$3:$A$5001,"&gt;="&amp;$C$7,Base!$A$3:$A$5001,"&lt;="&amp;$B196,Base!$L$3:$L$5001,"&lt;&gt;"))))</f>
        <v/>
      </c>
    </row>
    <row r="197">
      <c r="A197" s="147">
        <v>19</v>
      </c>
      <c r="B197" s="148">
        <f>$B$30</f>
        <v>46284</v>
      </c>
      <c r="C197" s="149">
        <f>IF($A197&gt;$B$9,"",IF(COUNTIFS(Base!$B$3:$B$5001,C$178,Base!$A$3:$A$5001,"&gt;="&amp;$C$7,Base!$A$3:$A$5001,"&lt;="&amp;$B197,Base!$L$3:$L$5001,"&lt;&gt;")=0,"",SUMIFS(Base!$L$3:$L$5001,Base!$B$3:$B$5001,C$178,Base!$A$3:$A$5001,_xlfn.MAXIFS(Base!$A$3:$A$5001,Base!$B$3:$B$5001,C$178,Base!$A$3:$A$5001,"&gt;="&amp;$C$7,Base!$A$3:$A$5001,"&lt;="&amp;$B197,Base!$L$3:$L$5001,"&lt;&gt;"))))</f>
        <v>1950</v>
      </c>
      <c r="D197" s="149">
        <f>IF($A197&gt;$B$9,"",IF(COUNTIFS(Base!$B$3:$B$5001,D$178,Base!$A$3:$A$5001,"&gt;="&amp;$C$7,Base!$A$3:$A$5001,"&lt;="&amp;$B197,Base!$L$3:$L$5001,"&lt;&gt;")=0,"",SUMIFS(Base!$L$3:$L$5001,Base!$B$3:$B$5001,D$178,Base!$A$3:$A$5001,_xlfn.MAXIFS(Base!$A$3:$A$5001,Base!$B$3:$B$5001,D$178,Base!$A$3:$A$5001,"&gt;="&amp;$C$7,Base!$A$3:$A$5001,"&lt;="&amp;$B197,Base!$L$3:$L$5001,"&lt;&gt;"))))</f>
        <v>800</v>
      </c>
      <c r="E197" s="149" t="str">
        <f>IF($A197&gt;$B$9,"",IF(COUNTIFS(Base!$B$3:$B$5001,E$178,Base!$A$3:$A$5001,"&gt;="&amp;$C$7,Base!$A$3:$A$5001,"&lt;="&amp;$B197,Base!$L$3:$L$5001,"&lt;&gt;")=0,"",SUMIFS(Base!$L$3:$L$5001,Base!$B$3:$B$5001,E$178,Base!$A$3:$A$5001,_xlfn.MAXIFS(Base!$A$3:$A$5001,Base!$B$3:$B$5001,E$178,Base!$A$3:$A$5001,"&gt;="&amp;$C$7,Base!$A$3:$A$5001,"&lt;="&amp;$B197,Base!$L$3:$L$5001,"&lt;&gt;"))))</f>
        <v/>
      </c>
      <c r="F197" s="149">
        <f>IF($A197&gt;$B$9,"",IF(COUNTIFS(Base!$B$3:$B$5001,F$178,Base!$A$3:$A$5001,"&gt;="&amp;$C$7,Base!$A$3:$A$5001,"&lt;="&amp;$B197,Base!$L$3:$L$5001,"&lt;&gt;")=0,"",SUMIFS(Base!$L$3:$L$5001,Base!$B$3:$B$5001,F$178,Base!$A$3:$A$5001,_xlfn.MAXIFS(Base!$A$3:$A$5001,Base!$B$3:$B$5001,F$178,Base!$A$3:$A$5001,"&gt;="&amp;$C$7,Base!$A$3:$A$5001,"&lt;="&amp;$B197,Base!$L$3:$L$5001,"&lt;&gt;"))))</f>
        <v>1400</v>
      </c>
      <c r="G197" s="149" t="str">
        <f>IF($A197&gt;$B$9,"",IF(COUNTIFS(Base!$B$3:$B$5001,G$178,Base!$A$3:$A$5001,"&gt;="&amp;$C$7,Base!$A$3:$A$5001,"&lt;="&amp;$B197,Base!$L$3:$L$5001,"&lt;&gt;")=0,"",SUMIFS(Base!$L$3:$L$5001,Base!$B$3:$B$5001,G$178,Base!$A$3:$A$5001,_xlfn.MAXIFS(Base!$A$3:$A$5001,Base!$B$3:$B$5001,G$178,Base!$A$3:$A$5001,"&gt;="&amp;$C$7,Base!$A$3:$A$5001,"&lt;="&amp;$B197,Base!$L$3:$L$5001,"&lt;&gt;"))))</f>
        <v/>
      </c>
    </row>
    <row r="198">
      <c r="A198" s="147">
        <v>20</v>
      </c>
      <c r="B198" s="148">
        <f>$B$31</f>
        <v>46285</v>
      </c>
      <c r="C198" s="149">
        <f>IF($A198&gt;$B$9,"",IF(COUNTIFS(Base!$B$3:$B$5001,C$178,Base!$A$3:$A$5001,"&gt;="&amp;$C$7,Base!$A$3:$A$5001,"&lt;="&amp;$B198,Base!$L$3:$L$5001,"&lt;&gt;")=0,"",SUMIFS(Base!$L$3:$L$5001,Base!$B$3:$B$5001,C$178,Base!$A$3:$A$5001,_xlfn.MAXIFS(Base!$A$3:$A$5001,Base!$B$3:$B$5001,C$178,Base!$A$3:$A$5001,"&gt;="&amp;$C$7,Base!$A$3:$A$5001,"&lt;="&amp;$B198,Base!$L$3:$L$5001,"&lt;&gt;"))))</f>
        <v>1950</v>
      </c>
      <c r="D198" s="149">
        <f>IF($A198&gt;$B$9,"",IF(COUNTIFS(Base!$B$3:$B$5001,D$178,Base!$A$3:$A$5001,"&gt;="&amp;$C$7,Base!$A$3:$A$5001,"&lt;="&amp;$B198,Base!$L$3:$L$5001,"&lt;&gt;")=0,"",SUMIFS(Base!$L$3:$L$5001,Base!$B$3:$B$5001,D$178,Base!$A$3:$A$5001,_xlfn.MAXIFS(Base!$A$3:$A$5001,Base!$B$3:$B$5001,D$178,Base!$A$3:$A$5001,"&gt;="&amp;$C$7,Base!$A$3:$A$5001,"&lt;="&amp;$B198,Base!$L$3:$L$5001,"&lt;&gt;"))))</f>
        <v>800</v>
      </c>
      <c r="E198" s="149" t="str">
        <f>IF($A198&gt;$B$9,"",IF(COUNTIFS(Base!$B$3:$B$5001,E$178,Base!$A$3:$A$5001,"&gt;="&amp;$C$7,Base!$A$3:$A$5001,"&lt;="&amp;$B198,Base!$L$3:$L$5001,"&lt;&gt;")=0,"",SUMIFS(Base!$L$3:$L$5001,Base!$B$3:$B$5001,E$178,Base!$A$3:$A$5001,_xlfn.MAXIFS(Base!$A$3:$A$5001,Base!$B$3:$B$5001,E$178,Base!$A$3:$A$5001,"&gt;="&amp;$C$7,Base!$A$3:$A$5001,"&lt;="&amp;$B198,Base!$L$3:$L$5001,"&lt;&gt;"))))</f>
        <v/>
      </c>
      <c r="F198" s="149">
        <f>IF($A198&gt;$B$9,"",IF(COUNTIFS(Base!$B$3:$B$5001,F$178,Base!$A$3:$A$5001,"&gt;="&amp;$C$7,Base!$A$3:$A$5001,"&lt;="&amp;$B198,Base!$L$3:$L$5001,"&lt;&gt;")=0,"",SUMIFS(Base!$L$3:$L$5001,Base!$B$3:$B$5001,F$178,Base!$A$3:$A$5001,_xlfn.MAXIFS(Base!$A$3:$A$5001,Base!$B$3:$B$5001,F$178,Base!$A$3:$A$5001,"&gt;="&amp;$C$7,Base!$A$3:$A$5001,"&lt;="&amp;$B198,Base!$L$3:$L$5001,"&lt;&gt;"))))</f>
        <v>1400</v>
      </c>
      <c r="G198" s="149" t="str">
        <f>IF($A198&gt;$B$9,"",IF(COUNTIFS(Base!$B$3:$B$5001,G$178,Base!$A$3:$A$5001,"&gt;="&amp;$C$7,Base!$A$3:$A$5001,"&lt;="&amp;$B198,Base!$L$3:$L$5001,"&lt;&gt;")=0,"",SUMIFS(Base!$L$3:$L$5001,Base!$B$3:$B$5001,G$178,Base!$A$3:$A$5001,_xlfn.MAXIFS(Base!$A$3:$A$5001,Base!$B$3:$B$5001,G$178,Base!$A$3:$A$5001,"&gt;="&amp;$C$7,Base!$A$3:$A$5001,"&lt;="&amp;$B198,Base!$L$3:$L$5001,"&lt;&gt;"))))</f>
        <v/>
      </c>
    </row>
    <row r="199">
      <c r="A199" s="147">
        <v>21</v>
      </c>
      <c r="B199" s="148">
        <f>$B$32</f>
        <v>46286</v>
      </c>
      <c r="C199" s="149">
        <f>IF($A199&gt;$B$9,"",IF(COUNTIFS(Base!$B$3:$B$5001,C$178,Base!$A$3:$A$5001,"&gt;="&amp;$C$7,Base!$A$3:$A$5001,"&lt;="&amp;$B199,Base!$L$3:$L$5001,"&lt;&gt;")=0,"",SUMIFS(Base!$L$3:$L$5001,Base!$B$3:$B$5001,C$178,Base!$A$3:$A$5001,_xlfn.MAXIFS(Base!$A$3:$A$5001,Base!$B$3:$B$5001,C$178,Base!$A$3:$A$5001,"&gt;="&amp;$C$7,Base!$A$3:$A$5001,"&lt;="&amp;$B199,Base!$L$3:$L$5001,"&lt;&gt;"))))</f>
        <v>1950</v>
      </c>
      <c r="D199" s="149">
        <f>IF($A199&gt;$B$9,"",IF(COUNTIFS(Base!$B$3:$B$5001,D$178,Base!$A$3:$A$5001,"&gt;="&amp;$C$7,Base!$A$3:$A$5001,"&lt;="&amp;$B199,Base!$L$3:$L$5001,"&lt;&gt;")=0,"",SUMIFS(Base!$L$3:$L$5001,Base!$B$3:$B$5001,D$178,Base!$A$3:$A$5001,_xlfn.MAXIFS(Base!$A$3:$A$5001,Base!$B$3:$B$5001,D$178,Base!$A$3:$A$5001,"&gt;="&amp;$C$7,Base!$A$3:$A$5001,"&lt;="&amp;$B199,Base!$L$3:$L$5001,"&lt;&gt;"))))</f>
        <v>800</v>
      </c>
      <c r="E199" s="149" t="str">
        <f>IF($A199&gt;$B$9,"",IF(COUNTIFS(Base!$B$3:$B$5001,E$178,Base!$A$3:$A$5001,"&gt;="&amp;$C$7,Base!$A$3:$A$5001,"&lt;="&amp;$B199,Base!$L$3:$L$5001,"&lt;&gt;")=0,"",SUMIFS(Base!$L$3:$L$5001,Base!$B$3:$B$5001,E$178,Base!$A$3:$A$5001,_xlfn.MAXIFS(Base!$A$3:$A$5001,Base!$B$3:$B$5001,E$178,Base!$A$3:$A$5001,"&gt;="&amp;$C$7,Base!$A$3:$A$5001,"&lt;="&amp;$B199,Base!$L$3:$L$5001,"&lt;&gt;"))))</f>
        <v/>
      </c>
      <c r="F199" s="149">
        <f>IF($A199&gt;$B$9,"",IF(COUNTIFS(Base!$B$3:$B$5001,F$178,Base!$A$3:$A$5001,"&gt;="&amp;$C$7,Base!$A$3:$A$5001,"&lt;="&amp;$B199,Base!$L$3:$L$5001,"&lt;&gt;")=0,"",SUMIFS(Base!$L$3:$L$5001,Base!$B$3:$B$5001,F$178,Base!$A$3:$A$5001,_xlfn.MAXIFS(Base!$A$3:$A$5001,Base!$B$3:$B$5001,F$178,Base!$A$3:$A$5001,"&gt;="&amp;$C$7,Base!$A$3:$A$5001,"&lt;="&amp;$B199,Base!$L$3:$L$5001,"&lt;&gt;"))))</f>
        <v>1400</v>
      </c>
      <c r="G199" s="149" t="str">
        <f>IF($A199&gt;$B$9,"",IF(COUNTIFS(Base!$B$3:$B$5001,G$178,Base!$A$3:$A$5001,"&gt;="&amp;$C$7,Base!$A$3:$A$5001,"&lt;="&amp;$B199,Base!$L$3:$L$5001,"&lt;&gt;")=0,"",SUMIFS(Base!$L$3:$L$5001,Base!$B$3:$B$5001,G$178,Base!$A$3:$A$5001,_xlfn.MAXIFS(Base!$A$3:$A$5001,Base!$B$3:$B$5001,G$178,Base!$A$3:$A$5001,"&gt;="&amp;$C$7,Base!$A$3:$A$5001,"&lt;="&amp;$B199,Base!$L$3:$L$5001,"&lt;&gt;"))))</f>
        <v/>
      </c>
    </row>
    <row r="200">
      <c r="A200" s="147">
        <v>22</v>
      </c>
      <c r="B200" s="148">
        <f>$B$33</f>
        <v>46287</v>
      </c>
      <c r="C200" s="149">
        <f>IF($A200&gt;$B$9,"",IF(COUNTIFS(Base!$B$3:$B$5001,C$178,Base!$A$3:$A$5001,"&gt;="&amp;$C$7,Base!$A$3:$A$5001,"&lt;="&amp;$B200,Base!$L$3:$L$5001,"&lt;&gt;")=0,"",SUMIFS(Base!$L$3:$L$5001,Base!$B$3:$B$5001,C$178,Base!$A$3:$A$5001,_xlfn.MAXIFS(Base!$A$3:$A$5001,Base!$B$3:$B$5001,C$178,Base!$A$3:$A$5001,"&gt;="&amp;$C$7,Base!$A$3:$A$5001,"&lt;="&amp;$B200,Base!$L$3:$L$5001,"&lt;&gt;"))))</f>
        <v>1950</v>
      </c>
      <c r="D200" s="149">
        <f>IF($A200&gt;$B$9,"",IF(COUNTIFS(Base!$B$3:$B$5001,D$178,Base!$A$3:$A$5001,"&gt;="&amp;$C$7,Base!$A$3:$A$5001,"&lt;="&amp;$B200,Base!$L$3:$L$5001,"&lt;&gt;")=0,"",SUMIFS(Base!$L$3:$L$5001,Base!$B$3:$B$5001,D$178,Base!$A$3:$A$5001,_xlfn.MAXIFS(Base!$A$3:$A$5001,Base!$B$3:$B$5001,D$178,Base!$A$3:$A$5001,"&gt;="&amp;$C$7,Base!$A$3:$A$5001,"&lt;="&amp;$B200,Base!$L$3:$L$5001,"&lt;&gt;"))))</f>
        <v>800</v>
      </c>
      <c r="E200" s="149" t="str">
        <f>IF($A200&gt;$B$9,"",IF(COUNTIFS(Base!$B$3:$B$5001,E$178,Base!$A$3:$A$5001,"&gt;="&amp;$C$7,Base!$A$3:$A$5001,"&lt;="&amp;$B200,Base!$L$3:$L$5001,"&lt;&gt;")=0,"",SUMIFS(Base!$L$3:$L$5001,Base!$B$3:$B$5001,E$178,Base!$A$3:$A$5001,_xlfn.MAXIFS(Base!$A$3:$A$5001,Base!$B$3:$B$5001,E$178,Base!$A$3:$A$5001,"&gt;="&amp;$C$7,Base!$A$3:$A$5001,"&lt;="&amp;$B200,Base!$L$3:$L$5001,"&lt;&gt;"))))</f>
        <v/>
      </c>
      <c r="F200" s="149">
        <f>IF($A200&gt;$B$9,"",IF(COUNTIFS(Base!$B$3:$B$5001,F$178,Base!$A$3:$A$5001,"&gt;="&amp;$C$7,Base!$A$3:$A$5001,"&lt;="&amp;$B200,Base!$L$3:$L$5001,"&lt;&gt;")=0,"",SUMIFS(Base!$L$3:$L$5001,Base!$B$3:$B$5001,F$178,Base!$A$3:$A$5001,_xlfn.MAXIFS(Base!$A$3:$A$5001,Base!$B$3:$B$5001,F$178,Base!$A$3:$A$5001,"&gt;="&amp;$C$7,Base!$A$3:$A$5001,"&lt;="&amp;$B200,Base!$L$3:$L$5001,"&lt;&gt;"))))</f>
        <v>1400</v>
      </c>
      <c r="G200" s="149" t="str">
        <f>IF($A200&gt;$B$9,"",IF(COUNTIFS(Base!$B$3:$B$5001,G$178,Base!$A$3:$A$5001,"&gt;="&amp;$C$7,Base!$A$3:$A$5001,"&lt;="&amp;$B200,Base!$L$3:$L$5001,"&lt;&gt;")=0,"",SUMIFS(Base!$L$3:$L$5001,Base!$B$3:$B$5001,G$178,Base!$A$3:$A$5001,_xlfn.MAXIFS(Base!$A$3:$A$5001,Base!$B$3:$B$5001,G$178,Base!$A$3:$A$5001,"&gt;="&amp;$C$7,Base!$A$3:$A$5001,"&lt;="&amp;$B200,Base!$L$3:$L$5001,"&lt;&gt;"))))</f>
        <v/>
      </c>
    </row>
    <row r="201">
      <c r="A201" s="147">
        <v>23</v>
      </c>
      <c r="B201" s="148">
        <f>$B$34</f>
        <v>46288</v>
      </c>
      <c r="C201" s="149">
        <f>IF($A201&gt;$B$9,"",IF(COUNTIFS(Base!$B$3:$B$5001,C$178,Base!$A$3:$A$5001,"&gt;="&amp;$C$7,Base!$A$3:$A$5001,"&lt;="&amp;$B201,Base!$L$3:$L$5001,"&lt;&gt;")=0,"",SUMIFS(Base!$L$3:$L$5001,Base!$B$3:$B$5001,C$178,Base!$A$3:$A$5001,_xlfn.MAXIFS(Base!$A$3:$A$5001,Base!$B$3:$B$5001,C$178,Base!$A$3:$A$5001,"&gt;="&amp;$C$7,Base!$A$3:$A$5001,"&lt;="&amp;$B201,Base!$L$3:$L$5001,"&lt;&gt;"))))</f>
        <v>1950</v>
      </c>
      <c r="D201" s="149">
        <f>IF($A201&gt;$B$9,"",IF(COUNTIFS(Base!$B$3:$B$5001,D$178,Base!$A$3:$A$5001,"&gt;="&amp;$C$7,Base!$A$3:$A$5001,"&lt;="&amp;$B201,Base!$L$3:$L$5001,"&lt;&gt;")=0,"",SUMIFS(Base!$L$3:$L$5001,Base!$B$3:$B$5001,D$178,Base!$A$3:$A$5001,_xlfn.MAXIFS(Base!$A$3:$A$5001,Base!$B$3:$B$5001,D$178,Base!$A$3:$A$5001,"&gt;="&amp;$C$7,Base!$A$3:$A$5001,"&lt;="&amp;$B201,Base!$L$3:$L$5001,"&lt;&gt;"))))</f>
        <v>800</v>
      </c>
      <c r="E201" s="149" t="str">
        <f>IF($A201&gt;$B$9,"",IF(COUNTIFS(Base!$B$3:$B$5001,E$178,Base!$A$3:$A$5001,"&gt;="&amp;$C$7,Base!$A$3:$A$5001,"&lt;="&amp;$B201,Base!$L$3:$L$5001,"&lt;&gt;")=0,"",SUMIFS(Base!$L$3:$L$5001,Base!$B$3:$B$5001,E$178,Base!$A$3:$A$5001,_xlfn.MAXIFS(Base!$A$3:$A$5001,Base!$B$3:$B$5001,E$178,Base!$A$3:$A$5001,"&gt;="&amp;$C$7,Base!$A$3:$A$5001,"&lt;="&amp;$B201,Base!$L$3:$L$5001,"&lt;&gt;"))))</f>
        <v/>
      </c>
      <c r="F201" s="149">
        <f>IF($A201&gt;$B$9,"",IF(COUNTIFS(Base!$B$3:$B$5001,F$178,Base!$A$3:$A$5001,"&gt;="&amp;$C$7,Base!$A$3:$A$5001,"&lt;="&amp;$B201,Base!$L$3:$L$5001,"&lt;&gt;")=0,"",SUMIFS(Base!$L$3:$L$5001,Base!$B$3:$B$5001,F$178,Base!$A$3:$A$5001,_xlfn.MAXIFS(Base!$A$3:$A$5001,Base!$B$3:$B$5001,F$178,Base!$A$3:$A$5001,"&gt;="&amp;$C$7,Base!$A$3:$A$5001,"&lt;="&amp;$B201,Base!$L$3:$L$5001,"&lt;&gt;"))))</f>
        <v>1400</v>
      </c>
      <c r="G201" s="149" t="str">
        <f>IF($A201&gt;$B$9,"",IF(COUNTIFS(Base!$B$3:$B$5001,G$178,Base!$A$3:$A$5001,"&gt;="&amp;$C$7,Base!$A$3:$A$5001,"&lt;="&amp;$B201,Base!$L$3:$L$5001,"&lt;&gt;")=0,"",SUMIFS(Base!$L$3:$L$5001,Base!$B$3:$B$5001,G$178,Base!$A$3:$A$5001,_xlfn.MAXIFS(Base!$A$3:$A$5001,Base!$B$3:$B$5001,G$178,Base!$A$3:$A$5001,"&gt;="&amp;$C$7,Base!$A$3:$A$5001,"&lt;="&amp;$B201,Base!$L$3:$L$5001,"&lt;&gt;"))))</f>
        <v/>
      </c>
    </row>
    <row r="202">
      <c r="A202" s="147">
        <v>24</v>
      </c>
      <c r="B202" s="148">
        <f>$B$35</f>
        <v>46289</v>
      </c>
      <c r="C202" s="149">
        <f>IF($A202&gt;$B$9,"",IF(COUNTIFS(Base!$B$3:$B$5001,C$178,Base!$A$3:$A$5001,"&gt;="&amp;$C$7,Base!$A$3:$A$5001,"&lt;="&amp;$B202,Base!$L$3:$L$5001,"&lt;&gt;")=0,"",SUMIFS(Base!$L$3:$L$5001,Base!$B$3:$B$5001,C$178,Base!$A$3:$A$5001,_xlfn.MAXIFS(Base!$A$3:$A$5001,Base!$B$3:$B$5001,C$178,Base!$A$3:$A$5001,"&gt;="&amp;$C$7,Base!$A$3:$A$5001,"&lt;="&amp;$B202,Base!$L$3:$L$5001,"&lt;&gt;"))))</f>
        <v>1950</v>
      </c>
      <c r="D202" s="149">
        <f>IF($A202&gt;$B$9,"",IF(COUNTIFS(Base!$B$3:$B$5001,D$178,Base!$A$3:$A$5001,"&gt;="&amp;$C$7,Base!$A$3:$A$5001,"&lt;="&amp;$B202,Base!$L$3:$L$5001,"&lt;&gt;")=0,"",SUMIFS(Base!$L$3:$L$5001,Base!$B$3:$B$5001,D$178,Base!$A$3:$A$5001,_xlfn.MAXIFS(Base!$A$3:$A$5001,Base!$B$3:$B$5001,D$178,Base!$A$3:$A$5001,"&gt;="&amp;$C$7,Base!$A$3:$A$5001,"&lt;="&amp;$B202,Base!$L$3:$L$5001,"&lt;&gt;"))))</f>
        <v>800</v>
      </c>
      <c r="E202" s="149" t="str">
        <f>IF($A202&gt;$B$9,"",IF(COUNTIFS(Base!$B$3:$B$5001,E$178,Base!$A$3:$A$5001,"&gt;="&amp;$C$7,Base!$A$3:$A$5001,"&lt;="&amp;$B202,Base!$L$3:$L$5001,"&lt;&gt;")=0,"",SUMIFS(Base!$L$3:$L$5001,Base!$B$3:$B$5001,E$178,Base!$A$3:$A$5001,_xlfn.MAXIFS(Base!$A$3:$A$5001,Base!$B$3:$B$5001,E$178,Base!$A$3:$A$5001,"&gt;="&amp;$C$7,Base!$A$3:$A$5001,"&lt;="&amp;$B202,Base!$L$3:$L$5001,"&lt;&gt;"))))</f>
        <v/>
      </c>
      <c r="F202" s="149">
        <f>IF($A202&gt;$B$9,"",IF(COUNTIFS(Base!$B$3:$B$5001,F$178,Base!$A$3:$A$5001,"&gt;="&amp;$C$7,Base!$A$3:$A$5001,"&lt;="&amp;$B202,Base!$L$3:$L$5001,"&lt;&gt;")=0,"",SUMIFS(Base!$L$3:$L$5001,Base!$B$3:$B$5001,F$178,Base!$A$3:$A$5001,_xlfn.MAXIFS(Base!$A$3:$A$5001,Base!$B$3:$B$5001,F$178,Base!$A$3:$A$5001,"&gt;="&amp;$C$7,Base!$A$3:$A$5001,"&lt;="&amp;$B202,Base!$L$3:$L$5001,"&lt;&gt;"))))</f>
        <v>1400</v>
      </c>
      <c r="G202" s="149" t="str">
        <f>IF($A202&gt;$B$9,"",IF(COUNTIFS(Base!$B$3:$B$5001,G$178,Base!$A$3:$A$5001,"&gt;="&amp;$C$7,Base!$A$3:$A$5001,"&lt;="&amp;$B202,Base!$L$3:$L$5001,"&lt;&gt;")=0,"",SUMIFS(Base!$L$3:$L$5001,Base!$B$3:$B$5001,G$178,Base!$A$3:$A$5001,_xlfn.MAXIFS(Base!$A$3:$A$5001,Base!$B$3:$B$5001,G$178,Base!$A$3:$A$5001,"&gt;="&amp;$C$7,Base!$A$3:$A$5001,"&lt;="&amp;$B202,Base!$L$3:$L$5001,"&lt;&gt;"))))</f>
        <v/>
      </c>
    </row>
    <row r="203">
      <c r="A203" s="147">
        <v>25</v>
      </c>
      <c r="B203" s="148">
        <f>$B$36</f>
        <v>46290</v>
      </c>
      <c r="C203" s="149">
        <f>IF($A203&gt;$B$9,"",IF(COUNTIFS(Base!$B$3:$B$5001,C$178,Base!$A$3:$A$5001,"&gt;="&amp;$C$7,Base!$A$3:$A$5001,"&lt;="&amp;$B203,Base!$L$3:$L$5001,"&lt;&gt;")=0,"",SUMIFS(Base!$L$3:$L$5001,Base!$B$3:$B$5001,C$178,Base!$A$3:$A$5001,_xlfn.MAXIFS(Base!$A$3:$A$5001,Base!$B$3:$B$5001,C$178,Base!$A$3:$A$5001,"&gt;="&amp;$C$7,Base!$A$3:$A$5001,"&lt;="&amp;$B203,Base!$L$3:$L$5001,"&lt;&gt;"))))</f>
        <v>1950</v>
      </c>
      <c r="D203" s="149">
        <f>IF($A203&gt;$B$9,"",IF(COUNTIFS(Base!$B$3:$B$5001,D$178,Base!$A$3:$A$5001,"&gt;="&amp;$C$7,Base!$A$3:$A$5001,"&lt;="&amp;$B203,Base!$L$3:$L$5001,"&lt;&gt;")=0,"",SUMIFS(Base!$L$3:$L$5001,Base!$B$3:$B$5001,D$178,Base!$A$3:$A$5001,_xlfn.MAXIFS(Base!$A$3:$A$5001,Base!$B$3:$B$5001,D$178,Base!$A$3:$A$5001,"&gt;="&amp;$C$7,Base!$A$3:$A$5001,"&lt;="&amp;$B203,Base!$L$3:$L$5001,"&lt;&gt;"))))</f>
        <v>800</v>
      </c>
      <c r="E203" s="149" t="str">
        <f>IF($A203&gt;$B$9,"",IF(COUNTIFS(Base!$B$3:$B$5001,E$178,Base!$A$3:$A$5001,"&gt;="&amp;$C$7,Base!$A$3:$A$5001,"&lt;="&amp;$B203,Base!$L$3:$L$5001,"&lt;&gt;")=0,"",SUMIFS(Base!$L$3:$L$5001,Base!$B$3:$B$5001,E$178,Base!$A$3:$A$5001,_xlfn.MAXIFS(Base!$A$3:$A$5001,Base!$B$3:$B$5001,E$178,Base!$A$3:$A$5001,"&gt;="&amp;$C$7,Base!$A$3:$A$5001,"&lt;="&amp;$B203,Base!$L$3:$L$5001,"&lt;&gt;"))))</f>
        <v/>
      </c>
      <c r="F203" s="149">
        <f>IF($A203&gt;$B$9,"",IF(COUNTIFS(Base!$B$3:$B$5001,F$178,Base!$A$3:$A$5001,"&gt;="&amp;$C$7,Base!$A$3:$A$5001,"&lt;="&amp;$B203,Base!$L$3:$L$5001,"&lt;&gt;")=0,"",SUMIFS(Base!$L$3:$L$5001,Base!$B$3:$B$5001,F$178,Base!$A$3:$A$5001,_xlfn.MAXIFS(Base!$A$3:$A$5001,Base!$B$3:$B$5001,F$178,Base!$A$3:$A$5001,"&gt;="&amp;$C$7,Base!$A$3:$A$5001,"&lt;="&amp;$B203,Base!$L$3:$L$5001,"&lt;&gt;"))))</f>
        <v>1400</v>
      </c>
      <c r="G203" s="149" t="str">
        <f>IF($A203&gt;$B$9,"",IF(COUNTIFS(Base!$B$3:$B$5001,G$178,Base!$A$3:$A$5001,"&gt;="&amp;$C$7,Base!$A$3:$A$5001,"&lt;="&amp;$B203,Base!$L$3:$L$5001,"&lt;&gt;")=0,"",SUMIFS(Base!$L$3:$L$5001,Base!$B$3:$B$5001,G$178,Base!$A$3:$A$5001,_xlfn.MAXIFS(Base!$A$3:$A$5001,Base!$B$3:$B$5001,G$178,Base!$A$3:$A$5001,"&gt;="&amp;$C$7,Base!$A$3:$A$5001,"&lt;="&amp;$B203,Base!$L$3:$L$5001,"&lt;&gt;"))))</f>
        <v/>
      </c>
    </row>
    <row r="204">
      <c r="A204" s="147">
        <v>26</v>
      </c>
      <c r="B204" s="148">
        <f>$B$37</f>
        <v>46291</v>
      </c>
      <c r="C204" s="149">
        <f>IF($A204&gt;$B$9,"",IF(COUNTIFS(Base!$B$3:$B$5001,C$178,Base!$A$3:$A$5001,"&gt;="&amp;$C$7,Base!$A$3:$A$5001,"&lt;="&amp;$B204,Base!$L$3:$L$5001,"&lt;&gt;")=0,"",SUMIFS(Base!$L$3:$L$5001,Base!$B$3:$B$5001,C$178,Base!$A$3:$A$5001,_xlfn.MAXIFS(Base!$A$3:$A$5001,Base!$B$3:$B$5001,C$178,Base!$A$3:$A$5001,"&gt;="&amp;$C$7,Base!$A$3:$A$5001,"&lt;="&amp;$B204,Base!$L$3:$L$5001,"&lt;&gt;"))))</f>
        <v>1950</v>
      </c>
      <c r="D204" s="149">
        <f>IF($A204&gt;$B$9,"",IF(COUNTIFS(Base!$B$3:$B$5001,D$178,Base!$A$3:$A$5001,"&gt;="&amp;$C$7,Base!$A$3:$A$5001,"&lt;="&amp;$B204,Base!$L$3:$L$5001,"&lt;&gt;")=0,"",SUMIFS(Base!$L$3:$L$5001,Base!$B$3:$B$5001,D$178,Base!$A$3:$A$5001,_xlfn.MAXIFS(Base!$A$3:$A$5001,Base!$B$3:$B$5001,D$178,Base!$A$3:$A$5001,"&gt;="&amp;$C$7,Base!$A$3:$A$5001,"&lt;="&amp;$B204,Base!$L$3:$L$5001,"&lt;&gt;"))))</f>
        <v>800</v>
      </c>
      <c r="E204" s="149" t="str">
        <f>IF($A204&gt;$B$9,"",IF(COUNTIFS(Base!$B$3:$B$5001,E$178,Base!$A$3:$A$5001,"&gt;="&amp;$C$7,Base!$A$3:$A$5001,"&lt;="&amp;$B204,Base!$L$3:$L$5001,"&lt;&gt;")=0,"",SUMIFS(Base!$L$3:$L$5001,Base!$B$3:$B$5001,E$178,Base!$A$3:$A$5001,_xlfn.MAXIFS(Base!$A$3:$A$5001,Base!$B$3:$B$5001,E$178,Base!$A$3:$A$5001,"&gt;="&amp;$C$7,Base!$A$3:$A$5001,"&lt;="&amp;$B204,Base!$L$3:$L$5001,"&lt;&gt;"))))</f>
        <v/>
      </c>
      <c r="F204" s="149">
        <f>IF($A204&gt;$B$9,"",IF(COUNTIFS(Base!$B$3:$B$5001,F$178,Base!$A$3:$A$5001,"&gt;="&amp;$C$7,Base!$A$3:$A$5001,"&lt;="&amp;$B204,Base!$L$3:$L$5001,"&lt;&gt;")=0,"",SUMIFS(Base!$L$3:$L$5001,Base!$B$3:$B$5001,F$178,Base!$A$3:$A$5001,_xlfn.MAXIFS(Base!$A$3:$A$5001,Base!$B$3:$B$5001,F$178,Base!$A$3:$A$5001,"&gt;="&amp;$C$7,Base!$A$3:$A$5001,"&lt;="&amp;$B204,Base!$L$3:$L$5001,"&lt;&gt;"))))</f>
        <v>1400</v>
      </c>
      <c r="G204" s="149" t="str">
        <f>IF($A204&gt;$B$9,"",IF(COUNTIFS(Base!$B$3:$B$5001,G$178,Base!$A$3:$A$5001,"&gt;="&amp;$C$7,Base!$A$3:$A$5001,"&lt;="&amp;$B204,Base!$L$3:$L$5001,"&lt;&gt;")=0,"",SUMIFS(Base!$L$3:$L$5001,Base!$B$3:$B$5001,G$178,Base!$A$3:$A$5001,_xlfn.MAXIFS(Base!$A$3:$A$5001,Base!$B$3:$B$5001,G$178,Base!$A$3:$A$5001,"&gt;="&amp;$C$7,Base!$A$3:$A$5001,"&lt;="&amp;$B204,Base!$L$3:$L$5001,"&lt;&gt;"))))</f>
        <v/>
      </c>
    </row>
    <row r="205">
      <c r="A205" s="147">
        <v>27</v>
      </c>
      <c r="B205" s="148">
        <f>$B$38</f>
        <v>46292</v>
      </c>
      <c r="C205" s="149">
        <f>IF($A205&gt;$B$9,"",IF(COUNTIFS(Base!$B$3:$B$5001,C$178,Base!$A$3:$A$5001,"&gt;="&amp;$C$7,Base!$A$3:$A$5001,"&lt;="&amp;$B205,Base!$L$3:$L$5001,"&lt;&gt;")=0,"",SUMIFS(Base!$L$3:$L$5001,Base!$B$3:$B$5001,C$178,Base!$A$3:$A$5001,_xlfn.MAXIFS(Base!$A$3:$A$5001,Base!$B$3:$B$5001,C$178,Base!$A$3:$A$5001,"&gt;="&amp;$C$7,Base!$A$3:$A$5001,"&lt;="&amp;$B205,Base!$L$3:$L$5001,"&lt;&gt;"))))</f>
        <v>1950</v>
      </c>
      <c r="D205" s="149">
        <f>IF($A205&gt;$B$9,"",IF(COUNTIFS(Base!$B$3:$B$5001,D$178,Base!$A$3:$A$5001,"&gt;="&amp;$C$7,Base!$A$3:$A$5001,"&lt;="&amp;$B205,Base!$L$3:$L$5001,"&lt;&gt;")=0,"",SUMIFS(Base!$L$3:$L$5001,Base!$B$3:$B$5001,D$178,Base!$A$3:$A$5001,_xlfn.MAXIFS(Base!$A$3:$A$5001,Base!$B$3:$B$5001,D$178,Base!$A$3:$A$5001,"&gt;="&amp;$C$7,Base!$A$3:$A$5001,"&lt;="&amp;$B205,Base!$L$3:$L$5001,"&lt;&gt;"))))</f>
        <v>800</v>
      </c>
      <c r="E205" s="149" t="str">
        <f>IF($A205&gt;$B$9,"",IF(COUNTIFS(Base!$B$3:$B$5001,E$178,Base!$A$3:$A$5001,"&gt;="&amp;$C$7,Base!$A$3:$A$5001,"&lt;="&amp;$B205,Base!$L$3:$L$5001,"&lt;&gt;")=0,"",SUMIFS(Base!$L$3:$L$5001,Base!$B$3:$B$5001,E$178,Base!$A$3:$A$5001,_xlfn.MAXIFS(Base!$A$3:$A$5001,Base!$B$3:$B$5001,E$178,Base!$A$3:$A$5001,"&gt;="&amp;$C$7,Base!$A$3:$A$5001,"&lt;="&amp;$B205,Base!$L$3:$L$5001,"&lt;&gt;"))))</f>
        <v/>
      </c>
      <c r="F205" s="149">
        <f>IF($A205&gt;$B$9,"",IF(COUNTIFS(Base!$B$3:$B$5001,F$178,Base!$A$3:$A$5001,"&gt;="&amp;$C$7,Base!$A$3:$A$5001,"&lt;="&amp;$B205,Base!$L$3:$L$5001,"&lt;&gt;")=0,"",SUMIFS(Base!$L$3:$L$5001,Base!$B$3:$B$5001,F$178,Base!$A$3:$A$5001,_xlfn.MAXIFS(Base!$A$3:$A$5001,Base!$B$3:$B$5001,F$178,Base!$A$3:$A$5001,"&gt;="&amp;$C$7,Base!$A$3:$A$5001,"&lt;="&amp;$B205,Base!$L$3:$L$5001,"&lt;&gt;"))))</f>
        <v>1400</v>
      </c>
      <c r="G205" s="149" t="str">
        <f>IF($A205&gt;$B$9,"",IF(COUNTIFS(Base!$B$3:$B$5001,G$178,Base!$A$3:$A$5001,"&gt;="&amp;$C$7,Base!$A$3:$A$5001,"&lt;="&amp;$B205,Base!$L$3:$L$5001,"&lt;&gt;")=0,"",SUMIFS(Base!$L$3:$L$5001,Base!$B$3:$B$5001,G$178,Base!$A$3:$A$5001,_xlfn.MAXIFS(Base!$A$3:$A$5001,Base!$B$3:$B$5001,G$178,Base!$A$3:$A$5001,"&gt;="&amp;$C$7,Base!$A$3:$A$5001,"&lt;="&amp;$B205,Base!$L$3:$L$5001,"&lt;&gt;"))))</f>
        <v/>
      </c>
    </row>
    <row r="206">
      <c r="A206" s="147">
        <v>28</v>
      </c>
      <c r="B206" s="148">
        <f>$B$39</f>
        <v>46293</v>
      </c>
      <c r="C206" s="149">
        <f>IF($A206&gt;$B$9,"",IF(COUNTIFS(Base!$B$3:$B$5001,C$178,Base!$A$3:$A$5001,"&gt;="&amp;$C$7,Base!$A$3:$A$5001,"&lt;="&amp;$B206,Base!$L$3:$L$5001,"&lt;&gt;")=0,"",SUMIFS(Base!$L$3:$L$5001,Base!$B$3:$B$5001,C$178,Base!$A$3:$A$5001,_xlfn.MAXIFS(Base!$A$3:$A$5001,Base!$B$3:$B$5001,C$178,Base!$A$3:$A$5001,"&gt;="&amp;$C$7,Base!$A$3:$A$5001,"&lt;="&amp;$B206,Base!$L$3:$L$5001,"&lt;&gt;"))))</f>
        <v>1950</v>
      </c>
      <c r="D206" s="149">
        <f>IF($A206&gt;$B$9,"",IF(COUNTIFS(Base!$B$3:$B$5001,D$178,Base!$A$3:$A$5001,"&gt;="&amp;$C$7,Base!$A$3:$A$5001,"&lt;="&amp;$B206,Base!$L$3:$L$5001,"&lt;&gt;")=0,"",SUMIFS(Base!$L$3:$L$5001,Base!$B$3:$B$5001,D$178,Base!$A$3:$A$5001,_xlfn.MAXIFS(Base!$A$3:$A$5001,Base!$B$3:$B$5001,D$178,Base!$A$3:$A$5001,"&gt;="&amp;$C$7,Base!$A$3:$A$5001,"&lt;="&amp;$B206,Base!$L$3:$L$5001,"&lt;&gt;"))))</f>
        <v>800</v>
      </c>
      <c r="E206" s="149" t="str">
        <f>IF($A206&gt;$B$9,"",IF(COUNTIFS(Base!$B$3:$B$5001,E$178,Base!$A$3:$A$5001,"&gt;="&amp;$C$7,Base!$A$3:$A$5001,"&lt;="&amp;$B206,Base!$L$3:$L$5001,"&lt;&gt;")=0,"",SUMIFS(Base!$L$3:$L$5001,Base!$B$3:$B$5001,E$178,Base!$A$3:$A$5001,_xlfn.MAXIFS(Base!$A$3:$A$5001,Base!$B$3:$B$5001,E$178,Base!$A$3:$A$5001,"&gt;="&amp;$C$7,Base!$A$3:$A$5001,"&lt;="&amp;$B206,Base!$L$3:$L$5001,"&lt;&gt;"))))</f>
        <v/>
      </c>
      <c r="F206" s="149">
        <f>IF($A206&gt;$B$9,"",IF(COUNTIFS(Base!$B$3:$B$5001,F$178,Base!$A$3:$A$5001,"&gt;="&amp;$C$7,Base!$A$3:$A$5001,"&lt;="&amp;$B206,Base!$L$3:$L$5001,"&lt;&gt;")=0,"",SUMIFS(Base!$L$3:$L$5001,Base!$B$3:$B$5001,F$178,Base!$A$3:$A$5001,_xlfn.MAXIFS(Base!$A$3:$A$5001,Base!$B$3:$B$5001,F$178,Base!$A$3:$A$5001,"&gt;="&amp;$C$7,Base!$A$3:$A$5001,"&lt;="&amp;$B206,Base!$L$3:$L$5001,"&lt;&gt;"))))</f>
        <v>1400</v>
      </c>
      <c r="G206" s="149" t="str">
        <f>IF($A206&gt;$B$9,"",IF(COUNTIFS(Base!$B$3:$B$5001,G$178,Base!$A$3:$A$5001,"&gt;="&amp;$C$7,Base!$A$3:$A$5001,"&lt;="&amp;$B206,Base!$L$3:$L$5001,"&lt;&gt;")=0,"",SUMIFS(Base!$L$3:$L$5001,Base!$B$3:$B$5001,G$178,Base!$A$3:$A$5001,_xlfn.MAXIFS(Base!$A$3:$A$5001,Base!$B$3:$B$5001,G$178,Base!$A$3:$A$5001,"&gt;="&amp;$C$7,Base!$A$3:$A$5001,"&lt;="&amp;$B206,Base!$L$3:$L$5001,"&lt;&gt;"))))</f>
        <v/>
      </c>
    </row>
    <row r="207">
      <c r="A207" s="147">
        <v>29</v>
      </c>
      <c r="B207" s="148">
        <f>$B$40</f>
        <v>46294</v>
      </c>
      <c r="C207" s="149">
        <f>IF($A207&gt;$B$9,"",IF(COUNTIFS(Base!$B$3:$B$5001,C$178,Base!$A$3:$A$5001,"&gt;="&amp;$C$7,Base!$A$3:$A$5001,"&lt;="&amp;$B207,Base!$L$3:$L$5001,"&lt;&gt;")=0,"",SUMIFS(Base!$L$3:$L$5001,Base!$B$3:$B$5001,C$178,Base!$A$3:$A$5001,_xlfn.MAXIFS(Base!$A$3:$A$5001,Base!$B$3:$B$5001,C$178,Base!$A$3:$A$5001,"&gt;="&amp;$C$7,Base!$A$3:$A$5001,"&lt;="&amp;$B207,Base!$L$3:$L$5001,"&lt;&gt;"))))</f>
        <v>1950</v>
      </c>
      <c r="D207" s="149">
        <f>IF($A207&gt;$B$9,"",IF(COUNTIFS(Base!$B$3:$B$5001,D$178,Base!$A$3:$A$5001,"&gt;="&amp;$C$7,Base!$A$3:$A$5001,"&lt;="&amp;$B207,Base!$L$3:$L$5001,"&lt;&gt;")=0,"",SUMIFS(Base!$L$3:$L$5001,Base!$B$3:$B$5001,D$178,Base!$A$3:$A$5001,_xlfn.MAXIFS(Base!$A$3:$A$5001,Base!$B$3:$B$5001,D$178,Base!$A$3:$A$5001,"&gt;="&amp;$C$7,Base!$A$3:$A$5001,"&lt;="&amp;$B207,Base!$L$3:$L$5001,"&lt;&gt;"))))</f>
        <v>800</v>
      </c>
      <c r="E207" s="149" t="str">
        <f>IF($A207&gt;$B$9,"",IF(COUNTIFS(Base!$B$3:$B$5001,E$178,Base!$A$3:$A$5001,"&gt;="&amp;$C$7,Base!$A$3:$A$5001,"&lt;="&amp;$B207,Base!$L$3:$L$5001,"&lt;&gt;")=0,"",SUMIFS(Base!$L$3:$L$5001,Base!$B$3:$B$5001,E$178,Base!$A$3:$A$5001,_xlfn.MAXIFS(Base!$A$3:$A$5001,Base!$B$3:$B$5001,E$178,Base!$A$3:$A$5001,"&gt;="&amp;$C$7,Base!$A$3:$A$5001,"&lt;="&amp;$B207,Base!$L$3:$L$5001,"&lt;&gt;"))))</f>
        <v/>
      </c>
      <c r="F207" s="149">
        <f>IF($A207&gt;$B$9,"",IF(COUNTIFS(Base!$B$3:$B$5001,F$178,Base!$A$3:$A$5001,"&gt;="&amp;$C$7,Base!$A$3:$A$5001,"&lt;="&amp;$B207,Base!$L$3:$L$5001,"&lt;&gt;")=0,"",SUMIFS(Base!$L$3:$L$5001,Base!$B$3:$B$5001,F$178,Base!$A$3:$A$5001,_xlfn.MAXIFS(Base!$A$3:$A$5001,Base!$B$3:$B$5001,F$178,Base!$A$3:$A$5001,"&gt;="&amp;$C$7,Base!$A$3:$A$5001,"&lt;="&amp;$B207,Base!$L$3:$L$5001,"&lt;&gt;"))))</f>
        <v>1400</v>
      </c>
      <c r="G207" s="149" t="str">
        <f>IF($A207&gt;$B$9,"",IF(COUNTIFS(Base!$B$3:$B$5001,G$178,Base!$A$3:$A$5001,"&gt;="&amp;$C$7,Base!$A$3:$A$5001,"&lt;="&amp;$B207,Base!$L$3:$L$5001,"&lt;&gt;")=0,"",SUMIFS(Base!$L$3:$L$5001,Base!$B$3:$B$5001,G$178,Base!$A$3:$A$5001,_xlfn.MAXIFS(Base!$A$3:$A$5001,Base!$B$3:$B$5001,G$178,Base!$A$3:$A$5001,"&gt;="&amp;$C$7,Base!$A$3:$A$5001,"&lt;="&amp;$B207,Base!$L$3:$L$5001,"&lt;&gt;"))))</f>
        <v/>
      </c>
    </row>
    <row r="208">
      <c r="A208" s="147">
        <v>30</v>
      </c>
      <c r="B208" s="148">
        <f>$B$41</f>
        <v>46295</v>
      </c>
      <c r="C208" s="149" t="str">
        <f>IF($A208&gt;$B$9,"",IF(COUNTIFS(Base!$B$3:$B$5001,C$178,Base!$A$3:$A$5001,"&gt;="&amp;$C$7,Base!$A$3:$A$5001,"&lt;="&amp;$B208,Base!$L$3:$L$5001,"&lt;&gt;")=0,"",SUMIFS(Base!$L$3:$L$5001,Base!$B$3:$B$5001,C$178,Base!$A$3:$A$5001,_xlfn.MAXIFS(Base!$A$3:$A$5001,Base!$B$3:$B$5001,C$178,Base!$A$3:$A$5001,"&gt;="&amp;$C$7,Base!$A$3:$A$5001,"&lt;="&amp;$B208,Base!$L$3:$L$5001,"&lt;&gt;"))))</f>
        <v/>
      </c>
      <c r="D208" s="149" t="str">
        <f>IF($A208&gt;$B$9,"",IF(COUNTIFS(Base!$B$3:$B$5001,D$178,Base!$A$3:$A$5001,"&gt;="&amp;$C$7,Base!$A$3:$A$5001,"&lt;="&amp;$B208,Base!$L$3:$L$5001,"&lt;&gt;")=0,"",SUMIFS(Base!$L$3:$L$5001,Base!$B$3:$B$5001,D$178,Base!$A$3:$A$5001,_xlfn.MAXIFS(Base!$A$3:$A$5001,Base!$B$3:$B$5001,D$178,Base!$A$3:$A$5001,"&gt;="&amp;$C$7,Base!$A$3:$A$5001,"&lt;="&amp;$B208,Base!$L$3:$L$5001,"&lt;&gt;"))))</f>
        <v/>
      </c>
      <c r="E208" s="149" t="str">
        <f>IF($A208&gt;$B$9,"",IF(COUNTIFS(Base!$B$3:$B$5001,E$178,Base!$A$3:$A$5001,"&gt;="&amp;$C$7,Base!$A$3:$A$5001,"&lt;="&amp;$B208,Base!$L$3:$L$5001,"&lt;&gt;")=0,"",SUMIFS(Base!$L$3:$L$5001,Base!$B$3:$B$5001,E$178,Base!$A$3:$A$5001,_xlfn.MAXIFS(Base!$A$3:$A$5001,Base!$B$3:$B$5001,E$178,Base!$A$3:$A$5001,"&gt;="&amp;$C$7,Base!$A$3:$A$5001,"&lt;="&amp;$B208,Base!$L$3:$L$5001,"&lt;&gt;"))))</f>
        <v/>
      </c>
      <c r="F208" s="149" t="str">
        <f>IF($A208&gt;$B$9,"",IF(COUNTIFS(Base!$B$3:$B$5001,F$178,Base!$A$3:$A$5001,"&gt;="&amp;$C$7,Base!$A$3:$A$5001,"&lt;="&amp;$B208,Base!$L$3:$L$5001,"&lt;&gt;")=0,"",SUMIFS(Base!$L$3:$L$5001,Base!$B$3:$B$5001,F$178,Base!$A$3:$A$5001,_xlfn.MAXIFS(Base!$A$3:$A$5001,Base!$B$3:$B$5001,F$178,Base!$A$3:$A$5001,"&gt;="&amp;$C$7,Base!$A$3:$A$5001,"&lt;="&amp;$B208,Base!$L$3:$L$5001,"&lt;&gt;"))))</f>
        <v/>
      </c>
      <c r="G208" s="149" t="str">
        <f>IF($A208&gt;$B$9,"",IF(COUNTIFS(Base!$B$3:$B$5001,G$178,Base!$A$3:$A$5001,"&gt;="&amp;$C$7,Base!$A$3:$A$5001,"&lt;="&amp;$B208,Base!$L$3:$L$5001,"&lt;&gt;")=0,"",SUMIFS(Base!$L$3:$L$5001,Base!$B$3:$B$5001,G$178,Base!$A$3:$A$5001,_xlfn.MAXIFS(Base!$A$3:$A$5001,Base!$B$3:$B$5001,G$178,Base!$A$3:$A$5001,"&gt;="&amp;$C$7,Base!$A$3:$A$5001,"&lt;="&amp;$B208,Base!$L$3:$L$5001,"&lt;&gt;"))))</f>
        <v/>
      </c>
    </row>
    <row r="209">
      <c r="A209" s="147">
        <v>31</v>
      </c>
      <c r="B209" s="148" t="str">
        <f>$B$42</f>
        <v/>
      </c>
      <c r="C209" s="149" t="str">
        <f>IF($A209&gt;$B$9,"",IF(COUNTIFS(Base!$B$3:$B$5001,C$178,Base!$A$3:$A$5001,"&gt;="&amp;$C$7,Base!$A$3:$A$5001,"&lt;="&amp;$B209,Base!$L$3:$L$5001,"&lt;&gt;")=0,"",SUMIFS(Base!$L$3:$L$5001,Base!$B$3:$B$5001,C$178,Base!$A$3:$A$5001,_xlfn.MAXIFS(Base!$A$3:$A$5001,Base!$B$3:$B$5001,C$178,Base!$A$3:$A$5001,"&gt;="&amp;$C$7,Base!$A$3:$A$5001,"&lt;="&amp;$B209,Base!$L$3:$L$5001,"&lt;&gt;"))))</f>
        <v/>
      </c>
      <c r="D209" s="149" t="str">
        <f>IF($A209&gt;$B$9,"",IF(COUNTIFS(Base!$B$3:$B$5001,D$178,Base!$A$3:$A$5001,"&gt;="&amp;$C$7,Base!$A$3:$A$5001,"&lt;="&amp;$B209,Base!$L$3:$L$5001,"&lt;&gt;")=0,"",SUMIFS(Base!$L$3:$L$5001,Base!$B$3:$B$5001,D$178,Base!$A$3:$A$5001,_xlfn.MAXIFS(Base!$A$3:$A$5001,Base!$B$3:$B$5001,D$178,Base!$A$3:$A$5001,"&gt;="&amp;$C$7,Base!$A$3:$A$5001,"&lt;="&amp;$B209,Base!$L$3:$L$5001,"&lt;&gt;"))))</f>
        <v/>
      </c>
      <c r="E209" s="149" t="str">
        <f>IF($A209&gt;$B$9,"",IF(COUNTIFS(Base!$B$3:$B$5001,E$178,Base!$A$3:$A$5001,"&gt;="&amp;$C$7,Base!$A$3:$A$5001,"&lt;="&amp;$B209,Base!$L$3:$L$5001,"&lt;&gt;")=0,"",SUMIFS(Base!$L$3:$L$5001,Base!$B$3:$B$5001,E$178,Base!$A$3:$A$5001,_xlfn.MAXIFS(Base!$A$3:$A$5001,Base!$B$3:$B$5001,E$178,Base!$A$3:$A$5001,"&gt;="&amp;$C$7,Base!$A$3:$A$5001,"&lt;="&amp;$B209,Base!$L$3:$L$5001,"&lt;&gt;"))))</f>
        <v/>
      </c>
      <c r="F209" s="149" t="str">
        <f>IF($A209&gt;$B$9,"",IF(COUNTIFS(Base!$B$3:$B$5001,F$178,Base!$A$3:$A$5001,"&gt;="&amp;$C$7,Base!$A$3:$A$5001,"&lt;="&amp;$B209,Base!$L$3:$L$5001,"&lt;&gt;")=0,"",SUMIFS(Base!$L$3:$L$5001,Base!$B$3:$B$5001,F$178,Base!$A$3:$A$5001,_xlfn.MAXIFS(Base!$A$3:$A$5001,Base!$B$3:$B$5001,F$178,Base!$A$3:$A$5001,"&gt;="&amp;$C$7,Base!$A$3:$A$5001,"&lt;="&amp;$B209,Base!$L$3:$L$5001,"&lt;&gt;"))))</f>
        <v/>
      </c>
      <c r="G209" s="149" t="str">
        <f>IF($A209&gt;$B$9,"",IF(COUNTIFS(Base!$B$3:$B$5001,G$178,Base!$A$3:$A$5001,"&gt;="&amp;$C$7,Base!$A$3:$A$5001,"&lt;="&amp;$B209,Base!$L$3:$L$5001,"&lt;&gt;")=0,"",SUMIFS(Base!$L$3:$L$5001,Base!$B$3:$B$5001,G$178,Base!$A$3:$A$5001,_xlfn.MAXIFS(Base!$A$3:$A$5001,Base!$B$3:$B$5001,G$178,Base!$A$3:$A$5001,"&gt;="&amp;$C$7,Base!$A$3:$A$5001,"&lt;="&amp;$B209,Base!$L$3:$L$5001,"&lt;&gt;"))))</f>
        <v/>
      </c>
    </row>
    <row r="210">
      <c r="A210" s="150" t="inlineStr">
        <is>
          <t xml:space="preserve">Mês anterior (último)</t>
        </is>
      </c>
      <c r="C210" s="151">
        <f>IF(COUNTIFS(Base!$B$3:$B$5001,C$178,Base!$A$3:$A$5001,"&gt;="&amp;$C$8,Base!$A$3:$A$5001,"&lt;="&amp;$D$8,Base!$L$3:$L$5001,"&lt;&gt;")=0,"",SUMIFS(Base!$L$3:$L$5001,Base!$B$3:$B$5001,C$178,Base!$A$3:$A$5001,_xlfn.MAXIFS(Base!$A$3:$A$5001,Base!$B$3:$B$5001,C$178,Base!$A$3:$A$5001,"&gt;="&amp;$C$8,Base!$A$3:$A$5001,"&lt;="&amp;$D$8,Base!$L$3:$L$5001,"&lt;&gt;")))</f>
        <v>1950</v>
      </c>
      <c r="D210" s="151">
        <f>IF(COUNTIFS(Base!$B$3:$B$5001,D$178,Base!$A$3:$A$5001,"&gt;="&amp;$C$8,Base!$A$3:$A$5001,"&lt;="&amp;$D$8,Base!$L$3:$L$5001,"&lt;&gt;")=0,"",SUMIFS(Base!$L$3:$L$5001,Base!$B$3:$B$5001,D$178,Base!$A$3:$A$5001,_xlfn.MAXIFS(Base!$A$3:$A$5001,Base!$B$3:$B$5001,D$178,Base!$A$3:$A$5001,"&gt;="&amp;$C$8,Base!$A$3:$A$5001,"&lt;="&amp;$D$8,Base!$L$3:$L$5001,"&lt;&gt;")))</f>
        <v>800</v>
      </c>
      <c r="E210" s="151" t="str">
        <f>IF(COUNTIFS(Base!$B$3:$B$5001,E$178,Base!$A$3:$A$5001,"&gt;="&amp;$C$8,Base!$A$3:$A$5001,"&lt;="&amp;$D$8,Base!$L$3:$L$5001,"&lt;&gt;")=0,"",SUMIFS(Base!$L$3:$L$5001,Base!$B$3:$B$5001,E$178,Base!$A$3:$A$5001,_xlfn.MAXIFS(Base!$A$3:$A$5001,Base!$B$3:$B$5001,E$178,Base!$A$3:$A$5001,"&gt;="&amp;$C$8,Base!$A$3:$A$5001,"&lt;="&amp;$D$8,Base!$L$3:$L$5001,"&lt;&gt;")))</f>
        <v/>
      </c>
      <c r="F210" s="151">
        <f>IF(COUNTIFS(Base!$B$3:$B$5001,F$178,Base!$A$3:$A$5001,"&gt;="&amp;$C$8,Base!$A$3:$A$5001,"&lt;="&amp;$D$8,Base!$L$3:$L$5001,"&lt;&gt;")=0,"",SUMIFS(Base!$L$3:$L$5001,Base!$B$3:$B$5001,F$178,Base!$A$3:$A$5001,_xlfn.MAXIFS(Base!$A$3:$A$5001,Base!$B$3:$B$5001,F$178,Base!$A$3:$A$5001,"&gt;="&amp;$C$8,Base!$A$3:$A$5001,"&lt;="&amp;$D$8,Base!$L$3:$L$5001,"&lt;&gt;")))</f>
        <v>1400</v>
      </c>
      <c r="G210" s="151" t="str">
        <f>IF(COUNTIFS(Base!$B$3:$B$5001,G$178,Base!$A$3:$A$5001,"&gt;="&amp;$C$8,Base!$A$3:$A$5001,"&lt;="&amp;$D$8,Base!$L$3:$L$5001,"&lt;&gt;")=0,"",SUMIFS(Base!$L$3:$L$5001,Base!$B$3:$B$5001,G$178,Base!$A$3:$A$5001,_xlfn.MAXIFS(Base!$A$3:$A$5001,Base!$B$3:$B$5001,G$178,Base!$A$3:$A$5001,"&gt;="&amp;$C$8,Base!$A$3:$A$5001,"&lt;="&amp;$D$8,Base!$L$3:$L$5001,"&lt;&gt;")))</f>
        <v/>
      </c>
    </row>
    <row r="213">
      <c r="A213" s="145" t="inlineStr">
        <is>
          <t xml:space="preserve">Efetivo Op.</t>
        </is>
      </c>
      <c r="B213" s="145" t="inlineStr">
        <is>
          <t xml:space="preserve">Data</t>
        </is>
      </c>
      <c r="C213" s="145" t="inlineStr">
        <is>
          <t xml:space="preserve">Barry Callebaut</t>
        </is>
      </c>
      <c r="D213" s="145" t="inlineStr">
        <is>
          <t xml:space="preserve">Gm</t>
        </is>
      </c>
      <c r="E213" s="145" t="inlineStr">
        <is>
          <t xml:space="preserve">Mondelez</t>
        </is>
      </c>
      <c r="F213" s="145" t="inlineStr">
        <is>
          <t xml:space="preserve">Nestlé</t>
        </is>
      </c>
      <c r="G213" s="145" t="inlineStr">
        <is>
          <t xml:space="preserve">PMB</t>
        </is>
      </c>
    </row>
    <row r="214">
      <c r="A214" s="147">
        <v>1</v>
      </c>
      <c r="B214" s="148">
        <f>$B$12</f>
        <v>46266</v>
      </c>
      <c r="C214" s="149">
        <f>IF($A214&gt;$B$9,"",IF(COUNTIFS(Base!$B$3:$B$5001,C$213,Base!$A$3:$A$5001,"&gt;="&amp;$C$7,Base!$A$3:$A$5001,"&lt;="&amp;$B214,Base!$N$3:$N$5001,"&lt;&gt;")=0,"",SUMIFS(Base!$N$3:$N$5001,Base!$B$3:$B$5001,C$213,Base!$A$3:$A$5001,_xlfn.MAXIFS(Base!$A$3:$A$5001,Base!$B$3:$B$5001,C$213,Base!$A$3:$A$5001,"&gt;="&amp;$C$7,Base!$A$3:$A$5001,"&lt;="&amp;$B214,Base!$N$3:$N$5001,"&lt;&gt;"))))</f>
        <v>9</v>
      </c>
      <c r="D214" s="149">
        <f>IF($A214&gt;$B$9,"",IF(COUNTIFS(Base!$B$3:$B$5001,D$213,Base!$A$3:$A$5001,"&gt;="&amp;$C$7,Base!$A$3:$A$5001,"&lt;="&amp;$B214,Base!$N$3:$N$5001,"&lt;&gt;")=0,"",SUMIFS(Base!$N$3:$N$5001,Base!$B$3:$B$5001,D$213,Base!$A$3:$A$5001,_xlfn.MAXIFS(Base!$A$3:$A$5001,Base!$B$3:$B$5001,D$213,Base!$A$3:$A$5001,"&gt;="&amp;$C$7,Base!$A$3:$A$5001,"&lt;="&amp;$B214,Base!$N$3:$N$5001,"&lt;&gt;"))))</f>
        <v>9</v>
      </c>
      <c r="E214" s="149">
        <f>IF($A214&gt;$B$9,"",IF(COUNTIFS(Base!$B$3:$B$5001,E$213,Base!$A$3:$A$5001,"&gt;="&amp;$C$7,Base!$A$3:$A$5001,"&lt;="&amp;$B214,Base!$N$3:$N$5001,"&lt;&gt;")=0,"",SUMIFS(Base!$N$3:$N$5001,Base!$B$3:$B$5001,E$213,Base!$A$3:$A$5001,_xlfn.MAXIFS(Base!$A$3:$A$5001,Base!$B$3:$B$5001,E$213,Base!$A$3:$A$5001,"&gt;="&amp;$C$7,Base!$A$3:$A$5001,"&lt;="&amp;$B214,Base!$N$3:$N$5001,"&lt;&gt;"))))</f>
        <v>7</v>
      </c>
      <c r="F214" s="149">
        <f>IF($A214&gt;$B$9,"",IF(COUNTIFS(Base!$B$3:$B$5001,F$213,Base!$A$3:$A$5001,"&gt;="&amp;$C$7,Base!$A$3:$A$5001,"&lt;="&amp;$B214,Base!$N$3:$N$5001,"&lt;&gt;")=0,"",SUMIFS(Base!$N$3:$N$5001,Base!$B$3:$B$5001,F$213,Base!$A$3:$A$5001,_xlfn.MAXIFS(Base!$A$3:$A$5001,Base!$B$3:$B$5001,F$213,Base!$A$3:$A$5001,"&gt;="&amp;$C$7,Base!$A$3:$A$5001,"&lt;="&amp;$B214,Base!$N$3:$N$5001,"&lt;&gt;"))))</f>
        <v>8</v>
      </c>
      <c r="G214" s="149">
        <f>IF($A214&gt;$B$9,"",IF(COUNTIFS(Base!$B$3:$B$5001,G$213,Base!$A$3:$A$5001,"&gt;="&amp;$C$7,Base!$A$3:$A$5001,"&lt;="&amp;$B214,Base!$N$3:$N$5001,"&lt;&gt;")=0,"",SUMIFS(Base!$N$3:$N$5001,Base!$B$3:$B$5001,G$213,Base!$A$3:$A$5001,_xlfn.MAXIFS(Base!$A$3:$A$5001,Base!$B$3:$B$5001,G$213,Base!$A$3:$A$5001,"&gt;="&amp;$C$7,Base!$A$3:$A$5001,"&lt;="&amp;$B214,Base!$N$3:$N$5001,"&lt;&gt;"))))</f>
        <v>3</v>
      </c>
    </row>
    <row r="215">
      <c r="A215" s="147">
        <v>2</v>
      </c>
      <c r="B215" s="148">
        <f>$B$13</f>
        <v>46267</v>
      </c>
      <c r="C215" s="149">
        <f>IF($A215&gt;$B$9,"",IF(COUNTIFS(Base!$B$3:$B$5001,C$213,Base!$A$3:$A$5001,"&gt;="&amp;$C$7,Base!$A$3:$A$5001,"&lt;="&amp;$B215,Base!$N$3:$N$5001,"&lt;&gt;")=0,"",SUMIFS(Base!$N$3:$N$5001,Base!$B$3:$B$5001,C$213,Base!$A$3:$A$5001,_xlfn.MAXIFS(Base!$A$3:$A$5001,Base!$B$3:$B$5001,C$213,Base!$A$3:$A$5001,"&gt;="&amp;$C$7,Base!$A$3:$A$5001,"&lt;="&amp;$B215,Base!$N$3:$N$5001,"&lt;&gt;"))))</f>
        <v>9</v>
      </c>
      <c r="D215" s="149">
        <f>IF($A215&gt;$B$9,"",IF(COUNTIFS(Base!$B$3:$B$5001,D$213,Base!$A$3:$A$5001,"&gt;="&amp;$C$7,Base!$A$3:$A$5001,"&lt;="&amp;$B215,Base!$N$3:$N$5001,"&lt;&gt;")=0,"",SUMIFS(Base!$N$3:$N$5001,Base!$B$3:$B$5001,D$213,Base!$A$3:$A$5001,_xlfn.MAXIFS(Base!$A$3:$A$5001,Base!$B$3:$B$5001,D$213,Base!$A$3:$A$5001,"&gt;="&amp;$C$7,Base!$A$3:$A$5001,"&lt;="&amp;$B215,Base!$N$3:$N$5001,"&lt;&gt;"))))</f>
        <v>6</v>
      </c>
      <c r="E215" s="149">
        <f>IF($A215&gt;$B$9,"",IF(COUNTIFS(Base!$B$3:$B$5001,E$213,Base!$A$3:$A$5001,"&gt;="&amp;$C$7,Base!$A$3:$A$5001,"&lt;="&amp;$B215,Base!$N$3:$N$5001,"&lt;&gt;")=0,"",SUMIFS(Base!$N$3:$N$5001,Base!$B$3:$B$5001,E$213,Base!$A$3:$A$5001,_xlfn.MAXIFS(Base!$A$3:$A$5001,Base!$B$3:$B$5001,E$213,Base!$A$3:$A$5001,"&gt;="&amp;$C$7,Base!$A$3:$A$5001,"&lt;="&amp;$B215,Base!$N$3:$N$5001,"&lt;&gt;"))))</f>
        <v>7</v>
      </c>
      <c r="F215" s="149">
        <f>IF($A215&gt;$B$9,"",IF(COUNTIFS(Base!$B$3:$B$5001,F$213,Base!$A$3:$A$5001,"&gt;="&amp;$C$7,Base!$A$3:$A$5001,"&lt;="&amp;$B215,Base!$N$3:$N$5001,"&lt;&gt;")=0,"",SUMIFS(Base!$N$3:$N$5001,Base!$B$3:$B$5001,F$213,Base!$A$3:$A$5001,_xlfn.MAXIFS(Base!$A$3:$A$5001,Base!$B$3:$B$5001,F$213,Base!$A$3:$A$5001,"&gt;="&amp;$C$7,Base!$A$3:$A$5001,"&lt;="&amp;$B215,Base!$N$3:$N$5001,"&lt;&gt;"))))</f>
        <v>6</v>
      </c>
      <c r="G215" s="149">
        <f>IF($A215&gt;$B$9,"",IF(COUNTIFS(Base!$B$3:$B$5001,G$213,Base!$A$3:$A$5001,"&gt;="&amp;$C$7,Base!$A$3:$A$5001,"&lt;="&amp;$B215,Base!$N$3:$N$5001,"&lt;&gt;")=0,"",SUMIFS(Base!$N$3:$N$5001,Base!$B$3:$B$5001,G$213,Base!$A$3:$A$5001,_xlfn.MAXIFS(Base!$A$3:$A$5001,Base!$B$3:$B$5001,G$213,Base!$A$3:$A$5001,"&gt;="&amp;$C$7,Base!$A$3:$A$5001,"&lt;="&amp;$B215,Base!$N$3:$N$5001,"&lt;&gt;"))))</f>
        <v>8</v>
      </c>
    </row>
    <row r="216">
      <c r="A216" s="147">
        <v>3</v>
      </c>
      <c r="B216" s="148">
        <f>$B$14</f>
        <v>46268</v>
      </c>
      <c r="C216" s="149">
        <f>IF($A216&gt;$B$9,"",IF(COUNTIFS(Base!$B$3:$B$5001,C$213,Base!$A$3:$A$5001,"&gt;="&amp;$C$7,Base!$A$3:$A$5001,"&lt;="&amp;$B216,Base!$N$3:$N$5001,"&lt;&gt;")=0,"",SUMIFS(Base!$N$3:$N$5001,Base!$B$3:$B$5001,C$213,Base!$A$3:$A$5001,_xlfn.MAXIFS(Base!$A$3:$A$5001,Base!$B$3:$B$5001,C$213,Base!$A$3:$A$5001,"&gt;="&amp;$C$7,Base!$A$3:$A$5001,"&lt;="&amp;$B216,Base!$N$3:$N$5001,"&lt;&gt;"))))</f>
        <v>9</v>
      </c>
      <c r="D216" s="149">
        <f>IF($A216&gt;$B$9,"",IF(COUNTIFS(Base!$B$3:$B$5001,D$213,Base!$A$3:$A$5001,"&gt;="&amp;$C$7,Base!$A$3:$A$5001,"&lt;="&amp;$B216,Base!$N$3:$N$5001,"&lt;&gt;")=0,"",SUMIFS(Base!$N$3:$N$5001,Base!$B$3:$B$5001,D$213,Base!$A$3:$A$5001,_xlfn.MAXIFS(Base!$A$3:$A$5001,Base!$B$3:$B$5001,D$213,Base!$A$3:$A$5001,"&gt;="&amp;$C$7,Base!$A$3:$A$5001,"&lt;="&amp;$B216,Base!$N$3:$N$5001,"&lt;&gt;"))))</f>
        <v>7</v>
      </c>
      <c r="E216" s="149">
        <f>IF($A216&gt;$B$9,"",IF(COUNTIFS(Base!$B$3:$B$5001,E$213,Base!$A$3:$A$5001,"&gt;="&amp;$C$7,Base!$A$3:$A$5001,"&lt;="&amp;$B216,Base!$N$3:$N$5001,"&lt;&gt;")=0,"",SUMIFS(Base!$N$3:$N$5001,Base!$B$3:$B$5001,E$213,Base!$A$3:$A$5001,_xlfn.MAXIFS(Base!$A$3:$A$5001,Base!$B$3:$B$5001,E$213,Base!$A$3:$A$5001,"&gt;="&amp;$C$7,Base!$A$3:$A$5001,"&lt;="&amp;$B216,Base!$N$3:$N$5001,"&lt;&gt;"))))</f>
        <v>5</v>
      </c>
      <c r="F216" s="149">
        <f>IF($A216&gt;$B$9,"",IF(COUNTIFS(Base!$B$3:$B$5001,F$213,Base!$A$3:$A$5001,"&gt;="&amp;$C$7,Base!$A$3:$A$5001,"&lt;="&amp;$B216,Base!$N$3:$N$5001,"&lt;&gt;")=0,"",SUMIFS(Base!$N$3:$N$5001,Base!$B$3:$B$5001,F$213,Base!$A$3:$A$5001,_xlfn.MAXIFS(Base!$A$3:$A$5001,Base!$B$3:$B$5001,F$213,Base!$A$3:$A$5001,"&gt;="&amp;$C$7,Base!$A$3:$A$5001,"&lt;="&amp;$B216,Base!$N$3:$N$5001,"&lt;&gt;"))))</f>
        <v>9</v>
      </c>
      <c r="G216" s="149">
        <f>IF($A216&gt;$B$9,"",IF(COUNTIFS(Base!$B$3:$B$5001,G$213,Base!$A$3:$A$5001,"&gt;="&amp;$C$7,Base!$A$3:$A$5001,"&lt;="&amp;$B216,Base!$N$3:$N$5001,"&lt;&gt;")=0,"",SUMIFS(Base!$N$3:$N$5001,Base!$B$3:$B$5001,G$213,Base!$A$3:$A$5001,_xlfn.MAXIFS(Base!$A$3:$A$5001,Base!$B$3:$B$5001,G$213,Base!$A$3:$A$5001,"&gt;="&amp;$C$7,Base!$A$3:$A$5001,"&lt;="&amp;$B216,Base!$N$3:$N$5001,"&lt;&gt;"))))</f>
        <v>5</v>
      </c>
    </row>
    <row r="217">
      <c r="A217" s="147">
        <v>4</v>
      </c>
      <c r="B217" s="148">
        <f>$B$15</f>
        <v>46269</v>
      </c>
      <c r="C217" s="149">
        <f>IF($A217&gt;$B$9,"",IF(COUNTIFS(Base!$B$3:$B$5001,C$213,Base!$A$3:$A$5001,"&gt;="&amp;$C$7,Base!$A$3:$A$5001,"&lt;="&amp;$B217,Base!$N$3:$N$5001,"&lt;&gt;")=0,"",SUMIFS(Base!$N$3:$N$5001,Base!$B$3:$B$5001,C$213,Base!$A$3:$A$5001,_xlfn.MAXIFS(Base!$A$3:$A$5001,Base!$B$3:$B$5001,C$213,Base!$A$3:$A$5001,"&gt;="&amp;$C$7,Base!$A$3:$A$5001,"&lt;="&amp;$B217,Base!$N$3:$N$5001,"&lt;&gt;"))))</f>
        <v>8</v>
      </c>
      <c r="D217" s="149">
        <f>IF($A217&gt;$B$9,"",IF(COUNTIFS(Base!$B$3:$B$5001,D$213,Base!$A$3:$A$5001,"&gt;="&amp;$C$7,Base!$A$3:$A$5001,"&lt;="&amp;$B217,Base!$N$3:$N$5001,"&lt;&gt;")=0,"",SUMIFS(Base!$N$3:$N$5001,Base!$B$3:$B$5001,D$213,Base!$A$3:$A$5001,_xlfn.MAXIFS(Base!$A$3:$A$5001,Base!$B$3:$B$5001,D$213,Base!$A$3:$A$5001,"&gt;="&amp;$C$7,Base!$A$3:$A$5001,"&lt;="&amp;$B217,Base!$N$3:$N$5001,"&lt;&gt;"))))</f>
        <v>3</v>
      </c>
      <c r="E217" s="149">
        <f>IF($A217&gt;$B$9,"",IF(COUNTIFS(Base!$B$3:$B$5001,E$213,Base!$A$3:$A$5001,"&gt;="&amp;$C$7,Base!$A$3:$A$5001,"&lt;="&amp;$B217,Base!$N$3:$N$5001,"&lt;&gt;")=0,"",SUMIFS(Base!$N$3:$N$5001,Base!$B$3:$B$5001,E$213,Base!$A$3:$A$5001,_xlfn.MAXIFS(Base!$A$3:$A$5001,Base!$B$3:$B$5001,E$213,Base!$A$3:$A$5001,"&gt;="&amp;$C$7,Base!$A$3:$A$5001,"&lt;="&amp;$B217,Base!$N$3:$N$5001,"&lt;&gt;"))))</f>
        <v>9</v>
      </c>
      <c r="F217" s="149">
        <f>IF($A217&gt;$B$9,"",IF(COUNTIFS(Base!$B$3:$B$5001,F$213,Base!$A$3:$A$5001,"&gt;="&amp;$C$7,Base!$A$3:$A$5001,"&lt;="&amp;$B217,Base!$N$3:$N$5001,"&lt;&gt;")=0,"",SUMIFS(Base!$N$3:$N$5001,Base!$B$3:$B$5001,F$213,Base!$A$3:$A$5001,_xlfn.MAXIFS(Base!$A$3:$A$5001,Base!$B$3:$B$5001,F$213,Base!$A$3:$A$5001,"&gt;="&amp;$C$7,Base!$A$3:$A$5001,"&lt;="&amp;$B217,Base!$N$3:$N$5001,"&lt;&gt;"))))</f>
        <v>5</v>
      </c>
      <c r="G217" s="149">
        <f>IF($A217&gt;$B$9,"",IF(COUNTIFS(Base!$B$3:$B$5001,G$213,Base!$A$3:$A$5001,"&gt;="&amp;$C$7,Base!$A$3:$A$5001,"&lt;="&amp;$B217,Base!$N$3:$N$5001,"&lt;&gt;")=0,"",SUMIFS(Base!$N$3:$N$5001,Base!$B$3:$B$5001,G$213,Base!$A$3:$A$5001,_xlfn.MAXIFS(Base!$A$3:$A$5001,Base!$B$3:$B$5001,G$213,Base!$A$3:$A$5001,"&gt;="&amp;$C$7,Base!$A$3:$A$5001,"&lt;="&amp;$B217,Base!$N$3:$N$5001,"&lt;&gt;"))))</f>
        <v>3</v>
      </c>
    </row>
    <row r="218">
      <c r="A218" s="147">
        <v>5</v>
      </c>
      <c r="B218" s="148">
        <f>$B$16</f>
        <v>46270</v>
      </c>
      <c r="C218" s="149">
        <f>IF($A218&gt;$B$9,"",IF(COUNTIFS(Base!$B$3:$B$5001,C$213,Base!$A$3:$A$5001,"&gt;="&amp;$C$7,Base!$A$3:$A$5001,"&lt;="&amp;$B218,Base!$N$3:$N$5001,"&lt;&gt;")=0,"",SUMIFS(Base!$N$3:$N$5001,Base!$B$3:$B$5001,C$213,Base!$A$3:$A$5001,_xlfn.MAXIFS(Base!$A$3:$A$5001,Base!$B$3:$B$5001,C$213,Base!$A$3:$A$5001,"&gt;="&amp;$C$7,Base!$A$3:$A$5001,"&lt;="&amp;$B218,Base!$N$3:$N$5001,"&lt;&gt;"))))</f>
        <v>5</v>
      </c>
      <c r="D218" s="149">
        <f>IF($A218&gt;$B$9,"",IF(COUNTIFS(Base!$B$3:$B$5001,D$213,Base!$A$3:$A$5001,"&gt;="&amp;$C$7,Base!$A$3:$A$5001,"&lt;="&amp;$B218,Base!$N$3:$N$5001,"&lt;&gt;")=0,"",SUMIFS(Base!$N$3:$N$5001,Base!$B$3:$B$5001,D$213,Base!$A$3:$A$5001,_xlfn.MAXIFS(Base!$A$3:$A$5001,Base!$B$3:$B$5001,D$213,Base!$A$3:$A$5001,"&gt;="&amp;$C$7,Base!$A$3:$A$5001,"&lt;="&amp;$B218,Base!$N$3:$N$5001,"&lt;&gt;"))))</f>
        <v>3</v>
      </c>
      <c r="E218" s="149">
        <f>IF($A218&gt;$B$9,"",IF(COUNTIFS(Base!$B$3:$B$5001,E$213,Base!$A$3:$A$5001,"&gt;="&amp;$C$7,Base!$A$3:$A$5001,"&lt;="&amp;$B218,Base!$N$3:$N$5001,"&lt;&gt;")=0,"",SUMIFS(Base!$N$3:$N$5001,Base!$B$3:$B$5001,E$213,Base!$A$3:$A$5001,_xlfn.MAXIFS(Base!$A$3:$A$5001,Base!$B$3:$B$5001,E$213,Base!$A$3:$A$5001,"&gt;="&amp;$C$7,Base!$A$3:$A$5001,"&lt;="&amp;$B218,Base!$N$3:$N$5001,"&lt;&gt;"))))</f>
        <v>3</v>
      </c>
      <c r="F218" s="149">
        <f>IF($A218&gt;$B$9,"",IF(COUNTIFS(Base!$B$3:$B$5001,F$213,Base!$A$3:$A$5001,"&gt;="&amp;$C$7,Base!$A$3:$A$5001,"&lt;="&amp;$B218,Base!$N$3:$N$5001,"&lt;&gt;")=0,"",SUMIFS(Base!$N$3:$N$5001,Base!$B$3:$B$5001,F$213,Base!$A$3:$A$5001,_xlfn.MAXIFS(Base!$A$3:$A$5001,Base!$B$3:$B$5001,F$213,Base!$A$3:$A$5001,"&gt;="&amp;$C$7,Base!$A$3:$A$5001,"&lt;="&amp;$B218,Base!$N$3:$N$5001,"&lt;&gt;"))))</f>
        <v>6</v>
      </c>
      <c r="G218" s="149">
        <f>IF($A218&gt;$B$9,"",IF(COUNTIFS(Base!$B$3:$B$5001,G$213,Base!$A$3:$A$5001,"&gt;="&amp;$C$7,Base!$A$3:$A$5001,"&lt;="&amp;$B218,Base!$N$3:$N$5001,"&lt;&gt;")=0,"",SUMIFS(Base!$N$3:$N$5001,Base!$B$3:$B$5001,G$213,Base!$A$3:$A$5001,_xlfn.MAXIFS(Base!$A$3:$A$5001,Base!$B$3:$B$5001,G$213,Base!$A$3:$A$5001,"&gt;="&amp;$C$7,Base!$A$3:$A$5001,"&lt;="&amp;$B218,Base!$N$3:$N$5001,"&lt;&gt;"))))</f>
        <v>3</v>
      </c>
    </row>
    <row r="219">
      <c r="A219" s="147">
        <v>6</v>
      </c>
      <c r="B219" s="148">
        <f>$B$17</f>
        <v>46271</v>
      </c>
      <c r="C219" s="149">
        <f>IF($A219&gt;$B$9,"",IF(COUNTIFS(Base!$B$3:$B$5001,C$213,Base!$A$3:$A$5001,"&gt;="&amp;$C$7,Base!$A$3:$A$5001,"&lt;="&amp;$B219,Base!$N$3:$N$5001,"&lt;&gt;")=0,"",SUMIFS(Base!$N$3:$N$5001,Base!$B$3:$B$5001,C$213,Base!$A$3:$A$5001,_xlfn.MAXIFS(Base!$A$3:$A$5001,Base!$B$3:$B$5001,C$213,Base!$A$3:$A$5001,"&gt;="&amp;$C$7,Base!$A$3:$A$5001,"&lt;="&amp;$B219,Base!$N$3:$N$5001,"&lt;&gt;"))))</f>
        <v>5</v>
      </c>
      <c r="D219" s="149">
        <f>IF($A219&gt;$B$9,"",IF(COUNTIFS(Base!$B$3:$B$5001,D$213,Base!$A$3:$A$5001,"&gt;="&amp;$C$7,Base!$A$3:$A$5001,"&lt;="&amp;$B219,Base!$N$3:$N$5001,"&lt;&gt;")=0,"",SUMIFS(Base!$N$3:$N$5001,Base!$B$3:$B$5001,D$213,Base!$A$3:$A$5001,_xlfn.MAXIFS(Base!$A$3:$A$5001,Base!$B$3:$B$5001,D$213,Base!$A$3:$A$5001,"&gt;="&amp;$C$7,Base!$A$3:$A$5001,"&lt;="&amp;$B219,Base!$N$3:$N$5001,"&lt;&gt;"))))</f>
        <v>3</v>
      </c>
      <c r="E219" s="149">
        <f>IF($A219&gt;$B$9,"",IF(COUNTIFS(Base!$B$3:$B$5001,E$213,Base!$A$3:$A$5001,"&gt;="&amp;$C$7,Base!$A$3:$A$5001,"&lt;="&amp;$B219,Base!$N$3:$N$5001,"&lt;&gt;")=0,"",SUMIFS(Base!$N$3:$N$5001,Base!$B$3:$B$5001,E$213,Base!$A$3:$A$5001,_xlfn.MAXIFS(Base!$A$3:$A$5001,Base!$B$3:$B$5001,E$213,Base!$A$3:$A$5001,"&gt;="&amp;$C$7,Base!$A$3:$A$5001,"&lt;="&amp;$B219,Base!$N$3:$N$5001,"&lt;&gt;"))))</f>
        <v>7</v>
      </c>
      <c r="F219" s="149">
        <f>IF($A219&gt;$B$9,"",IF(COUNTIFS(Base!$B$3:$B$5001,F$213,Base!$A$3:$A$5001,"&gt;="&amp;$C$7,Base!$A$3:$A$5001,"&lt;="&amp;$B219,Base!$N$3:$N$5001,"&lt;&gt;")=0,"",SUMIFS(Base!$N$3:$N$5001,Base!$B$3:$B$5001,F$213,Base!$A$3:$A$5001,_xlfn.MAXIFS(Base!$A$3:$A$5001,Base!$B$3:$B$5001,F$213,Base!$A$3:$A$5001,"&gt;="&amp;$C$7,Base!$A$3:$A$5001,"&lt;="&amp;$B219,Base!$N$3:$N$5001,"&lt;&gt;"))))</f>
        <v>6</v>
      </c>
      <c r="G219" s="149">
        <f>IF($A219&gt;$B$9,"",IF(COUNTIFS(Base!$B$3:$B$5001,G$213,Base!$A$3:$A$5001,"&gt;="&amp;$C$7,Base!$A$3:$A$5001,"&lt;="&amp;$B219,Base!$N$3:$N$5001,"&lt;&gt;")=0,"",SUMIFS(Base!$N$3:$N$5001,Base!$B$3:$B$5001,G$213,Base!$A$3:$A$5001,_xlfn.MAXIFS(Base!$A$3:$A$5001,Base!$B$3:$B$5001,G$213,Base!$A$3:$A$5001,"&gt;="&amp;$C$7,Base!$A$3:$A$5001,"&lt;="&amp;$B219,Base!$N$3:$N$5001,"&lt;&gt;"))))</f>
        <v>5</v>
      </c>
    </row>
    <row r="220">
      <c r="A220" s="147">
        <v>7</v>
      </c>
      <c r="B220" s="148">
        <f>$B$18</f>
        <v>46272</v>
      </c>
      <c r="C220" s="149">
        <f>IF($A220&gt;$B$9,"",IF(COUNTIFS(Base!$B$3:$B$5001,C$213,Base!$A$3:$A$5001,"&gt;="&amp;$C$7,Base!$A$3:$A$5001,"&lt;="&amp;$B220,Base!$N$3:$N$5001,"&lt;&gt;")=0,"",SUMIFS(Base!$N$3:$N$5001,Base!$B$3:$B$5001,C$213,Base!$A$3:$A$5001,_xlfn.MAXIFS(Base!$A$3:$A$5001,Base!$B$3:$B$5001,C$213,Base!$A$3:$A$5001,"&gt;="&amp;$C$7,Base!$A$3:$A$5001,"&lt;="&amp;$B220,Base!$N$3:$N$5001,"&lt;&gt;"))))</f>
        <v>7</v>
      </c>
      <c r="D220" s="149">
        <f>IF($A220&gt;$B$9,"",IF(COUNTIFS(Base!$B$3:$B$5001,D$213,Base!$A$3:$A$5001,"&gt;="&amp;$C$7,Base!$A$3:$A$5001,"&lt;="&amp;$B220,Base!$N$3:$N$5001,"&lt;&gt;")=0,"",SUMIFS(Base!$N$3:$N$5001,Base!$B$3:$B$5001,D$213,Base!$A$3:$A$5001,_xlfn.MAXIFS(Base!$A$3:$A$5001,Base!$B$3:$B$5001,D$213,Base!$A$3:$A$5001,"&gt;="&amp;$C$7,Base!$A$3:$A$5001,"&lt;="&amp;$B220,Base!$N$3:$N$5001,"&lt;&gt;"))))</f>
        <v>8</v>
      </c>
      <c r="E220" s="149">
        <f>IF($A220&gt;$B$9,"",IF(COUNTIFS(Base!$B$3:$B$5001,E$213,Base!$A$3:$A$5001,"&gt;="&amp;$C$7,Base!$A$3:$A$5001,"&lt;="&amp;$B220,Base!$N$3:$N$5001,"&lt;&gt;")=0,"",SUMIFS(Base!$N$3:$N$5001,Base!$B$3:$B$5001,E$213,Base!$A$3:$A$5001,_xlfn.MAXIFS(Base!$A$3:$A$5001,Base!$B$3:$B$5001,E$213,Base!$A$3:$A$5001,"&gt;="&amp;$C$7,Base!$A$3:$A$5001,"&lt;="&amp;$B220,Base!$N$3:$N$5001,"&lt;&gt;"))))</f>
        <v>6</v>
      </c>
      <c r="F220" s="149">
        <f>IF($A220&gt;$B$9,"",IF(COUNTIFS(Base!$B$3:$B$5001,F$213,Base!$A$3:$A$5001,"&gt;="&amp;$C$7,Base!$A$3:$A$5001,"&lt;="&amp;$B220,Base!$N$3:$N$5001,"&lt;&gt;")=0,"",SUMIFS(Base!$N$3:$N$5001,Base!$B$3:$B$5001,F$213,Base!$A$3:$A$5001,_xlfn.MAXIFS(Base!$A$3:$A$5001,Base!$B$3:$B$5001,F$213,Base!$A$3:$A$5001,"&gt;="&amp;$C$7,Base!$A$3:$A$5001,"&lt;="&amp;$B220,Base!$N$3:$N$5001,"&lt;&gt;"))))</f>
        <v>9</v>
      </c>
      <c r="G220" s="149">
        <f>IF($A220&gt;$B$9,"",IF(COUNTIFS(Base!$B$3:$B$5001,G$213,Base!$A$3:$A$5001,"&gt;="&amp;$C$7,Base!$A$3:$A$5001,"&lt;="&amp;$B220,Base!$N$3:$N$5001,"&lt;&gt;")=0,"",SUMIFS(Base!$N$3:$N$5001,Base!$B$3:$B$5001,G$213,Base!$A$3:$A$5001,_xlfn.MAXIFS(Base!$A$3:$A$5001,Base!$B$3:$B$5001,G$213,Base!$A$3:$A$5001,"&gt;="&amp;$C$7,Base!$A$3:$A$5001,"&lt;="&amp;$B220,Base!$N$3:$N$5001,"&lt;&gt;"))))</f>
        <v>8</v>
      </c>
    </row>
    <row r="221">
      <c r="A221" s="147">
        <v>8</v>
      </c>
      <c r="B221" s="148">
        <f>$B$19</f>
        <v>46273</v>
      </c>
      <c r="C221" s="149">
        <f>IF($A221&gt;$B$9,"",IF(COUNTIFS(Base!$B$3:$B$5001,C$213,Base!$A$3:$A$5001,"&gt;="&amp;$C$7,Base!$A$3:$A$5001,"&lt;="&amp;$B221,Base!$N$3:$N$5001,"&lt;&gt;")=0,"",SUMIFS(Base!$N$3:$N$5001,Base!$B$3:$B$5001,C$213,Base!$A$3:$A$5001,_xlfn.MAXIFS(Base!$A$3:$A$5001,Base!$B$3:$B$5001,C$213,Base!$A$3:$A$5001,"&gt;="&amp;$C$7,Base!$A$3:$A$5001,"&lt;="&amp;$B221,Base!$N$3:$N$5001,"&lt;&gt;"))))</f>
        <v>8</v>
      </c>
      <c r="D221" s="149">
        <f>IF($A221&gt;$B$9,"",IF(COUNTIFS(Base!$B$3:$B$5001,D$213,Base!$A$3:$A$5001,"&gt;="&amp;$C$7,Base!$A$3:$A$5001,"&lt;="&amp;$B221,Base!$N$3:$N$5001,"&lt;&gt;")=0,"",SUMIFS(Base!$N$3:$N$5001,Base!$B$3:$B$5001,D$213,Base!$A$3:$A$5001,_xlfn.MAXIFS(Base!$A$3:$A$5001,Base!$B$3:$B$5001,D$213,Base!$A$3:$A$5001,"&gt;="&amp;$C$7,Base!$A$3:$A$5001,"&lt;="&amp;$B221,Base!$N$3:$N$5001,"&lt;&gt;"))))</f>
        <v>6</v>
      </c>
      <c r="E221" s="149">
        <f>IF($A221&gt;$B$9,"",IF(COUNTIFS(Base!$B$3:$B$5001,E$213,Base!$A$3:$A$5001,"&gt;="&amp;$C$7,Base!$A$3:$A$5001,"&lt;="&amp;$B221,Base!$N$3:$N$5001,"&lt;&gt;")=0,"",SUMIFS(Base!$N$3:$N$5001,Base!$B$3:$B$5001,E$213,Base!$A$3:$A$5001,_xlfn.MAXIFS(Base!$A$3:$A$5001,Base!$B$3:$B$5001,E$213,Base!$A$3:$A$5001,"&gt;="&amp;$C$7,Base!$A$3:$A$5001,"&lt;="&amp;$B221,Base!$N$3:$N$5001,"&lt;&gt;"))))</f>
        <v>7</v>
      </c>
      <c r="F221" s="149">
        <f>IF($A221&gt;$B$9,"",IF(COUNTIFS(Base!$B$3:$B$5001,F$213,Base!$A$3:$A$5001,"&gt;="&amp;$C$7,Base!$A$3:$A$5001,"&lt;="&amp;$B221,Base!$N$3:$N$5001,"&lt;&gt;")=0,"",SUMIFS(Base!$N$3:$N$5001,Base!$B$3:$B$5001,F$213,Base!$A$3:$A$5001,_xlfn.MAXIFS(Base!$A$3:$A$5001,Base!$B$3:$B$5001,F$213,Base!$A$3:$A$5001,"&gt;="&amp;$C$7,Base!$A$3:$A$5001,"&lt;="&amp;$B221,Base!$N$3:$N$5001,"&lt;&gt;"))))</f>
        <v>7</v>
      </c>
      <c r="G221" s="149">
        <f>IF($A221&gt;$B$9,"",IF(COUNTIFS(Base!$B$3:$B$5001,G$213,Base!$A$3:$A$5001,"&gt;="&amp;$C$7,Base!$A$3:$A$5001,"&lt;="&amp;$B221,Base!$N$3:$N$5001,"&lt;&gt;")=0,"",SUMIFS(Base!$N$3:$N$5001,Base!$B$3:$B$5001,G$213,Base!$A$3:$A$5001,_xlfn.MAXIFS(Base!$A$3:$A$5001,Base!$B$3:$B$5001,G$213,Base!$A$3:$A$5001,"&gt;="&amp;$C$7,Base!$A$3:$A$5001,"&lt;="&amp;$B221,Base!$N$3:$N$5001,"&lt;&gt;"))))</f>
        <v>3</v>
      </c>
    </row>
    <row r="222">
      <c r="A222" s="147">
        <v>9</v>
      </c>
      <c r="B222" s="148">
        <f>$B$20</f>
        <v>46274</v>
      </c>
      <c r="C222" s="149">
        <f>IF($A222&gt;$B$9,"",IF(COUNTIFS(Base!$B$3:$B$5001,C$213,Base!$A$3:$A$5001,"&gt;="&amp;$C$7,Base!$A$3:$A$5001,"&lt;="&amp;$B222,Base!$N$3:$N$5001,"&lt;&gt;")=0,"",SUMIFS(Base!$N$3:$N$5001,Base!$B$3:$B$5001,C$213,Base!$A$3:$A$5001,_xlfn.MAXIFS(Base!$A$3:$A$5001,Base!$B$3:$B$5001,C$213,Base!$A$3:$A$5001,"&gt;="&amp;$C$7,Base!$A$3:$A$5001,"&lt;="&amp;$B222,Base!$N$3:$N$5001,"&lt;&gt;"))))</f>
        <v>8</v>
      </c>
      <c r="D222" s="149">
        <f>IF($A222&gt;$B$9,"",IF(COUNTIFS(Base!$B$3:$B$5001,D$213,Base!$A$3:$A$5001,"&gt;="&amp;$C$7,Base!$A$3:$A$5001,"&lt;="&amp;$B222,Base!$N$3:$N$5001,"&lt;&gt;")=0,"",SUMIFS(Base!$N$3:$N$5001,Base!$B$3:$B$5001,D$213,Base!$A$3:$A$5001,_xlfn.MAXIFS(Base!$A$3:$A$5001,Base!$B$3:$B$5001,D$213,Base!$A$3:$A$5001,"&gt;="&amp;$C$7,Base!$A$3:$A$5001,"&lt;="&amp;$B222,Base!$N$3:$N$5001,"&lt;&gt;"))))</f>
        <v>6</v>
      </c>
      <c r="E222" s="149">
        <f>IF($A222&gt;$B$9,"",IF(COUNTIFS(Base!$B$3:$B$5001,E$213,Base!$A$3:$A$5001,"&gt;="&amp;$C$7,Base!$A$3:$A$5001,"&lt;="&amp;$B222,Base!$N$3:$N$5001,"&lt;&gt;")=0,"",SUMIFS(Base!$N$3:$N$5001,Base!$B$3:$B$5001,E$213,Base!$A$3:$A$5001,_xlfn.MAXIFS(Base!$A$3:$A$5001,Base!$B$3:$B$5001,E$213,Base!$A$3:$A$5001,"&gt;="&amp;$C$7,Base!$A$3:$A$5001,"&lt;="&amp;$B222,Base!$N$3:$N$5001,"&lt;&gt;"))))</f>
        <v>9</v>
      </c>
      <c r="F222" s="149">
        <f>IF($A222&gt;$B$9,"",IF(COUNTIFS(Base!$B$3:$B$5001,F$213,Base!$A$3:$A$5001,"&gt;="&amp;$C$7,Base!$A$3:$A$5001,"&lt;="&amp;$B222,Base!$N$3:$N$5001,"&lt;&gt;")=0,"",SUMIFS(Base!$N$3:$N$5001,Base!$B$3:$B$5001,F$213,Base!$A$3:$A$5001,_xlfn.MAXIFS(Base!$A$3:$A$5001,Base!$B$3:$B$5001,F$213,Base!$A$3:$A$5001,"&gt;="&amp;$C$7,Base!$A$3:$A$5001,"&lt;="&amp;$B222,Base!$N$3:$N$5001,"&lt;&gt;"))))</f>
        <v>4</v>
      </c>
      <c r="G222" s="149">
        <f>IF($A222&gt;$B$9,"",IF(COUNTIFS(Base!$B$3:$B$5001,G$213,Base!$A$3:$A$5001,"&gt;="&amp;$C$7,Base!$A$3:$A$5001,"&lt;="&amp;$B222,Base!$N$3:$N$5001,"&lt;&gt;")=0,"",SUMIFS(Base!$N$3:$N$5001,Base!$B$3:$B$5001,G$213,Base!$A$3:$A$5001,_xlfn.MAXIFS(Base!$A$3:$A$5001,Base!$B$3:$B$5001,G$213,Base!$A$3:$A$5001,"&gt;="&amp;$C$7,Base!$A$3:$A$5001,"&lt;="&amp;$B222,Base!$N$3:$N$5001,"&lt;&gt;"))))</f>
        <v>7</v>
      </c>
    </row>
    <row r="223">
      <c r="A223" s="147">
        <v>10</v>
      </c>
      <c r="B223" s="148">
        <f>$B$21</f>
        <v>46275</v>
      </c>
      <c r="C223" s="149">
        <f>IF($A223&gt;$B$9,"",IF(COUNTIFS(Base!$B$3:$B$5001,C$213,Base!$A$3:$A$5001,"&gt;="&amp;$C$7,Base!$A$3:$A$5001,"&lt;="&amp;$B223,Base!$N$3:$N$5001,"&lt;&gt;")=0,"",SUMIFS(Base!$N$3:$N$5001,Base!$B$3:$B$5001,C$213,Base!$A$3:$A$5001,_xlfn.MAXIFS(Base!$A$3:$A$5001,Base!$B$3:$B$5001,C$213,Base!$A$3:$A$5001,"&gt;="&amp;$C$7,Base!$A$3:$A$5001,"&lt;="&amp;$B223,Base!$N$3:$N$5001,"&lt;&gt;"))))</f>
        <v>4</v>
      </c>
      <c r="D223" s="149">
        <f>IF($A223&gt;$B$9,"",IF(COUNTIFS(Base!$B$3:$B$5001,D$213,Base!$A$3:$A$5001,"&gt;="&amp;$C$7,Base!$A$3:$A$5001,"&lt;="&amp;$B223,Base!$N$3:$N$5001,"&lt;&gt;")=0,"",SUMIFS(Base!$N$3:$N$5001,Base!$B$3:$B$5001,D$213,Base!$A$3:$A$5001,_xlfn.MAXIFS(Base!$A$3:$A$5001,Base!$B$3:$B$5001,D$213,Base!$A$3:$A$5001,"&gt;="&amp;$C$7,Base!$A$3:$A$5001,"&lt;="&amp;$B223,Base!$N$3:$N$5001,"&lt;&gt;"))))</f>
        <v>6</v>
      </c>
      <c r="E223" s="149">
        <f>IF($A223&gt;$B$9,"",IF(COUNTIFS(Base!$B$3:$B$5001,E$213,Base!$A$3:$A$5001,"&gt;="&amp;$C$7,Base!$A$3:$A$5001,"&lt;="&amp;$B223,Base!$N$3:$N$5001,"&lt;&gt;")=0,"",SUMIFS(Base!$N$3:$N$5001,Base!$B$3:$B$5001,E$213,Base!$A$3:$A$5001,_xlfn.MAXIFS(Base!$A$3:$A$5001,Base!$B$3:$B$5001,E$213,Base!$A$3:$A$5001,"&gt;="&amp;$C$7,Base!$A$3:$A$5001,"&lt;="&amp;$B223,Base!$N$3:$N$5001,"&lt;&gt;"))))</f>
        <v>7</v>
      </c>
      <c r="F223" s="149">
        <f>IF($A223&gt;$B$9,"",IF(COUNTIFS(Base!$B$3:$B$5001,F$213,Base!$A$3:$A$5001,"&gt;="&amp;$C$7,Base!$A$3:$A$5001,"&lt;="&amp;$B223,Base!$N$3:$N$5001,"&lt;&gt;")=0,"",SUMIFS(Base!$N$3:$N$5001,Base!$B$3:$B$5001,F$213,Base!$A$3:$A$5001,_xlfn.MAXIFS(Base!$A$3:$A$5001,Base!$B$3:$B$5001,F$213,Base!$A$3:$A$5001,"&gt;="&amp;$C$7,Base!$A$3:$A$5001,"&lt;="&amp;$B223,Base!$N$3:$N$5001,"&lt;&gt;"))))</f>
        <v>7</v>
      </c>
      <c r="G223" s="149">
        <f>IF($A223&gt;$B$9,"",IF(COUNTIFS(Base!$B$3:$B$5001,G$213,Base!$A$3:$A$5001,"&gt;="&amp;$C$7,Base!$A$3:$A$5001,"&lt;="&amp;$B223,Base!$N$3:$N$5001,"&lt;&gt;")=0,"",SUMIFS(Base!$N$3:$N$5001,Base!$B$3:$B$5001,G$213,Base!$A$3:$A$5001,_xlfn.MAXIFS(Base!$A$3:$A$5001,Base!$B$3:$B$5001,G$213,Base!$A$3:$A$5001,"&gt;="&amp;$C$7,Base!$A$3:$A$5001,"&lt;="&amp;$B223,Base!$N$3:$N$5001,"&lt;&gt;"))))</f>
        <v>9</v>
      </c>
    </row>
    <row r="224">
      <c r="A224" s="147">
        <v>11</v>
      </c>
      <c r="B224" s="148">
        <f>$B$22</f>
        <v>46276</v>
      </c>
      <c r="C224" s="149">
        <f>IF($A224&gt;$B$9,"",IF(COUNTIFS(Base!$B$3:$B$5001,C$213,Base!$A$3:$A$5001,"&gt;="&amp;$C$7,Base!$A$3:$A$5001,"&lt;="&amp;$B224,Base!$N$3:$N$5001,"&lt;&gt;")=0,"",SUMIFS(Base!$N$3:$N$5001,Base!$B$3:$B$5001,C$213,Base!$A$3:$A$5001,_xlfn.MAXIFS(Base!$A$3:$A$5001,Base!$B$3:$B$5001,C$213,Base!$A$3:$A$5001,"&gt;="&amp;$C$7,Base!$A$3:$A$5001,"&lt;="&amp;$B224,Base!$N$3:$N$5001,"&lt;&gt;"))))</f>
        <v>9</v>
      </c>
      <c r="D224" s="149">
        <f>IF($A224&gt;$B$9,"",IF(COUNTIFS(Base!$B$3:$B$5001,D$213,Base!$A$3:$A$5001,"&gt;="&amp;$C$7,Base!$A$3:$A$5001,"&lt;="&amp;$B224,Base!$N$3:$N$5001,"&lt;&gt;")=0,"",SUMIFS(Base!$N$3:$N$5001,Base!$B$3:$B$5001,D$213,Base!$A$3:$A$5001,_xlfn.MAXIFS(Base!$A$3:$A$5001,Base!$B$3:$B$5001,D$213,Base!$A$3:$A$5001,"&gt;="&amp;$C$7,Base!$A$3:$A$5001,"&lt;="&amp;$B224,Base!$N$3:$N$5001,"&lt;&gt;"))))</f>
        <v>5</v>
      </c>
      <c r="E224" s="149">
        <f>IF($A224&gt;$B$9,"",IF(COUNTIFS(Base!$B$3:$B$5001,E$213,Base!$A$3:$A$5001,"&gt;="&amp;$C$7,Base!$A$3:$A$5001,"&lt;="&amp;$B224,Base!$N$3:$N$5001,"&lt;&gt;")=0,"",SUMIFS(Base!$N$3:$N$5001,Base!$B$3:$B$5001,E$213,Base!$A$3:$A$5001,_xlfn.MAXIFS(Base!$A$3:$A$5001,Base!$B$3:$B$5001,E$213,Base!$A$3:$A$5001,"&gt;="&amp;$C$7,Base!$A$3:$A$5001,"&lt;="&amp;$B224,Base!$N$3:$N$5001,"&lt;&gt;"))))</f>
        <v>4</v>
      </c>
      <c r="F224" s="149">
        <f>IF($A224&gt;$B$9,"",IF(COUNTIFS(Base!$B$3:$B$5001,F$213,Base!$A$3:$A$5001,"&gt;="&amp;$C$7,Base!$A$3:$A$5001,"&lt;="&amp;$B224,Base!$N$3:$N$5001,"&lt;&gt;")=0,"",SUMIFS(Base!$N$3:$N$5001,Base!$B$3:$B$5001,F$213,Base!$A$3:$A$5001,_xlfn.MAXIFS(Base!$A$3:$A$5001,Base!$B$3:$B$5001,F$213,Base!$A$3:$A$5001,"&gt;="&amp;$C$7,Base!$A$3:$A$5001,"&lt;="&amp;$B224,Base!$N$3:$N$5001,"&lt;&gt;"))))</f>
        <v>7</v>
      </c>
      <c r="G224" s="149">
        <f>IF($A224&gt;$B$9,"",IF(COUNTIFS(Base!$B$3:$B$5001,G$213,Base!$A$3:$A$5001,"&gt;="&amp;$C$7,Base!$A$3:$A$5001,"&lt;="&amp;$B224,Base!$N$3:$N$5001,"&lt;&gt;")=0,"",SUMIFS(Base!$N$3:$N$5001,Base!$B$3:$B$5001,G$213,Base!$A$3:$A$5001,_xlfn.MAXIFS(Base!$A$3:$A$5001,Base!$B$3:$B$5001,G$213,Base!$A$3:$A$5001,"&gt;="&amp;$C$7,Base!$A$3:$A$5001,"&lt;="&amp;$B224,Base!$N$3:$N$5001,"&lt;&gt;"))))</f>
        <v>6</v>
      </c>
    </row>
    <row r="225">
      <c r="A225" s="147">
        <v>12</v>
      </c>
      <c r="B225" s="148">
        <f>$B$23</f>
        <v>46277</v>
      </c>
      <c r="C225" s="149">
        <f>IF($A225&gt;$B$9,"",IF(COUNTIFS(Base!$B$3:$B$5001,C$213,Base!$A$3:$A$5001,"&gt;="&amp;$C$7,Base!$A$3:$A$5001,"&lt;="&amp;$B225,Base!$N$3:$N$5001,"&lt;&gt;")=0,"",SUMIFS(Base!$N$3:$N$5001,Base!$B$3:$B$5001,C$213,Base!$A$3:$A$5001,_xlfn.MAXIFS(Base!$A$3:$A$5001,Base!$B$3:$B$5001,C$213,Base!$A$3:$A$5001,"&gt;="&amp;$C$7,Base!$A$3:$A$5001,"&lt;="&amp;$B225,Base!$N$3:$N$5001,"&lt;&gt;"))))</f>
        <v>6</v>
      </c>
      <c r="D225" s="149">
        <f>IF($A225&gt;$B$9,"",IF(COUNTIFS(Base!$B$3:$B$5001,D$213,Base!$A$3:$A$5001,"&gt;="&amp;$C$7,Base!$A$3:$A$5001,"&lt;="&amp;$B225,Base!$N$3:$N$5001,"&lt;&gt;")=0,"",SUMIFS(Base!$N$3:$N$5001,Base!$B$3:$B$5001,D$213,Base!$A$3:$A$5001,_xlfn.MAXIFS(Base!$A$3:$A$5001,Base!$B$3:$B$5001,D$213,Base!$A$3:$A$5001,"&gt;="&amp;$C$7,Base!$A$3:$A$5001,"&lt;="&amp;$B225,Base!$N$3:$N$5001,"&lt;&gt;"))))</f>
        <v>5</v>
      </c>
      <c r="E225" s="149">
        <f>IF($A225&gt;$B$9,"",IF(COUNTIFS(Base!$B$3:$B$5001,E$213,Base!$A$3:$A$5001,"&gt;="&amp;$C$7,Base!$A$3:$A$5001,"&lt;="&amp;$B225,Base!$N$3:$N$5001,"&lt;&gt;")=0,"",SUMIFS(Base!$N$3:$N$5001,Base!$B$3:$B$5001,E$213,Base!$A$3:$A$5001,_xlfn.MAXIFS(Base!$A$3:$A$5001,Base!$B$3:$B$5001,E$213,Base!$A$3:$A$5001,"&gt;="&amp;$C$7,Base!$A$3:$A$5001,"&lt;="&amp;$B225,Base!$N$3:$N$5001,"&lt;&gt;"))))</f>
        <v>4</v>
      </c>
      <c r="F225" s="149">
        <f>IF($A225&gt;$B$9,"",IF(COUNTIFS(Base!$B$3:$B$5001,F$213,Base!$A$3:$A$5001,"&gt;="&amp;$C$7,Base!$A$3:$A$5001,"&lt;="&amp;$B225,Base!$N$3:$N$5001,"&lt;&gt;")=0,"",SUMIFS(Base!$N$3:$N$5001,Base!$B$3:$B$5001,F$213,Base!$A$3:$A$5001,_xlfn.MAXIFS(Base!$A$3:$A$5001,Base!$B$3:$B$5001,F$213,Base!$A$3:$A$5001,"&gt;="&amp;$C$7,Base!$A$3:$A$5001,"&lt;="&amp;$B225,Base!$N$3:$N$5001,"&lt;&gt;"))))</f>
        <v>7</v>
      </c>
      <c r="G225" s="149">
        <f>IF($A225&gt;$B$9,"",IF(COUNTIFS(Base!$B$3:$B$5001,G$213,Base!$A$3:$A$5001,"&gt;="&amp;$C$7,Base!$A$3:$A$5001,"&lt;="&amp;$B225,Base!$N$3:$N$5001,"&lt;&gt;")=0,"",SUMIFS(Base!$N$3:$N$5001,Base!$B$3:$B$5001,G$213,Base!$A$3:$A$5001,_xlfn.MAXIFS(Base!$A$3:$A$5001,Base!$B$3:$B$5001,G$213,Base!$A$3:$A$5001,"&gt;="&amp;$C$7,Base!$A$3:$A$5001,"&lt;="&amp;$B225,Base!$N$3:$N$5001,"&lt;&gt;"))))</f>
        <v>6</v>
      </c>
    </row>
    <row r="226">
      <c r="A226" s="147">
        <v>13</v>
      </c>
      <c r="B226" s="148">
        <f>$B$24</f>
        <v>46278</v>
      </c>
      <c r="C226" s="149">
        <f>IF($A226&gt;$B$9,"",IF(COUNTIFS(Base!$B$3:$B$5001,C$213,Base!$A$3:$A$5001,"&gt;="&amp;$C$7,Base!$A$3:$A$5001,"&lt;="&amp;$B226,Base!$N$3:$N$5001,"&lt;&gt;")=0,"",SUMIFS(Base!$N$3:$N$5001,Base!$B$3:$B$5001,C$213,Base!$A$3:$A$5001,_xlfn.MAXIFS(Base!$A$3:$A$5001,Base!$B$3:$B$5001,C$213,Base!$A$3:$A$5001,"&gt;="&amp;$C$7,Base!$A$3:$A$5001,"&lt;="&amp;$B226,Base!$N$3:$N$5001,"&lt;&gt;"))))</f>
        <v>6</v>
      </c>
      <c r="D226" s="149">
        <f>IF($A226&gt;$B$9,"",IF(COUNTIFS(Base!$B$3:$B$5001,D$213,Base!$A$3:$A$5001,"&gt;="&amp;$C$7,Base!$A$3:$A$5001,"&lt;="&amp;$B226,Base!$N$3:$N$5001,"&lt;&gt;")=0,"",SUMIFS(Base!$N$3:$N$5001,Base!$B$3:$B$5001,D$213,Base!$A$3:$A$5001,_xlfn.MAXIFS(Base!$A$3:$A$5001,Base!$B$3:$B$5001,D$213,Base!$A$3:$A$5001,"&gt;="&amp;$C$7,Base!$A$3:$A$5001,"&lt;="&amp;$B226,Base!$N$3:$N$5001,"&lt;&gt;"))))</f>
        <v>5</v>
      </c>
      <c r="E226" s="149">
        <f>IF($A226&gt;$B$9,"",IF(COUNTIFS(Base!$B$3:$B$5001,E$213,Base!$A$3:$A$5001,"&gt;="&amp;$C$7,Base!$A$3:$A$5001,"&lt;="&amp;$B226,Base!$N$3:$N$5001,"&lt;&gt;")=0,"",SUMIFS(Base!$N$3:$N$5001,Base!$B$3:$B$5001,E$213,Base!$A$3:$A$5001,_xlfn.MAXIFS(Base!$A$3:$A$5001,Base!$B$3:$B$5001,E$213,Base!$A$3:$A$5001,"&gt;="&amp;$C$7,Base!$A$3:$A$5001,"&lt;="&amp;$B226,Base!$N$3:$N$5001,"&lt;&gt;"))))</f>
        <v>5</v>
      </c>
      <c r="F226" s="149">
        <f>IF($A226&gt;$B$9,"",IF(COUNTIFS(Base!$B$3:$B$5001,F$213,Base!$A$3:$A$5001,"&gt;="&amp;$C$7,Base!$A$3:$A$5001,"&lt;="&amp;$B226,Base!$N$3:$N$5001,"&lt;&gt;")=0,"",SUMIFS(Base!$N$3:$N$5001,Base!$B$3:$B$5001,F$213,Base!$A$3:$A$5001,_xlfn.MAXIFS(Base!$A$3:$A$5001,Base!$B$3:$B$5001,F$213,Base!$A$3:$A$5001,"&gt;="&amp;$C$7,Base!$A$3:$A$5001,"&lt;="&amp;$B226,Base!$N$3:$N$5001,"&lt;&gt;"))))</f>
        <v>5</v>
      </c>
      <c r="G226" s="149">
        <f>IF($A226&gt;$B$9,"",IF(COUNTIFS(Base!$B$3:$B$5001,G$213,Base!$A$3:$A$5001,"&gt;="&amp;$C$7,Base!$A$3:$A$5001,"&lt;="&amp;$B226,Base!$N$3:$N$5001,"&lt;&gt;")=0,"",SUMIFS(Base!$N$3:$N$5001,Base!$B$3:$B$5001,G$213,Base!$A$3:$A$5001,_xlfn.MAXIFS(Base!$A$3:$A$5001,Base!$B$3:$B$5001,G$213,Base!$A$3:$A$5001,"&gt;="&amp;$C$7,Base!$A$3:$A$5001,"&lt;="&amp;$B226,Base!$N$3:$N$5001,"&lt;&gt;"))))</f>
        <v>6</v>
      </c>
    </row>
    <row r="227">
      <c r="A227" s="147">
        <v>14</v>
      </c>
      <c r="B227" s="148">
        <f>$B$25</f>
        <v>46279</v>
      </c>
      <c r="C227" s="149">
        <f>IF($A227&gt;$B$9,"",IF(COUNTIFS(Base!$B$3:$B$5001,C$213,Base!$A$3:$A$5001,"&gt;="&amp;$C$7,Base!$A$3:$A$5001,"&lt;="&amp;$B227,Base!$N$3:$N$5001,"&lt;&gt;")=0,"",SUMIFS(Base!$N$3:$N$5001,Base!$B$3:$B$5001,C$213,Base!$A$3:$A$5001,_xlfn.MAXIFS(Base!$A$3:$A$5001,Base!$B$3:$B$5001,C$213,Base!$A$3:$A$5001,"&gt;="&amp;$C$7,Base!$A$3:$A$5001,"&lt;="&amp;$B227,Base!$N$3:$N$5001,"&lt;&gt;"))))</f>
        <v>5</v>
      </c>
      <c r="D227" s="149">
        <f>IF($A227&gt;$B$9,"",IF(COUNTIFS(Base!$B$3:$B$5001,D$213,Base!$A$3:$A$5001,"&gt;="&amp;$C$7,Base!$A$3:$A$5001,"&lt;="&amp;$B227,Base!$N$3:$N$5001,"&lt;&gt;")=0,"",SUMIFS(Base!$N$3:$N$5001,Base!$B$3:$B$5001,D$213,Base!$A$3:$A$5001,_xlfn.MAXIFS(Base!$A$3:$A$5001,Base!$B$3:$B$5001,D$213,Base!$A$3:$A$5001,"&gt;="&amp;$C$7,Base!$A$3:$A$5001,"&lt;="&amp;$B227,Base!$N$3:$N$5001,"&lt;&gt;"))))</f>
        <v>4</v>
      </c>
      <c r="E227" s="149">
        <f>IF($A227&gt;$B$9,"",IF(COUNTIFS(Base!$B$3:$B$5001,E$213,Base!$A$3:$A$5001,"&gt;="&amp;$C$7,Base!$A$3:$A$5001,"&lt;="&amp;$B227,Base!$N$3:$N$5001,"&lt;&gt;")=0,"",SUMIFS(Base!$N$3:$N$5001,Base!$B$3:$B$5001,E$213,Base!$A$3:$A$5001,_xlfn.MAXIFS(Base!$A$3:$A$5001,Base!$B$3:$B$5001,E$213,Base!$A$3:$A$5001,"&gt;="&amp;$C$7,Base!$A$3:$A$5001,"&lt;="&amp;$B227,Base!$N$3:$N$5001,"&lt;&gt;"))))</f>
        <v>5</v>
      </c>
      <c r="F227" s="149">
        <f>IF($A227&gt;$B$9,"",IF(COUNTIFS(Base!$B$3:$B$5001,F$213,Base!$A$3:$A$5001,"&gt;="&amp;$C$7,Base!$A$3:$A$5001,"&lt;="&amp;$B227,Base!$N$3:$N$5001,"&lt;&gt;")=0,"",SUMIFS(Base!$N$3:$N$5001,Base!$B$3:$B$5001,F$213,Base!$A$3:$A$5001,_xlfn.MAXIFS(Base!$A$3:$A$5001,Base!$B$3:$B$5001,F$213,Base!$A$3:$A$5001,"&gt;="&amp;$C$7,Base!$A$3:$A$5001,"&lt;="&amp;$B227,Base!$N$3:$N$5001,"&lt;&gt;"))))</f>
        <v>8</v>
      </c>
      <c r="G227" s="149">
        <f>IF($A227&gt;$B$9,"",IF(COUNTIFS(Base!$B$3:$B$5001,G$213,Base!$A$3:$A$5001,"&gt;="&amp;$C$7,Base!$A$3:$A$5001,"&lt;="&amp;$B227,Base!$N$3:$N$5001,"&lt;&gt;")=0,"",SUMIFS(Base!$N$3:$N$5001,Base!$B$3:$B$5001,G$213,Base!$A$3:$A$5001,_xlfn.MAXIFS(Base!$A$3:$A$5001,Base!$B$3:$B$5001,G$213,Base!$A$3:$A$5001,"&gt;="&amp;$C$7,Base!$A$3:$A$5001,"&lt;="&amp;$B227,Base!$N$3:$N$5001,"&lt;&gt;"))))</f>
        <v>7</v>
      </c>
    </row>
    <row r="228">
      <c r="A228" s="147">
        <v>15</v>
      </c>
      <c r="B228" s="148">
        <f>$B$26</f>
        <v>46280</v>
      </c>
      <c r="C228" s="149">
        <f>IF($A228&gt;$B$9,"",IF(COUNTIFS(Base!$B$3:$B$5001,C$213,Base!$A$3:$A$5001,"&gt;="&amp;$C$7,Base!$A$3:$A$5001,"&lt;="&amp;$B228,Base!$N$3:$N$5001,"&lt;&gt;")=0,"",SUMIFS(Base!$N$3:$N$5001,Base!$B$3:$B$5001,C$213,Base!$A$3:$A$5001,_xlfn.MAXIFS(Base!$A$3:$A$5001,Base!$B$3:$B$5001,C$213,Base!$A$3:$A$5001,"&gt;="&amp;$C$7,Base!$A$3:$A$5001,"&lt;="&amp;$B228,Base!$N$3:$N$5001,"&lt;&gt;"))))</f>
        <v>4</v>
      </c>
      <c r="D228" s="149">
        <f>IF($A228&gt;$B$9,"",IF(COUNTIFS(Base!$B$3:$B$5001,D$213,Base!$A$3:$A$5001,"&gt;="&amp;$C$7,Base!$A$3:$A$5001,"&lt;="&amp;$B228,Base!$N$3:$N$5001,"&lt;&gt;")=0,"",SUMIFS(Base!$N$3:$N$5001,Base!$B$3:$B$5001,D$213,Base!$A$3:$A$5001,_xlfn.MAXIFS(Base!$A$3:$A$5001,Base!$B$3:$B$5001,D$213,Base!$A$3:$A$5001,"&gt;="&amp;$C$7,Base!$A$3:$A$5001,"&lt;="&amp;$B228,Base!$N$3:$N$5001,"&lt;&gt;"))))</f>
        <v>8</v>
      </c>
      <c r="E228" s="149">
        <f>IF($A228&gt;$B$9,"",IF(COUNTIFS(Base!$B$3:$B$5001,E$213,Base!$A$3:$A$5001,"&gt;="&amp;$C$7,Base!$A$3:$A$5001,"&lt;="&amp;$B228,Base!$N$3:$N$5001,"&lt;&gt;")=0,"",SUMIFS(Base!$N$3:$N$5001,Base!$B$3:$B$5001,E$213,Base!$A$3:$A$5001,_xlfn.MAXIFS(Base!$A$3:$A$5001,Base!$B$3:$B$5001,E$213,Base!$A$3:$A$5001,"&gt;="&amp;$C$7,Base!$A$3:$A$5001,"&lt;="&amp;$B228,Base!$N$3:$N$5001,"&lt;&gt;"))))</f>
        <v>7</v>
      </c>
      <c r="F228" s="149">
        <f>IF($A228&gt;$B$9,"",IF(COUNTIFS(Base!$B$3:$B$5001,F$213,Base!$A$3:$A$5001,"&gt;="&amp;$C$7,Base!$A$3:$A$5001,"&lt;="&amp;$B228,Base!$N$3:$N$5001,"&lt;&gt;")=0,"",SUMIFS(Base!$N$3:$N$5001,Base!$B$3:$B$5001,F$213,Base!$A$3:$A$5001,_xlfn.MAXIFS(Base!$A$3:$A$5001,Base!$B$3:$B$5001,F$213,Base!$A$3:$A$5001,"&gt;="&amp;$C$7,Base!$A$3:$A$5001,"&lt;="&amp;$B228,Base!$N$3:$N$5001,"&lt;&gt;"))))</f>
        <v>5</v>
      </c>
      <c r="G228" s="149">
        <f>IF($A228&gt;$B$9,"",IF(COUNTIFS(Base!$B$3:$B$5001,G$213,Base!$A$3:$A$5001,"&gt;="&amp;$C$7,Base!$A$3:$A$5001,"&lt;="&amp;$B228,Base!$N$3:$N$5001,"&lt;&gt;")=0,"",SUMIFS(Base!$N$3:$N$5001,Base!$B$3:$B$5001,G$213,Base!$A$3:$A$5001,_xlfn.MAXIFS(Base!$A$3:$A$5001,Base!$B$3:$B$5001,G$213,Base!$A$3:$A$5001,"&gt;="&amp;$C$7,Base!$A$3:$A$5001,"&lt;="&amp;$B228,Base!$N$3:$N$5001,"&lt;&gt;"))))</f>
        <v>6</v>
      </c>
    </row>
    <row r="229">
      <c r="A229" s="147">
        <v>16</v>
      </c>
      <c r="B229" s="148">
        <f>$B$27</f>
        <v>46281</v>
      </c>
      <c r="C229" s="149">
        <f>IF($A229&gt;$B$9,"",IF(COUNTIFS(Base!$B$3:$B$5001,C$213,Base!$A$3:$A$5001,"&gt;="&amp;$C$7,Base!$A$3:$A$5001,"&lt;="&amp;$B229,Base!$N$3:$N$5001,"&lt;&gt;")=0,"",SUMIFS(Base!$N$3:$N$5001,Base!$B$3:$B$5001,C$213,Base!$A$3:$A$5001,_xlfn.MAXIFS(Base!$A$3:$A$5001,Base!$B$3:$B$5001,C$213,Base!$A$3:$A$5001,"&gt;="&amp;$C$7,Base!$A$3:$A$5001,"&lt;="&amp;$B229,Base!$N$3:$N$5001,"&lt;&gt;"))))</f>
        <v>5</v>
      </c>
      <c r="D229" s="149">
        <f>IF($A229&gt;$B$9,"",IF(COUNTIFS(Base!$B$3:$B$5001,D$213,Base!$A$3:$A$5001,"&gt;="&amp;$C$7,Base!$A$3:$A$5001,"&lt;="&amp;$B229,Base!$N$3:$N$5001,"&lt;&gt;")=0,"",SUMIFS(Base!$N$3:$N$5001,Base!$B$3:$B$5001,D$213,Base!$A$3:$A$5001,_xlfn.MAXIFS(Base!$A$3:$A$5001,Base!$B$3:$B$5001,D$213,Base!$A$3:$A$5001,"&gt;="&amp;$C$7,Base!$A$3:$A$5001,"&lt;="&amp;$B229,Base!$N$3:$N$5001,"&lt;&gt;"))))</f>
        <v>3</v>
      </c>
      <c r="E229" s="149">
        <f>IF($A229&gt;$B$9,"",IF(COUNTIFS(Base!$B$3:$B$5001,E$213,Base!$A$3:$A$5001,"&gt;="&amp;$C$7,Base!$A$3:$A$5001,"&lt;="&amp;$B229,Base!$N$3:$N$5001,"&lt;&gt;")=0,"",SUMIFS(Base!$N$3:$N$5001,Base!$B$3:$B$5001,E$213,Base!$A$3:$A$5001,_xlfn.MAXIFS(Base!$A$3:$A$5001,Base!$B$3:$B$5001,E$213,Base!$A$3:$A$5001,"&gt;="&amp;$C$7,Base!$A$3:$A$5001,"&lt;="&amp;$B229,Base!$N$3:$N$5001,"&lt;&gt;"))))</f>
        <v>4</v>
      </c>
      <c r="F229" s="149">
        <f>IF($A229&gt;$B$9,"",IF(COUNTIFS(Base!$B$3:$B$5001,F$213,Base!$A$3:$A$5001,"&gt;="&amp;$C$7,Base!$A$3:$A$5001,"&lt;="&amp;$B229,Base!$N$3:$N$5001,"&lt;&gt;")=0,"",SUMIFS(Base!$N$3:$N$5001,Base!$B$3:$B$5001,F$213,Base!$A$3:$A$5001,_xlfn.MAXIFS(Base!$A$3:$A$5001,Base!$B$3:$B$5001,F$213,Base!$A$3:$A$5001,"&gt;="&amp;$C$7,Base!$A$3:$A$5001,"&lt;="&amp;$B229,Base!$N$3:$N$5001,"&lt;&gt;"))))</f>
        <v>3</v>
      </c>
      <c r="G229" s="149">
        <f>IF($A229&gt;$B$9,"",IF(COUNTIFS(Base!$B$3:$B$5001,G$213,Base!$A$3:$A$5001,"&gt;="&amp;$C$7,Base!$A$3:$A$5001,"&lt;="&amp;$B229,Base!$N$3:$N$5001,"&lt;&gt;")=0,"",SUMIFS(Base!$N$3:$N$5001,Base!$B$3:$B$5001,G$213,Base!$A$3:$A$5001,_xlfn.MAXIFS(Base!$A$3:$A$5001,Base!$B$3:$B$5001,G$213,Base!$A$3:$A$5001,"&gt;="&amp;$C$7,Base!$A$3:$A$5001,"&lt;="&amp;$B229,Base!$N$3:$N$5001,"&lt;&gt;"))))</f>
        <v>6</v>
      </c>
    </row>
    <row r="230">
      <c r="A230" s="147">
        <v>17</v>
      </c>
      <c r="B230" s="148">
        <f>$B$28</f>
        <v>46282</v>
      </c>
      <c r="C230" s="149">
        <f>IF($A230&gt;$B$9,"",IF(COUNTIFS(Base!$B$3:$B$5001,C$213,Base!$A$3:$A$5001,"&gt;="&amp;$C$7,Base!$A$3:$A$5001,"&lt;="&amp;$B230,Base!$N$3:$N$5001,"&lt;&gt;")=0,"",SUMIFS(Base!$N$3:$N$5001,Base!$B$3:$B$5001,C$213,Base!$A$3:$A$5001,_xlfn.MAXIFS(Base!$A$3:$A$5001,Base!$B$3:$B$5001,C$213,Base!$A$3:$A$5001,"&gt;="&amp;$C$7,Base!$A$3:$A$5001,"&lt;="&amp;$B230,Base!$N$3:$N$5001,"&lt;&gt;"))))</f>
        <v>5</v>
      </c>
      <c r="D230" s="149">
        <f>IF($A230&gt;$B$9,"",IF(COUNTIFS(Base!$B$3:$B$5001,D$213,Base!$A$3:$A$5001,"&gt;="&amp;$C$7,Base!$A$3:$A$5001,"&lt;="&amp;$B230,Base!$N$3:$N$5001,"&lt;&gt;")=0,"",SUMIFS(Base!$N$3:$N$5001,Base!$B$3:$B$5001,D$213,Base!$A$3:$A$5001,_xlfn.MAXIFS(Base!$A$3:$A$5001,Base!$B$3:$B$5001,D$213,Base!$A$3:$A$5001,"&gt;="&amp;$C$7,Base!$A$3:$A$5001,"&lt;="&amp;$B230,Base!$N$3:$N$5001,"&lt;&gt;"))))</f>
        <v>4</v>
      </c>
      <c r="E230" s="149">
        <f>IF($A230&gt;$B$9,"",IF(COUNTIFS(Base!$B$3:$B$5001,E$213,Base!$A$3:$A$5001,"&gt;="&amp;$C$7,Base!$A$3:$A$5001,"&lt;="&amp;$B230,Base!$N$3:$N$5001,"&lt;&gt;")=0,"",SUMIFS(Base!$N$3:$N$5001,Base!$B$3:$B$5001,E$213,Base!$A$3:$A$5001,_xlfn.MAXIFS(Base!$A$3:$A$5001,Base!$B$3:$B$5001,E$213,Base!$A$3:$A$5001,"&gt;="&amp;$C$7,Base!$A$3:$A$5001,"&lt;="&amp;$B230,Base!$N$3:$N$5001,"&lt;&gt;"))))</f>
        <v>3</v>
      </c>
      <c r="F230" s="149">
        <f>IF($A230&gt;$B$9,"",IF(COUNTIFS(Base!$B$3:$B$5001,F$213,Base!$A$3:$A$5001,"&gt;="&amp;$C$7,Base!$A$3:$A$5001,"&lt;="&amp;$B230,Base!$N$3:$N$5001,"&lt;&gt;")=0,"",SUMIFS(Base!$N$3:$N$5001,Base!$B$3:$B$5001,F$213,Base!$A$3:$A$5001,_xlfn.MAXIFS(Base!$A$3:$A$5001,Base!$B$3:$B$5001,F$213,Base!$A$3:$A$5001,"&gt;="&amp;$C$7,Base!$A$3:$A$5001,"&lt;="&amp;$B230,Base!$N$3:$N$5001,"&lt;&gt;"))))</f>
        <v>4</v>
      </c>
      <c r="G230" s="149">
        <f>IF($A230&gt;$B$9,"",IF(COUNTIFS(Base!$B$3:$B$5001,G$213,Base!$A$3:$A$5001,"&gt;="&amp;$C$7,Base!$A$3:$A$5001,"&lt;="&amp;$B230,Base!$N$3:$N$5001,"&lt;&gt;")=0,"",SUMIFS(Base!$N$3:$N$5001,Base!$B$3:$B$5001,G$213,Base!$A$3:$A$5001,_xlfn.MAXIFS(Base!$A$3:$A$5001,Base!$B$3:$B$5001,G$213,Base!$A$3:$A$5001,"&gt;="&amp;$C$7,Base!$A$3:$A$5001,"&lt;="&amp;$B230,Base!$N$3:$N$5001,"&lt;&gt;"))))</f>
        <v>3</v>
      </c>
    </row>
    <row r="231">
      <c r="A231" s="147">
        <v>18</v>
      </c>
      <c r="B231" s="148">
        <f>$B$29</f>
        <v>46283</v>
      </c>
      <c r="C231" s="149">
        <f>IF($A231&gt;$B$9,"",IF(COUNTIFS(Base!$B$3:$B$5001,C$213,Base!$A$3:$A$5001,"&gt;="&amp;$C$7,Base!$A$3:$A$5001,"&lt;="&amp;$B231,Base!$N$3:$N$5001,"&lt;&gt;")=0,"",SUMIFS(Base!$N$3:$N$5001,Base!$B$3:$B$5001,C$213,Base!$A$3:$A$5001,_xlfn.MAXIFS(Base!$A$3:$A$5001,Base!$B$3:$B$5001,C$213,Base!$A$3:$A$5001,"&gt;="&amp;$C$7,Base!$A$3:$A$5001,"&lt;="&amp;$B231,Base!$N$3:$N$5001,"&lt;&gt;"))))</f>
        <v>6</v>
      </c>
      <c r="D231" s="149">
        <f>IF($A231&gt;$B$9,"",IF(COUNTIFS(Base!$B$3:$B$5001,D$213,Base!$A$3:$A$5001,"&gt;="&amp;$C$7,Base!$A$3:$A$5001,"&lt;="&amp;$B231,Base!$N$3:$N$5001,"&lt;&gt;")=0,"",SUMIFS(Base!$N$3:$N$5001,Base!$B$3:$B$5001,D$213,Base!$A$3:$A$5001,_xlfn.MAXIFS(Base!$A$3:$A$5001,Base!$B$3:$B$5001,D$213,Base!$A$3:$A$5001,"&gt;="&amp;$C$7,Base!$A$3:$A$5001,"&lt;="&amp;$B231,Base!$N$3:$N$5001,"&lt;&gt;"))))</f>
        <v>4</v>
      </c>
      <c r="E231" s="149">
        <f>IF($A231&gt;$B$9,"",IF(COUNTIFS(Base!$B$3:$B$5001,E$213,Base!$A$3:$A$5001,"&gt;="&amp;$C$7,Base!$A$3:$A$5001,"&lt;="&amp;$B231,Base!$N$3:$N$5001,"&lt;&gt;")=0,"",SUMIFS(Base!$N$3:$N$5001,Base!$B$3:$B$5001,E$213,Base!$A$3:$A$5001,_xlfn.MAXIFS(Base!$A$3:$A$5001,Base!$B$3:$B$5001,E$213,Base!$A$3:$A$5001,"&gt;="&amp;$C$7,Base!$A$3:$A$5001,"&lt;="&amp;$B231,Base!$N$3:$N$5001,"&lt;&gt;"))))</f>
        <v>4</v>
      </c>
      <c r="F231" s="149">
        <f>IF($A231&gt;$B$9,"",IF(COUNTIFS(Base!$B$3:$B$5001,F$213,Base!$A$3:$A$5001,"&gt;="&amp;$C$7,Base!$A$3:$A$5001,"&lt;="&amp;$B231,Base!$N$3:$N$5001,"&lt;&gt;")=0,"",SUMIFS(Base!$N$3:$N$5001,Base!$B$3:$B$5001,F$213,Base!$A$3:$A$5001,_xlfn.MAXIFS(Base!$A$3:$A$5001,Base!$B$3:$B$5001,F$213,Base!$A$3:$A$5001,"&gt;="&amp;$C$7,Base!$A$3:$A$5001,"&lt;="&amp;$B231,Base!$N$3:$N$5001,"&lt;&gt;"))))</f>
        <v>6</v>
      </c>
      <c r="G231" s="149">
        <f>IF($A231&gt;$B$9,"",IF(COUNTIFS(Base!$B$3:$B$5001,G$213,Base!$A$3:$A$5001,"&gt;="&amp;$C$7,Base!$A$3:$A$5001,"&lt;="&amp;$B231,Base!$N$3:$N$5001,"&lt;&gt;")=0,"",SUMIFS(Base!$N$3:$N$5001,Base!$B$3:$B$5001,G$213,Base!$A$3:$A$5001,_xlfn.MAXIFS(Base!$A$3:$A$5001,Base!$B$3:$B$5001,G$213,Base!$A$3:$A$5001,"&gt;="&amp;$C$7,Base!$A$3:$A$5001,"&lt;="&amp;$B231,Base!$N$3:$N$5001,"&lt;&gt;"))))</f>
        <v>8</v>
      </c>
    </row>
    <row r="232">
      <c r="A232" s="147">
        <v>19</v>
      </c>
      <c r="B232" s="148">
        <f>$B$30</f>
        <v>46284</v>
      </c>
      <c r="C232" s="149">
        <f>IF($A232&gt;$B$9,"",IF(COUNTIFS(Base!$B$3:$B$5001,C$213,Base!$A$3:$A$5001,"&gt;="&amp;$C$7,Base!$A$3:$A$5001,"&lt;="&amp;$B232,Base!$N$3:$N$5001,"&lt;&gt;")=0,"",SUMIFS(Base!$N$3:$N$5001,Base!$B$3:$B$5001,C$213,Base!$A$3:$A$5001,_xlfn.MAXIFS(Base!$A$3:$A$5001,Base!$B$3:$B$5001,C$213,Base!$A$3:$A$5001,"&gt;="&amp;$C$7,Base!$A$3:$A$5001,"&lt;="&amp;$B232,Base!$N$3:$N$5001,"&lt;&gt;"))))</f>
        <v>6</v>
      </c>
      <c r="D232" s="149">
        <f>IF($A232&gt;$B$9,"",IF(COUNTIFS(Base!$B$3:$B$5001,D$213,Base!$A$3:$A$5001,"&gt;="&amp;$C$7,Base!$A$3:$A$5001,"&lt;="&amp;$B232,Base!$N$3:$N$5001,"&lt;&gt;")=0,"",SUMIFS(Base!$N$3:$N$5001,Base!$B$3:$B$5001,D$213,Base!$A$3:$A$5001,_xlfn.MAXIFS(Base!$A$3:$A$5001,Base!$B$3:$B$5001,D$213,Base!$A$3:$A$5001,"&gt;="&amp;$C$7,Base!$A$3:$A$5001,"&lt;="&amp;$B232,Base!$N$3:$N$5001,"&lt;&gt;"))))</f>
        <v>4</v>
      </c>
      <c r="E232" s="149">
        <f>IF($A232&gt;$B$9,"",IF(COUNTIFS(Base!$B$3:$B$5001,E$213,Base!$A$3:$A$5001,"&gt;="&amp;$C$7,Base!$A$3:$A$5001,"&lt;="&amp;$B232,Base!$N$3:$N$5001,"&lt;&gt;")=0,"",SUMIFS(Base!$N$3:$N$5001,Base!$B$3:$B$5001,E$213,Base!$A$3:$A$5001,_xlfn.MAXIFS(Base!$A$3:$A$5001,Base!$B$3:$B$5001,E$213,Base!$A$3:$A$5001,"&gt;="&amp;$C$7,Base!$A$3:$A$5001,"&lt;="&amp;$B232,Base!$N$3:$N$5001,"&lt;&gt;"))))</f>
        <v>4</v>
      </c>
      <c r="F232" s="149">
        <f>IF($A232&gt;$B$9,"",IF(COUNTIFS(Base!$B$3:$B$5001,F$213,Base!$A$3:$A$5001,"&gt;="&amp;$C$7,Base!$A$3:$A$5001,"&lt;="&amp;$B232,Base!$N$3:$N$5001,"&lt;&gt;")=0,"",SUMIFS(Base!$N$3:$N$5001,Base!$B$3:$B$5001,F$213,Base!$A$3:$A$5001,_xlfn.MAXIFS(Base!$A$3:$A$5001,Base!$B$3:$B$5001,F$213,Base!$A$3:$A$5001,"&gt;="&amp;$C$7,Base!$A$3:$A$5001,"&lt;="&amp;$B232,Base!$N$3:$N$5001,"&lt;&gt;"))))</f>
        <v>6</v>
      </c>
      <c r="G232" s="149">
        <f>IF($A232&gt;$B$9,"",IF(COUNTIFS(Base!$B$3:$B$5001,G$213,Base!$A$3:$A$5001,"&gt;="&amp;$C$7,Base!$A$3:$A$5001,"&lt;="&amp;$B232,Base!$N$3:$N$5001,"&lt;&gt;")=0,"",SUMIFS(Base!$N$3:$N$5001,Base!$B$3:$B$5001,G$213,Base!$A$3:$A$5001,_xlfn.MAXIFS(Base!$A$3:$A$5001,Base!$B$3:$B$5001,G$213,Base!$A$3:$A$5001,"&gt;="&amp;$C$7,Base!$A$3:$A$5001,"&lt;="&amp;$B232,Base!$N$3:$N$5001,"&lt;&gt;"))))</f>
        <v>8</v>
      </c>
    </row>
    <row r="233">
      <c r="A233" s="147">
        <v>20</v>
      </c>
      <c r="B233" s="148">
        <f>$B$31</f>
        <v>46285</v>
      </c>
      <c r="C233" s="149">
        <f>IF($A233&gt;$B$9,"",IF(COUNTIFS(Base!$B$3:$B$5001,C$213,Base!$A$3:$A$5001,"&gt;="&amp;$C$7,Base!$A$3:$A$5001,"&lt;="&amp;$B233,Base!$N$3:$N$5001,"&lt;&gt;")=0,"",SUMIFS(Base!$N$3:$N$5001,Base!$B$3:$B$5001,C$213,Base!$A$3:$A$5001,_xlfn.MAXIFS(Base!$A$3:$A$5001,Base!$B$3:$B$5001,C$213,Base!$A$3:$A$5001,"&gt;="&amp;$C$7,Base!$A$3:$A$5001,"&lt;="&amp;$B233,Base!$N$3:$N$5001,"&lt;&gt;"))))</f>
        <v>6</v>
      </c>
      <c r="D233" s="149">
        <f>IF($A233&gt;$B$9,"",IF(COUNTIFS(Base!$B$3:$B$5001,D$213,Base!$A$3:$A$5001,"&gt;="&amp;$C$7,Base!$A$3:$A$5001,"&lt;="&amp;$B233,Base!$N$3:$N$5001,"&lt;&gt;")=0,"",SUMIFS(Base!$N$3:$N$5001,Base!$B$3:$B$5001,D$213,Base!$A$3:$A$5001,_xlfn.MAXIFS(Base!$A$3:$A$5001,Base!$B$3:$B$5001,D$213,Base!$A$3:$A$5001,"&gt;="&amp;$C$7,Base!$A$3:$A$5001,"&lt;="&amp;$B233,Base!$N$3:$N$5001,"&lt;&gt;"))))</f>
        <v>4</v>
      </c>
      <c r="E233" s="149">
        <f>IF($A233&gt;$B$9,"",IF(COUNTIFS(Base!$B$3:$B$5001,E$213,Base!$A$3:$A$5001,"&gt;="&amp;$C$7,Base!$A$3:$A$5001,"&lt;="&amp;$B233,Base!$N$3:$N$5001,"&lt;&gt;")=0,"",SUMIFS(Base!$N$3:$N$5001,Base!$B$3:$B$5001,E$213,Base!$A$3:$A$5001,_xlfn.MAXIFS(Base!$A$3:$A$5001,Base!$B$3:$B$5001,E$213,Base!$A$3:$A$5001,"&gt;="&amp;$C$7,Base!$A$3:$A$5001,"&lt;="&amp;$B233,Base!$N$3:$N$5001,"&lt;&gt;"))))</f>
        <v>4</v>
      </c>
      <c r="F233" s="149">
        <f>IF($A233&gt;$B$9,"",IF(COUNTIFS(Base!$B$3:$B$5001,F$213,Base!$A$3:$A$5001,"&gt;="&amp;$C$7,Base!$A$3:$A$5001,"&lt;="&amp;$B233,Base!$N$3:$N$5001,"&lt;&gt;")=0,"",SUMIFS(Base!$N$3:$N$5001,Base!$B$3:$B$5001,F$213,Base!$A$3:$A$5001,_xlfn.MAXIFS(Base!$A$3:$A$5001,Base!$B$3:$B$5001,F$213,Base!$A$3:$A$5001,"&gt;="&amp;$C$7,Base!$A$3:$A$5001,"&lt;="&amp;$B233,Base!$N$3:$N$5001,"&lt;&gt;"))))</f>
        <v>6</v>
      </c>
      <c r="G233" s="149">
        <f>IF($A233&gt;$B$9,"",IF(COUNTIFS(Base!$B$3:$B$5001,G$213,Base!$A$3:$A$5001,"&gt;="&amp;$C$7,Base!$A$3:$A$5001,"&lt;="&amp;$B233,Base!$N$3:$N$5001,"&lt;&gt;")=0,"",SUMIFS(Base!$N$3:$N$5001,Base!$B$3:$B$5001,G$213,Base!$A$3:$A$5001,_xlfn.MAXIFS(Base!$A$3:$A$5001,Base!$B$3:$B$5001,G$213,Base!$A$3:$A$5001,"&gt;="&amp;$C$7,Base!$A$3:$A$5001,"&lt;="&amp;$B233,Base!$N$3:$N$5001,"&lt;&gt;"))))</f>
        <v>5</v>
      </c>
    </row>
    <row r="234">
      <c r="A234" s="147">
        <v>21</v>
      </c>
      <c r="B234" s="148">
        <f>$B$32</f>
        <v>46286</v>
      </c>
      <c r="C234" s="149">
        <f>IF($A234&gt;$B$9,"",IF(COUNTIFS(Base!$B$3:$B$5001,C$213,Base!$A$3:$A$5001,"&gt;="&amp;$C$7,Base!$A$3:$A$5001,"&lt;="&amp;$B234,Base!$N$3:$N$5001,"&lt;&gt;")=0,"",SUMIFS(Base!$N$3:$N$5001,Base!$B$3:$B$5001,C$213,Base!$A$3:$A$5001,_xlfn.MAXIFS(Base!$A$3:$A$5001,Base!$B$3:$B$5001,C$213,Base!$A$3:$A$5001,"&gt;="&amp;$C$7,Base!$A$3:$A$5001,"&lt;="&amp;$B234,Base!$N$3:$N$5001,"&lt;&gt;"))))</f>
        <v>7</v>
      </c>
      <c r="D234" s="149">
        <f>IF($A234&gt;$B$9,"",IF(COUNTIFS(Base!$B$3:$B$5001,D$213,Base!$A$3:$A$5001,"&gt;="&amp;$C$7,Base!$A$3:$A$5001,"&lt;="&amp;$B234,Base!$N$3:$N$5001,"&lt;&gt;")=0,"",SUMIFS(Base!$N$3:$N$5001,Base!$B$3:$B$5001,D$213,Base!$A$3:$A$5001,_xlfn.MAXIFS(Base!$A$3:$A$5001,Base!$B$3:$B$5001,D$213,Base!$A$3:$A$5001,"&gt;="&amp;$C$7,Base!$A$3:$A$5001,"&lt;="&amp;$B234,Base!$N$3:$N$5001,"&lt;&gt;"))))</f>
        <v>3</v>
      </c>
      <c r="E234" s="149">
        <f>IF($A234&gt;$B$9,"",IF(COUNTIFS(Base!$B$3:$B$5001,E$213,Base!$A$3:$A$5001,"&gt;="&amp;$C$7,Base!$A$3:$A$5001,"&lt;="&amp;$B234,Base!$N$3:$N$5001,"&lt;&gt;")=0,"",SUMIFS(Base!$N$3:$N$5001,Base!$B$3:$B$5001,E$213,Base!$A$3:$A$5001,_xlfn.MAXIFS(Base!$A$3:$A$5001,Base!$B$3:$B$5001,E$213,Base!$A$3:$A$5001,"&gt;="&amp;$C$7,Base!$A$3:$A$5001,"&lt;="&amp;$B234,Base!$N$3:$N$5001,"&lt;&gt;"))))</f>
        <v>8</v>
      </c>
      <c r="F234" s="149">
        <f>IF($A234&gt;$B$9,"",IF(COUNTIFS(Base!$B$3:$B$5001,F$213,Base!$A$3:$A$5001,"&gt;="&amp;$C$7,Base!$A$3:$A$5001,"&lt;="&amp;$B234,Base!$N$3:$N$5001,"&lt;&gt;")=0,"",SUMIFS(Base!$N$3:$N$5001,Base!$B$3:$B$5001,F$213,Base!$A$3:$A$5001,_xlfn.MAXIFS(Base!$A$3:$A$5001,Base!$B$3:$B$5001,F$213,Base!$A$3:$A$5001,"&gt;="&amp;$C$7,Base!$A$3:$A$5001,"&lt;="&amp;$B234,Base!$N$3:$N$5001,"&lt;&gt;"))))</f>
        <v>5</v>
      </c>
      <c r="G234" s="149">
        <f>IF($A234&gt;$B$9,"",IF(COUNTIFS(Base!$B$3:$B$5001,G$213,Base!$A$3:$A$5001,"&gt;="&amp;$C$7,Base!$A$3:$A$5001,"&lt;="&amp;$B234,Base!$N$3:$N$5001,"&lt;&gt;")=0,"",SUMIFS(Base!$N$3:$N$5001,Base!$B$3:$B$5001,G$213,Base!$A$3:$A$5001,_xlfn.MAXIFS(Base!$A$3:$A$5001,Base!$B$3:$B$5001,G$213,Base!$A$3:$A$5001,"&gt;="&amp;$C$7,Base!$A$3:$A$5001,"&lt;="&amp;$B234,Base!$N$3:$N$5001,"&lt;&gt;"))))</f>
        <v>7</v>
      </c>
    </row>
    <row r="235">
      <c r="A235" s="147">
        <v>22</v>
      </c>
      <c r="B235" s="148">
        <f>$B$33</f>
        <v>46287</v>
      </c>
      <c r="C235" s="149">
        <f>IF($A235&gt;$B$9,"",IF(COUNTIFS(Base!$B$3:$B$5001,C$213,Base!$A$3:$A$5001,"&gt;="&amp;$C$7,Base!$A$3:$A$5001,"&lt;="&amp;$B235,Base!$N$3:$N$5001,"&lt;&gt;")=0,"",SUMIFS(Base!$N$3:$N$5001,Base!$B$3:$B$5001,C$213,Base!$A$3:$A$5001,_xlfn.MAXIFS(Base!$A$3:$A$5001,Base!$B$3:$B$5001,C$213,Base!$A$3:$A$5001,"&gt;="&amp;$C$7,Base!$A$3:$A$5001,"&lt;="&amp;$B235,Base!$N$3:$N$5001,"&lt;&gt;"))))</f>
        <v>9</v>
      </c>
      <c r="D235" s="149">
        <f>IF($A235&gt;$B$9,"",IF(COUNTIFS(Base!$B$3:$B$5001,D$213,Base!$A$3:$A$5001,"&gt;="&amp;$C$7,Base!$A$3:$A$5001,"&lt;="&amp;$B235,Base!$N$3:$N$5001,"&lt;&gt;")=0,"",SUMIFS(Base!$N$3:$N$5001,Base!$B$3:$B$5001,D$213,Base!$A$3:$A$5001,_xlfn.MAXIFS(Base!$A$3:$A$5001,Base!$B$3:$B$5001,D$213,Base!$A$3:$A$5001,"&gt;="&amp;$C$7,Base!$A$3:$A$5001,"&lt;="&amp;$B235,Base!$N$3:$N$5001,"&lt;&gt;"))))</f>
        <v>8</v>
      </c>
      <c r="E235" s="149">
        <f>IF($A235&gt;$B$9,"",IF(COUNTIFS(Base!$B$3:$B$5001,E$213,Base!$A$3:$A$5001,"&gt;="&amp;$C$7,Base!$A$3:$A$5001,"&lt;="&amp;$B235,Base!$N$3:$N$5001,"&lt;&gt;")=0,"",SUMIFS(Base!$N$3:$N$5001,Base!$B$3:$B$5001,E$213,Base!$A$3:$A$5001,_xlfn.MAXIFS(Base!$A$3:$A$5001,Base!$B$3:$B$5001,E$213,Base!$A$3:$A$5001,"&gt;="&amp;$C$7,Base!$A$3:$A$5001,"&lt;="&amp;$B235,Base!$N$3:$N$5001,"&lt;&gt;"))))</f>
        <v>4</v>
      </c>
      <c r="F235" s="149">
        <f>IF($A235&gt;$B$9,"",IF(COUNTIFS(Base!$B$3:$B$5001,F$213,Base!$A$3:$A$5001,"&gt;="&amp;$C$7,Base!$A$3:$A$5001,"&lt;="&amp;$B235,Base!$N$3:$N$5001,"&lt;&gt;")=0,"",SUMIFS(Base!$N$3:$N$5001,Base!$B$3:$B$5001,F$213,Base!$A$3:$A$5001,_xlfn.MAXIFS(Base!$A$3:$A$5001,Base!$B$3:$B$5001,F$213,Base!$A$3:$A$5001,"&gt;="&amp;$C$7,Base!$A$3:$A$5001,"&lt;="&amp;$B235,Base!$N$3:$N$5001,"&lt;&gt;"))))</f>
        <v>8</v>
      </c>
      <c r="G235" s="149">
        <f>IF($A235&gt;$B$9,"",IF(COUNTIFS(Base!$B$3:$B$5001,G$213,Base!$A$3:$A$5001,"&gt;="&amp;$C$7,Base!$A$3:$A$5001,"&lt;="&amp;$B235,Base!$N$3:$N$5001,"&lt;&gt;")=0,"",SUMIFS(Base!$N$3:$N$5001,Base!$B$3:$B$5001,G$213,Base!$A$3:$A$5001,_xlfn.MAXIFS(Base!$A$3:$A$5001,Base!$B$3:$B$5001,G$213,Base!$A$3:$A$5001,"&gt;="&amp;$C$7,Base!$A$3:$A$5001,"&lt;="&amp;$B235,Base!$N$3:$N$5001,"&lt;&gt;"))))</f>
        <v>8</v>
      </c>
    </row>
    <row r="236">
      <c r="A236" s="147">
        <v>23</v>
      </c>
      <c r="B236" s="148">
        <f>$B$34</f>
        <v>46288</v>
      </c>
      <c r="C236" s="149">
        <f>IF($A236&gt;$B$9,"",IF(COUNTIFS(Base!$B$3:$B$5001,C$213,Base!$A$3:$A$5001,"&gt;="&amp;$C$7,Base!$A$3:$A$5001,"&lt;="&amp;$B236,Base!$N$3:$N$5001,"&lt;&gt;")=0,"",SUMIFS(Base!$N$3:$N$5001,Base!$B$3:$B$5001,C$213,Base!$A$3:$A$5001,_xlfn.MAXIFS(Base!$A$3:$A$5001,Base!$B$3:$B$5001,C$213,Base!$A$3:$A$5001,"&gt;="&amp;$C$7,Base!$A$3:$A$5001,"&lt;="&amp;$B236,Base!$N$3:$N$5001,"&lt;&gt;"))))</f>
        <v>5</v>
      </c>
      <c r="D236" s="149">
        <f>IF($A236&gt;$B$9,"",IF(COUNTIFS(Base!$B$3:$B$5001,D$213,Base!$A$3:$A$5001,"&gt;="&amp;$C$7,Base!$A$3:$A$5001,"&lt;="&amp;$B236,Base!$N$3:$N$5001,"&lt;&gt;")=0,"",SUMIFS(Base!$N$3:$N$5001,Base!$B$3:$B$5001,D$213,Base!$A$3:$A$5001,_xlfn.MAXIFS(Base!$A$3:$A$5001,Base!$B$3:$B$5001,D$213,Base!$A$3:$A$5001,"&gt;="&amp;$C$7,Base!$A$3:$A$5001,"&lt;="&amp;$B236,Base!$N$3:$N$5001,"&lt;&gt;"))))</f>
        <v>7</v>
      </c>
      <c r="E236" s="149">
        <f>IF($A236&gt;$B$9,"",IF(COUNTIFS(Base!$B$3:$B$5001,E$213,Base!$A$3:$A$5001,"&gt;="&amp;$C$7,Base!$A$3:$A$5001,"&lt;="&amp;$B236,Base!$N$3:$N$5001,"&lt;&gt;")=0,"",SUMIFS(Base!$N$3:$N$5001,Base!$B$3:$B$5001,E$213,Base!$A$3:$A$5001,_xlfn.MAXIFS(Base!$A$3:$A$5001,Base!$B$3:$B$5001,E$213,Base!$A$3:$A$5001,"&gt;="&amp;$C$7,Base!$A$3:$A$5001,"&lt;="&amp;$B236,Base!$N$3:$N$5001,"&lt;&gt;"))))</f>
        <v>6</v>
      </c>
      <c r="F236" s="149">
        <f>IF($A236&gt;$B$9,"",IF(COUNTIFS(Base!$B$3:$B$5001,F$213,Base!$A$3:$A$5001,"&gt;="&amp;$C$7,Base!$A$3:$A$5001,"&lt;="&amp;$B236,Base!$N$3:$N$5001,"&lt;&gt;")=0,"",SUMIFS(Base!$N$3:$N$5001,Base!$B$3:$B$5001,F$213,Base!$A$3:$A$5001,_xlfn.MAXIFS(Base!$A$3:$A$5001,Base!$B$3:$B$5001,F$213,Base!$A$3:$A$5001,"&gt;="&amp;$C$7,Base!$A$3:$A$5001,"&lt;="&amp;$B236,Base!$N$3:$N$5001,"&lt;&gt;"))))</f>
        <v>7</v>
      </c>
      <c r="G236" s="149">
        <f>IF($A236&gt;$B$9,"",IF(COUNTIFS(Base!$B$3:$B$5001,G$213,Base!$A$3:$A$5001,"&gt;="&amp;$C$7,Base!$A$3:$A$5001,"&lt;="&amp;$B236,Base!$N$3:$N$5001,"&lt;&gt;")=0,"",SUMIFS(Base!$N$3:$N$5001,Base!$B$3:$B$5001,G$213,Base!$A$3:$A$5001,_xlfn.MAXIFS(Base!$A$3:$A$5001,Base!$B$3:$B$5001,G$213,Base!$A$3:$A$5001,"&gt;="&amp;$C$7,Base!$A$3:$A$5001,"&lt;="&amp;$B236,Base!$N$3:$N$5001,"&lt;&gt;"))))</f>
        <v>4</v>
      </c>
    </row>
    <row r="237">
      <c r="A237" s="147">
        <v>24</v>
      </c>
      <c r="B237" s="148">
        <f>$B$35</f>
        <v>46289</v>
      </c>
      <c r="C237" s="149">
        <f>IF($A237&gt;$B$9,"",IF(COUNTIFS(Base!$B$3:$B$5001,C$213,Base!$A$3:$A$5001,"&gt;="&amp;$C$7,Base!$A$3:$A$5001,"&lt;="&amp;$B237,Base!$N$3:$N$5001,"&lt;&gt;")=0,"",SUMIFS(Base!$N$3:$N$5001,Base!$B$3:$B$5001,C$213,Base!$A$3:$A$5001,_xlfn.MAXIFS(Base!$A$3:$A$5001,Base!$B$3:$B$5001,C$213,Base!$A$3:$A$5001,"&gt;="&amp;$C$7,Base!$A$3:$A$5001,"&lt;="&amp;$B237,Base!$N$3:$N$5001,"&lt;&gt;"))))</f>
        <v>7</v>
      </c>
      <c r="D237" s="149">
        <f>IF($A237&gt;$B$9,"",IF(COUNTIFS(Base!$B$3:$B$5001,D$213,Base!$A$3:$A$5001,"&gt;="&amp;$C$7,Base!$A$3:$A$5001,"&lt;="&amp;$B237,Base!$N$3:$N$5001,"&lt;&gt;")=0,"",SUMIFS(Base!$N$3:$N$5001,Base!$B$3:$B$5001,D$213,Base!$A$3:$A$5001,_xlfn.MAXIFS(Base!$A$3:$A$5001,Base!$B$3:$B$5001,D$213,Base!$A$3:$A$5001,"&gt;="&amp;$C$7,Base!$A$3:$A$5001,"&lt;="&amp;$B237,Base!$N$3:$N$5001,"&lt;&gt;"))))</f>
        <v>7</v>
      </c>
      <c r="E237" s="149">
        <f>IF($A237&gt;$B$9,"",IF(COUNTIFS(Base!$B$3:$B$5001,E$213,Base!$A$3:$A$5001,"&gt;="&amp;$C$7,Base!$A$3:$A$5001,"&lt;="&amp;$B237,Base!$N$3:$N$5001,"&lt;&gt;")=0,"",SUMIFS(Base!$N$3:$N$5001,Base!$B$3:$B$5001,E$213,Base!$A$3:$A$5001,_xlfn.MAXIFS(Base!$A$3:$A$5001,Base!$B$3:$B$5001,E$213,Base!$A$3:$A$5001,"&gt;="&amp;$C$7,Base!$A$3:$A$5001,"&lt;="&amp;$B237,Base!$N$3:$N$5001,"&lt;&gt;"))))</f>
        <v>6</v>
      </c>
      <c r="F237" s="149">
        <f>IF($A237&gt;$B$9,"",IF(COUNTIFS(Base!$B$3:$B$5001,F$213,Base!$A$3:$A$5001,"&gt;="&amp;$C$7,Base!$A$3:$A$5001,"&lt;="&amp;$B237,Base!$N$3:$N$5001,"&lt;&gt;")=0,"",SUMIFS(Base!$N$3:$N$5001,Base!$B$3:$B$5001,F$213,Base!$A$3:$A$5001,_xlfn.MAXIFS(Base!$A$3:$A$5001,Base!$B$3:$B$5001,F$213,Base!$A$3:$A$5001,"&gt;="&amp;$C$7,Base!$A$3:$A$5001,"&lt;="&amp;$B237,Base!$N$3:$N$5001,"&lt;&gt;"))))</f>
        <v>7</v>
      </c>
      <c r="G237" s="149">
        <f>IF($A237&gt;$B$9,"",IF(COUNTIFS(Base!$B$3:$B$5001,G$213,Base!$A$3:$A$5001,"&gt;="&amp;$C$7,Base!$A$3:$A$5001,"&lt;="&amp;$B237,Base!$N$3:$N$5001,"&lt;&gt;")=0,"",SUMIFS(Base!$N$3:$N$5001,Base!$B$3:$B$5001,G$213,Base!$A$3:$A$5001,_xlfn.MAXIFS(Base!$A$3:$A$5001,Base!$B$3:$B$5001,G$213,Base!$A$3:$A$5001,"&gt;="&amp;$C$7,Base!$A$3:$A$5001,"&lt;="&amp;$B237,Base!$N$3:$N$5001,"&lt;&gt;"))))</f>
        <v>9</v>
      </c>
    </row>
    <row r="238">
      <c r="A238" s="147">
        <v>25</v>
      </c>
      <c r="B238" s="148">
        <f>$B$36</f>
        <v>46290</v>
      </c>
      <c r="C238" s="149">
        <f>IF($A238&gt;$B$9,"",IF(COUNTIFS(Base!$B$3:$B$5001,C$213,Base!$A$3:$A$5001,"&gt;="&amp;$C$7,Base!$A$3:$A$5001,"&lt;="&amp;$B238,Base!$N$3:$N$5001,"&lt;&gt;")=0,"",SUMIFS(Base!$N$3:$N$5001,Base!$B$3:$B$5001,C$213,Base!$A$3:$A$5001,_xlfn.MAXIFS(Base!$A$3:$A$5001,Base!$B$3:$B$5001,C$213,Base!$A$3:$A$5001,"&gt;="&amp;$C$7,Base!$A$3:$A$5001,"&lt;="&amp;$B238,Base!$N$3:$N$5001,"&lt;&gt;"))))</f>
        <v>9</v>
      </c>
      <c r="D238" s="149">
        <f>IF($A238&gt;$B$9,"",IF(COUNTIFS(Base!$B$3:$B$5001,D$213,Base!$A$3:$A$5001,"&gt;="&amp;$C$7,Base!$A$3:$A$5001,"&lt;="&amp;$B238,Base!$N$3:$N$5001,"&lt;&gt;")=0,"",SUMIFS(Base!$N$3:$N$5001,Base!$B$3:$B$5001,D$213,Base!$A$3:$A$5001,_xlfn.MAXIFS(Base!$A$3:$A$5001,Base!$B$3:$B$5001,D$213,Base!$A$3:$A$5001,"&gt;="&amp;$C$7,Base!$A$3:$A$5001,"&lt;="&amp;$B238,Base!$N$3:$N$5001,"&lt;&gt;"))))</f>
        <v>7</v>
      </c>
      <c r="E238" s="149">
        <f>IF($A238&gt;$B$9,"",IF(COUNTIFS(Base!$B$3:$B$5001,E$213,Base!$A$3:$A$5001,"&gt;="&amp;$C$7,Base!$A$3:$A$5001,"&lt;="&amp;$B238,Base!$N$3:$N$5001,"&lt;&gt;")=0,"",SUMIFS(Base!$N$3:$N$5001,Base!$B$3:$B$5001,E$213,Base!$A$3:$A$5001,_xlfn.MAXIFS(Base!$A$3:$A$5001,Base!$B$3:$B$5001,E$213,Base!$A$3:$A$5001,"&gt;="&amp;$C$7,Base!$A$3:$A$5001,"&lt;="&amp;$B238,Base!$N$3:$N$5001,"&lt;&gt;"))))</f>
        <v>5</v>
      </c>
      <c r="F238" s="149">
        <f>IF($A238&gt;$B$9,"",IF(COUNTIFS(Base!$B$3:$B$5001,F$213,Base!$A$3:$A$5001,"&gt;="&amp;$C$7,Base!$A$3:$A$5001,"&lt;="&amp;$B238,Base!$N$3:$N$5001,"&lt;&gt;")=0,"",SUMIFS(Base!$N$3:$N$5001,Base!$B$3:$B$5001,F$213,Base!$A$3:$A$5001,_xlfn.MAXIFS(Base!$A$3:$A$5001,Base!$B$3:$B$5001,F$213,Base!$A$3:$A$5001,"&gt;="&amp;$C$7,Base!$A$3:$A$5001,"&lt;="&amp;$B238,Base!$N$3:$N$5001,"&lt;&gt;"))))</f>
        <v>5</v>
      </c>
      <c r="G238" s="149">
        <f>IF($A238&gt;$B$9,"",IF(COUNTIFS(Base!$B$3:$B$5001,G$213,Base!$A$3:$A$5001,"&gt;="&amp;$C$7,Base!$A$3:$A$5001,"&lt;="&amp;$B238,Base!$N$3:$N$5001,"&lt;&gt;")=0,"",SUMIFS(Base!$N$3:$N$5001,Base!$B$3:$B$5001,G$213,Base!$A$3:$A$5001,_xlfn.MAXIFS(Base!$A$3:$A$5001,Base!$B$3:$B$5001,G$213,Base!$A$3:$A$5001,"&gt;="&amp;$C$7,Base!$A$3:$A$5001,"&lt;="&amp;$B238,Base!$N$3:$N$5001,"&lt;&gt;"))))</f>
        <v>7</v>
      </c>
    </row>
    <row r="239">
      <c r="A239" s="147">
        <v>26</v>
      </c>
      <c r="B239" s="148">
        <f>$B$37</f>
        <v>46291</v>
      </c>
      <c r="C239" s="149">
        <f>IF($A239&gt;$B$9,"",IF(COUNTIFS(Base!$B$3:$B$5001,C$213,Base!$A$3:$A$5001,"&gt;="&amp;$C$7,Base!$A$3:$A$5001,"&lt;="&amp;$B239,Base!$N$3:$N$5001,"&lt;&gt;")=0,"",SUMIFS(Base!$N$3:$N$5001,Base!$B$3:$B$5001,C$213,Base!$A$3:$A$5001,_xlfn.MAXIFS(Base!$A$3:$A$5001,Base!$B$3:$B$5001,C$213,Base!$A$3:$A$5001,"&gt;="&amp;$C$7,Base!$A$3:$A$5001,"&lt;="&amp;$B239,Base!$N$3:$N$5001,"&lt;&gt;"))))</f>
        <v>5</v>
      </c>
      <c r="D239" s="149">
        <f>IF($A239&gt;$B$9,"",IF(COUNTIFS(Base!$B$3:$B$5001,D$213,Base!$A$3:$A$5001,"&gt;="&amp;$C$7,Base!$A$3:$A$5001,"&lt;="&amp;$B239,Base!$N$3:$N$5001,"&lt;&gt;")=0,"",SUMIFS(Base!$N$3:$N$5001,Base!$B$3:$B$5001,D$213,Base!$A$3:$A$5001,_xlfn.MAXIFS(Base!$A$3:$A$5001,Base!$B$3:$B$5001,D$213,Base!$A$3:$A$5001,"&gt;="&amp;$C$7,Base!$A$3:$A$5001,"&lt;="&amp;$B239,Base!$N$3:$N$5001,"&lt;&gt;"))))</f>
        <v>7</v>
      </c>
      <c r="E239" s="149">
        <f>IF($A239&gt;$B$9,"",IF(COUNTIFS(Base!$B$3:$B$5001,E$213,Base!$A$3:$A$5001,"&gt;="&amp;$C$7,Base!$A$3:$A$5001,"&lt;="&amp;$B239,Base!$N$3:$N$5001,"&lt;&gt;")=0,"",SUMIFS(Base!$N$3:$N$5001,Base!$B$3:$B$5001,E$213,Base!$A$3:$A$5001,_xlfn.MAXIFS(Base!$A$3:$A$5001,Base!$B$3:$B$5001,E$213,Base!$A$3:$A$5001,"&gt;="&amp;$C$7,Base!$A$3:$A$5001,"&lt;="&amp;$B239,Base!$N$3:$N$5001,"&lt;&gt;"))))</f>
        <v>5</v>
      </c>
      <c r="F239" s="149">
        <f>IF($A239&gt;$B$9,"",IF(COUNTIFS(Base!$B$3:$B$5001,F$213,Base!$A$3:$A$5001,"&gt;="&amp;$C$7,Base!$A$3:$A$5001,"&lt;="&amp;$B239,Base!$N$3:$N$5001,"&lt;&gt;")=0,"",SUMIFS(Base!$N$3:$N$5001,Base!$B$3:$B$5001,F$213,Base!$A$3:$A$5001,_xlfn.MAXIFS(Base!$A$3:$A$5001,Base!$B$3:$B$5001,F$213,Base!$A$3:$A$5001,"&gt;="&amp;$C$7,Base!$A$3:$A$5001,"&lt;="&amp;$B239,Base!$N$3:$N$5001,"&lt;&gt;"))))</f>
        <v>5</v>
      </c>
      <c r="G239" s="149">
        <f>IF($A239&gt;$B$9,"",IF(COUNTIFS(Base!$B$3:$B$5001,G$213,Base!$A$3:$A$5001,"&gt;="&amp;$C$7,Base!$A$3:$A$5001,"&lt;="&amp;$B239,Base!$N$3:$N$5001,"&lt;&gt;")=0,"",SUMIFS(Base!$N$3:$N$5001,Base!$B$3:$B$5001,G$213,Base!$A$3:$A$5001,_xlfn.MAXIFS(Base!$A$3:$A$5001,Base!$B$3:$B$5001,G$213,Base!$A$3:$A$5001,"&gt;="&amp;$C$7,Base!$A$3:$A$5001,"&lt;="&amp;$B239,Base!$N$3:$N$5001,"&lt;&gt;"))))</f>
        <v>5</v>
      </c>
    </row>
    <row r="240">
      <c r="A240" s="147">
        <v>27</v>
      </c>
      <c r="B240" s="148">
        <f>$B$38</f>
        <v>46292</v>
      </c>
      <c r="C240" s="149">
        <f>IF($A240&gt;$B$9,"",IF(COUNTIFS(Base!$B$3:$B$5001,C$213,Base!$A$3:$A$5001,"&gt;="&amp;$C$7,Base!$A$3:$A$5001,"&lt;="&amp;$B240,Base!$N$3:$N$5001,"&lt;&gt;")=0,"",SUMIFS(Base!$N$3:$N$5001,Base!$B$3:$B$5001,C$213,Base!$A$3:$A$5001,_xlfn.MAXIFS(Base!$A$3:$A$5001,Base!$B$3:$B$5001,C$213,Base!$A$3:$A$5001,"&gt;="&amp;$C$7,Base!$A$3:$A$5001,"&lt;="&amp;$B240,Base!$N$3:$N$5001,"&lt;&gt;"))))</f>
        <v>9</v>
      </c>
      <c r="D240" s="149">
        <f>IF($A240&gt;$B$9,"",IF(COUNTIFS(Base!$B$3:$B$5001,D$213,Base!$A$3:$A$5001,"&gt;="&amp;$C$7,Base!$A$3:$A$5001,"&lt;="&amp;$B240,Base!$N$3:$N$5001,"&lt;&gt;")=0,"",SUMIFS(Base!$N$3:$N$5001,Base!$B$3:$B$5001,D$213,Base!$A$3:$A$5001,_xlfn.MAXIFS(Base!$A$3:$A$5001,Base!$B$3:$B$5001,D$213,Base!$A$3:$A$5001,"&gt;="&amp;$C$7,Base!$A$3:$A$5001,"&lt;="&amp;$B240,Base!$N$3:$N$5001,"&lt;&gt;"))))</f>
        <v>7</v>
      </c>
      <c r="E240" s="149">
        <f>IF($A240&gt;$B$9,"",IF(COUNTIFS(Base!$B$3:$B$5001,E$213,Base!$A$3:$A$5001,"&gt;="&amp;$C$7,Base!$A$3:$A$5001,"&lt;="&amp;$B240,Base!$N$3:$N$5001,"&lt;&gt;")=0,"",SUMIFS(Base!$N$3:$N$5001,Base!$B$3:$B$5001,E$213,Base!$A$3:$A$5001,_xlfn.MAXIFS(Base!$A$3:$A$5001,Base!$B$3:$B$5001,E$213,Base!$A$3:$A$5001,"&gt;="&amp;$C$7,Base!$A$3:$A$5001,"&lt;="&amp;$B240,Base!$N$3:$N$5001,"&lt;&gt;"))))</f>
        <v>5</v>
      </c>
      <c r="F240" s="149">
        <f>IF($A240&gt;$B$9,"",IF(COUNTIFS(Base!$B$3:$B$5001,F$213,Base!$A$3:$A$5001,"&gt;="&amp;$C$7,Base!$A$3:$A$5001,"&lt;="&amp;$B240,Base!$N$3:$N$5001,"&lt;&gt;")=0,"",SUMIFS(Base!$N$3:$N$5001,Base!$B$3:$B$5001,F$213,Base!$A$3:$A$5001,_xlfn.MAXIFS(Base!$A$3:$A$5001,Base!$B$3:$B$5001,F$213,Base!$A$3:$A$5001,"&gt;="&amp;$C$7,Base!$A$3:$A$5001,"&lt;="&amp;$B240,Base!$N$3:$N$5001,"&lt;&gt;"))))</f>
        <v>5</v>
      </c>
      <c r="G240" s="149">
        <f>IF($A240&gt;$B$9,"",IF(COUNTIFS(Base!$B$3:$B$5001,G$213,Base!$A$3:$A$5001,"&gt;="&amp;$C$7,Base!$A$3:$A$5001,"&lt;="&amp;$B240,Base!$N$3:$N$5001,"&lt;&gt;")=0,"",SUMIFS(Base!$N$3:$N$5001,Base!$B$3:$B$5001,G$213,Base!$A$3:$A$5001,_xlfn.MAXIFS(Base!$A$3:$A$5001,Base!$B$3:$B$5001,G$213,Base!$A$3:$A$5001,"&gt;="&amp;$C$7,Base!$A$3:$A$5001,"&lt;="&amp;$B240,Base!$N$3:$N$5001,"&lt;&gt;"))))</f>
        <v>5</v>
      </c>
    </row>
    <row r="241">
      <c r="A241" s="147">
        <v>28</v>
      </c>
      <c r="B241" s="148">
        <f>$B$39</f>
        <v>46293</v>
      </c>
      <c r="C241" s="149">
        <f>IF($A241&gt;$B$9,"",IF(COUNTIFS(Base!$B$3:$B$5001,C$213,Base!$A$3:$A$5001,"&gt;="&amp;$C$7,Base!$A$3:$A$5001,"&lt;="&amp;$B241,Base!$N$3:$N$5001,"&lt;&gt;")=0,"",SUMIFS(Base!$N$3:$N$5001,Base!$B$3:$B$5001,C$213,Base!$A$3:$A$5001,_xlfn.MAXIFS(Base!$A$3:$A$5001,Base!$B$3:$B$5001,C$213,Base!$A$3:$A$5001,"&gt;="&amp;$C$7,Base!$A$3:$A$5001,"&lt;="&amp;$B241,Base!$N$3:$N$5001,"&lt;&gt;"))))</f>
        <v>7</v>
      </c>
      <c r="D241" s="149">
        <f>IF($A241&gt;$B$9,"",IF(COUNTIFS(Base!$B$3:$B$5001,D$213,Base!$A$3:$A$5001,"&gt;="&amp;$C$7,Base!$A$3:$A$5001,"&lt;="&amp;$B241,Base!$N$3:$N$5001,"&lt;&gt;")=0,"",SUMIFS(Base!$N$3:$N$5001,Base!$B$3:$B$5001,D$213,Base!$A$3:$A$5001,_xlfn.MAXIFS(Base!$A$3:$A$5001,Base!$B$3:$B$5001,D$213,Base!$A$3:$A$5001,"&gt;="&amp;$C$7,Base!$A$3:$A$5001,"&lt;="&amp;$B241,Base!$N$3:$N$5001,"&lt;&gt;"))))</f>
        <v>6</v>
      </c>
      <c r="E241" s="149">
        <f>IF($A241&gt;$B$9,"",IF(COUNTIFS(Base!$B$3:$B$5001,E$213,Base!$A$3:$A$5001,"&gt;="&amp;$C$7,Base!$A$3:$A$5001,"&lt;="&amp;$B241,Base!$N$3:$N$5001,"&lt;&gt;")=0,"",SUMIFS(Base!$N$3:$N$5001,Base!$B$3:$B$5001,E$213,Base!$A$3:$A$5001,_xlfn.MAXIFS(Base!$A$3:$A$5001,Base!$B$3:$B$5001,E$213,Base!$A$3:$A$5001,"&gt;="&amp;$C$7,Base!$A$3:$A$5001,"&lt;="&amp;$B241,Base!$N$3:$N$5001,"&lt;&gt;"))))</f>
        <v>7</v>
      </c>
      <c r="F241" s="149">
        <f>IF($A241&gt;$B$9,"",IF(COUNTIFS(Base!$B$3:$B$5001,F$213,Base!$A$3:$A$5001,"&gt;="&amp;$C$7,Base!$A$3:$A$5001,"&lt;="&amp;$B241,Base!$N$3:$N$5001,"&lt;&gt;")=0,"",SUMIFS(Base!$N$3:$N$5001,Base!$B$3:$B$5001,F$213,Base!$A$3:$A$5001,_xlfn.MAXIFS(Base!$A$3:$A$5001,Base!$B$3:$B$5001,F$213,Base!$A$3:$A$5001,"&gt;="&amp;$C$7,Base!$A$3:$A$5001,"&lt;="&amp;$B241,Base!$N$3:$N$5001,"&lt;&gt;"))))</f>
        <v>4</v>
      </c>
      <c r="G241" s="149">
        <f>IF($A241&gt;$B$9,"",IF(COUNTIFS(Base!$B$3:$B$5001,G$213,Base!$A$3:$A$5001,"&gt;="&amp;$C$7,Base!$A$3:$A$5001,"&lt;="&amp;$B241,Base!$N$3:$N$5001,"&lt;&gt;")=0,"",SUMIFS(Base!$N$3:$N$5001,Base!$B$3:$B$5001,G$213,Base!$A$3:$A$5001,_xlfn.MAXIFS(Base!$A$3:$A$5001,Base!$B$3:$B$5001,G$213,Base!$A$3:$A$5001,"&gt;="&amp;$C$7,Base!$A$3:$A$5001,"&lt;="&amp;$B241,Base!$N$3:$N$5001,"&lt;&gt;"))))</f>
        <v>3</v>
      </c>
    </row>
    <row r="242">
      <c r="A242" s="147">
        <v>29</v>
      </c>
      <c r="B242" s="148">
        <f>$B$40</f>
        <v>46294</v>
      </c>
      <c r="C242" s="149">
        <f>IF($A242&gt;$B$9,"",IF(COUNTIFS(Base!$B$3:$B$5001,C$213,Base!$A$3:$A$5001,"&gt;="&amp;$C$7,Base!$A$3:$A$5001,"&lt;="&amp;$B242,Base!$N$3:$N$5001,"&lt;&gt;")=0,"",SUMIFS(Base!$N$3:$N$5001,Base!$B$3:$B$5001,C$213,Base!$A$3:$A$5001,_xlfn.MAXIFS(Base!$A$3:$A$5001,Base!$B$3:$B$5001,C$213,Base!$A$3:$A$5001,"&gt;="&amp;$C$7,Base!$A$3:$A$5001,"&lt;="&amp;$B242,Base!$N$3:$N$5001,"&lt;&gt;"))))</f>
        <v>5</v>
      </c>
      <c r="D242" s="149">
        <f>IF($A242&gt;$B$9,"",IF(COUNTIFS(Base!$B$3:$B$5001,D$213,Base!$A$3:$A$5001,"&gt;="&amp;$C$7,Base!$A$3:$A$5001,"&lt;="&amp;$B242,Base!$N$3:$N$5001,"&lt;&gt;")=0,"",SUMIFS(Base!$N$3:$N$5001,Base!$B$3:$B$5001,D$213,Base!$A$3:$A$5001,_xlfn.MAXIFS(Base!$A$3:$A$5001,Base!$B$3:$B$5001,D$213,Base!$A$3:$A$5001,"&gt;="&amp;$C$7,Base!$A$3:$A$5001,"&lt;="&amp;$B242,Base!$N$3:$N$5001,"&lt;&gt;"))))</f>
        <v>5</v>
      </c>
      <c r="E242" s="149">
        <f>IF($A242&gt;$B$9,"",IF(COUNTIFS(Base!$B$3:$B$5001,E$213,Base!$A$3:$A$5001,"&gt;="&amp;$C$7,Base!$A$3:$A$5001,"&lt;="&amp;$B242,Base!$N$3:$N$5001,"&lt;&gt;")=0,"",SUMIFS(Base!$N$3:$N$5001,Base!$B$3:$B$5001,E$213,Base!$A$3:$A$5001,_xlfn.MAXIFS(Base!$A$3:$A$5001,Base!$B$3:$B$5001,E$213,Base!$A$3:$A$5001,"&gt;="&amp;$C$7,Base!$A$3:$A$5001,"&lt;="&amp;$B242,Base!$N$3:$N$5001,"&lt;&gt;"))))</f>
        <v>5</v>
      </c>
      <c r="F242" s="149">
        <f>IF($A242&gt;$B$9,"",IF(COUNTIFS(Base!$B$3:$B$5001,F$213,Base!$A$3:$A$5001,"&gt;="&amp;$C$7,Base!$A$3:$A$5001,"&lt;="&amp;$B242,Base!$N$3:$N$5001,"&lt;&gt;")=0,"",SUMIFS(Base!$N$3:$N$5001,Base!$B$3:$B$5001,F$213,Base!$A$3:$A$5001,_xlfn.MAXIFS(Base!$A$3:$A$5001,Base!$B$3:$B$5001,F$213,Base!$A$3:$A$5001,"&gt;="&amp;$C$7,Base!$A$3:$A$5001,"&lt;="&amp;$B242,Base!$N$3:$N$5001,"&lt;&gt;"))))</f>
        <v>8</v>
      </c>
      <c r="G242" s="149">
        <f>IF($A242&gt;$B$9,"",IF(COUNTIFS(Base!$B$3:$B$5001,G$213,Base!$A$3:$A$5001,"&gt;="&amp;$C$7,Base!$A$3:$A$5001,"&lt;="&amp;$B242,Base!$N$3:$N$5001,"&lt;&gt;")=0,"",SUMIFS(Base!$N$3:$N$5001,Base!$B$3:$B$5001,G$213,Base!$A$3:$A$5001,_xlfn.MAXIFS(Base!$A$3:$A$5001,Base!$B$3:$B$5001,G$213,Base!$A$3:$A$5001,"&gt;="&amp;$C$7,Base!$A$3:$A$5001,"&lt;="&amp;$B242,Base!$N$3:$N$5001,"&lt;&gt;"))))</f>
        <v>3</v>
      </c>
    </row>
    <row r="243">
      <c r="A243" s="147">
        <v>30</v>
      </c>
      <c r="B243" s="148">
        <f>$B$41</f>
        <v>46295</v>
      </c>
      <c r="C243" s="149" t="str">
        <f>IF($A243&gt;$B$9,"",IF(COUNTIFS(Base!$B$3:$B$5001,C$213,Base!$A$3:$A$5001,"&gt;="&amp;$C$7,Base!$A$3:$A$5001,"&lt;="&amp;$B243,Base!$N$3:$N$5001,"&lt;&gt;")=0,"",SUMIFS(Base!$N$3:$N$5001,Base!$B$3:$B$5001,C$213,Base!$A$3:$A$5001,_xlfn.MAXIFS(Base!$A$3:$A$5001,Base!$B$3:$B$5001,C$213,Base!$A$3:$A$5001,"&gt;="&amp;$C$7,Base!$A$3:$A$5001,"&lt;="&amp;$B243,Base!$N$3:$N$5001,"&lt;&gt;"))))</f>
        <v/>
      </c>
      <c r="D243" s="149" t="str">
        <f>IF($A243&gt;$B$9,"",IF(COUNTIFS(Base!$B$3:$B$5001,D$213,Base!$A$3:$A$5001,"&gt;="&amp;$C$7,Base!$A$3:$A$5001,"&lt;="&amp;$B243,Base!$N$3:$N$5001,"&lt;&gt;")=0,"",SUMIFS(Base!$N$3:$N$5001,Base!$B$3:$B$5001,D$213,Base!$A$3:$A$5001,_xlfn.MAXIFS(Base!$A$3:$A$5001,Base!$B$3:$B$5001,D$213,Base!$A$3:$A$5001,"&gt;="&amp;$C$7,Base!$A$3:$A$5001,"&lt;="&amp;$B243,Base!$N$3:$N$5001,"&lt;&gt;"))))</f>
        <v/>
      </c>
      <c r="E243" s="149" t="str">
        <f>IF($A243&gt;$B$9,"",IF(COUNTIFS(Base!$B$3:$B$5001,E$213,Base!$A$3:$A$5001,"&gt;="&amp;$C$7,Base!$A$3:$A$5001,"&lt;="&amp;$B243,Base!$N$3:$N$5001,"&lt;&gt;")=0,"",SUMIFS(Base!$N$3:$N$5001,Base!$B$3:$B$5001,E$213,Base!$A$3:$A$5001,_xlfn.MAXIFS(Base!$A$3:$A$5001,Base!$B$3:$B$5001,E$213,Base!$A$3:$A$5001,"&gt;="&amp;$C$7,Base!$A$3:$A$5001,"&lt;="&amp;$B243,Base!$N$3:$N$5001,"&lt;&gt;"))))</f>
        <v/>
      </c>
      <c r="F243" s="149" t="str">
        <f>IF($A243&gt;$B$9,"",IF(COUNTIFS(Base!$B$3:$B$5001,F$213,Base!$A$3:$A$5001,"&gt;="&amp;$C$7,Base!$A$3:$A$5001,"&lt;="&amp;$B243,Base!$N$3:$N$5001,"&lt;&gt;")=0,"",SUMIFS(Base!$N$3:$N$5001,Base!$B$3:$B$5001,F$213,Base!$A$3:$A$5001,_xlfn.MAXIFS(Base!$A$3:$A$5001,Base!$B$3:$B$5001,F$213,Base!$A$3:$A$5001,"&gt;="&amp;$C$7,Base!$A$3:$A$5001,"&lt;="&amp;$B243,Base!$N$3:$N$5001,"&lt;&gt;"))))</f>
        <v/>
      </c>
      <c r="G243" s="149" t="str">
        <f>IF($A243&gt;$B$9,"",IF(COUNTIFS(Base!$B$3:$B$5001,G$213,Base!$A$3:$A$5001,"&gt;="&amp;$C$7,Base!$A$3:$A$5001,"&lt;="&amp;$B243,Base!$N$3:$N$5001,"&lt;&gt;")=0,"",SUMIFS(Base!$N$3:$N$5001,Base!$B$3:$B$5001,G$213,Base!$A$3:$A$5001,_xlfn.MAXIFS(Base!$A$3:$A$5001,Base!$B$3:$B$5001,G$213,Base!$A$3:$A$5001,"&gt;="&amp;$C$7,Base!$A$3:$A$5001,"&lt;="&amp;$B243,Base!$N$3:$N$5001,"&lt;&gt;"))))</f>
        <v/>
      </c>
    </row>
    <row r="244">
      <c r="A244" s="147">
        <v>31</v>
      </c>
      <c r="B244" s="148" t="str">
        <f>$B$42</f>
        <v/>
      </c>
      <c r="C244" s="149" t="str">
        <f>IF($A244&gt;$B$9,"",IF(COUNTIFS(Base!$B$3:$B$5001,C$213,Base!$A$3:$A$5001,"&gt;="&amp;$C$7,Base!$A$3:$A$5001,"&lt;="&amp;$B244,Base!$N$3:$N$5001,"&lt;&gt;")=0,"",SUMIFS(Base!$N$3:$N$5001,Base!$B$3:$B$5001,C$213,Base!$A$3:$A$5001,_xlfn.MAXIFS(Base!$A$3:$A$5001,Base!$B$3:$B$5001,C$213,Base!$A$3:$A$5001,"&gt;="&amp;$C$7,Base!$A$3:$A$5001,"&lt;="&amp;$B244,Base!$N$3:$N$5001,"&lt;&gt;"))))</f>
        <v/>
      </c>
      <c r="D244" s="149" t="str">
        <f>IF($A244&gt;$B$9,"",IF(COUNTIFS(Base!$B$3:$B$5001,D$213,Base!$A$3:$A$5001,"&gt;="&amp;$C$7,Base!$A$3:$A$5001,"&lt;="&amp;$B244,Base!$N$3:$N$5001,"&lt;&gt;")=0,"",SUMIFS(Base!$N$3:$N$5001,Base!$B$3:$B$5001,D$213,Base!$A$3:$A$5001,_xlfn.MAXIFS(Base!$A$3:$A$5001,Base!$B$3:$B$5001,D$213,Base!$A$3:$A$5001,"&gt;="&amp;$C$7,Base!$A$3:$A$5001,"&lt;="&amp;$B244,Base!$N$3:$N$5001,"&lt;&gt;"))))</f>
        <v/>
      </c>
      <c r="E244" s="149" t="str">
        <f>IF($A244&gt;$B$9,"",IF(COUNTIFS(Base!$B$3:$B$5001,E$213,Base!$A$3:$A$5001,"&gt;="&amp;$C$7,Base!$A$3:$A$5001,"&lt;="&amp;$B244,Base!$N$3:$N$5001,"&lt;&gt;")=0,"",SUMIFS(Base!$N$3:$N$5001,Base!$B$3:$B$5001,E$213,Base!$A$3:$A$5001,_xlfn.MAXIFS(Base!$A$3:$A$5001,Base!$B$3:$B$5001,E$213,Base!$A$3:$A$5001,"&gt;="&amp;$C$7,Base!$A$3:$A$5001,"&lt;="&amp;$B244,Base!$N$3:$N$5001,"&lt;&gt;"))))</f>
        <v/>
      </c>
      <c r="F244" s="149" t="str">
        <f>IF($A244&gt;$B$9,"",IF(COUNTIFS(Base!$B$3:$B$5001,F$213,Base!$A$3:$A$5001,"&gt;="&amp;$C$7,Base!$A$3:$A$5001,"&lt;="&amp;$B244,Base!$N$3:$N$5001,"&lt;&gt;")=0,"",SUMIFS(Base!$N$3:$N$5001,Base!$B$3:$B$5001,F$213,Base!$A$3:$A$5001,_xlfn.MAXIFS(Base!$A$3:$A$5001,Base!$B$3:$B$5001,F$213,Base!$A$3:$A$5001,"&gt;="&amp;$C$7,Base!$A$3:$A$5001,"&lt;="&amp;$B244,Base!$N$3:$N$5001,"&lt;&gt;"))))</f>
        <v/>
      </c>
      <c r="G244" s="149" t="str">
        <f>IF($A244&gt;$B$9,"",IF(COUNTIFS(Base!$B$3:$B$5001,G$213,Base!$A$3:$A$5001,"&gt;="&amp;$C$7,Base!$A$3:$A$5001,"&lt;="&amp;$B244,Base!$N$3:$N$5001,"&lt;&gt;")=0,"",SUMIFS(Base!$N$3:$N$5001,Base!$B$3:$B$5001,G$213,Base!$A$3:$A$5001,_xlfn.MAXIFS(Base!$A$3:$A$5001,Base!$B$3:$B$5001,G$213,Base!$A$3:$A$5001,"&gt;="&amp;$C$7,Base!$A$3:$A$5001,"&lt;="&amp;$B244,Base!$N$3:$N$5001,"&lt;&gt;"))))</f>
        <v/>
      </c>
    </row>
    <row r="245">
      <c r="A245" s="150" t="inlineStr">
        <is>
          <t xml:space="preserve">Mês anterior (último)</t>
        </is>
      </c>
      <c r="C245" s="151">
        <f>IF(COUNTIFS(Base!$B$3:$B$5001,C$213,Base!$A$3:$A$5001,"&gt;="&amp;$C$8,Base!$A$3:$A$5001,"&lt;="&amp;$D$8,Base!$N$3:$N$5001,"&lt;&gt;")=0,"",SUMIFS(Base!$N$3:$N$5001,Base!$B$3:$B$5001,C$213,Base!$A$3:$A$5001,_xlfn.MAXIFS(Base!$A$3:$A$5001,Base!$B$3:$B$5001,C$213,Base!$A$3:$A$5001,"&gt;="&amp;$C$8,Base!$A$3:$A$5001,"&lt;="&amp;$D$8,Base!$N$3:$N$5001,"&lt;&gt;")))</f>
        <v>4</v>
      </c>
      <c r="D245" s="151">
        <f>IF(COUNTIFS(Base!$B$3:$B$5001,D$213,Base!$A$3:$A$5001,"&gt;="&amp;$C$8,Base!$A$3:$A$5001,"&lt;="&amp;$D$8,Base!$N$3:$N$5001,"&lt;&gt;")=0,"",SUMIFS(Base!$N$3:$N$5001,Base!$B$3:$B$5001,D$213,Base!$A$3:$A$5001,_xlfn.MAXIFS(Base!$A$3:$A$5001,Base!$B$3:$B$5001,D$213,Base!$A$3:$A$5001,"&gt;="&amp;$C$8,Base!$A$3:$A$5001,"&lt;="&amp;$D$8,Base!$N$3:$N$5001,"&lt;&gt;")))</f>
        <v>4</v>
      </c>
      <c r="E245" s="151">
        <f>IF(COUNTIFS(Base!$B$3:$B$5001,E$213,Base!$A$3:$A$5001,"&gt;="&amp;$C$8,Base!$A$3:$A$5001,"&lt;="&amp;$D$8,Base!$N$3:$N$5001,"&lt;&gt;")=0,"",SUMIFS(Base!$N$3:$N$5001,Base!$B$3:$B$5001,E$213,Base!$A$3:$A$5001,_xlfn.MAXIFS(Base!$A$3:$A$5001,Base!$B$3:$B$5001,E$213,Base!$A$3:$A$5001,"&gt;="&amp;$C$8,Base!$A$3:$A$5001,"&lt;="&amp;$D$8,Base!$N$3:$N$5001,"&lt;&gt;")))</f>
        <v>5</v>
      </c>
      <c r="F245" s="151">
        <f>IF(COUNTIFS(Base!$B$3:$B$5001,F$213,Base!$A$3:$A$5001,"&gt;="&amp;$C$8,Base!$A$3:$A$5001,"&lt;="&amp;$D$8,Base!$N$3:$N$5001,"&lt;&gt;")=0,"",SUMIFS(Base!$N$3:$N$5001,Base!$B$3:$B$5001,F$213,Base!$A$3:$A$5001,_xlfn.MAXIFS(Base!$A$3:$A$5001,Base!$B$3:$B$5001,F$213,Base!$A$3:$A$5001,"&gt;="&amp;$C$8,Base!$A$3:$A$5001,"&lt;="&amp;$D$8,Base!$N$3:$N$5001,"&lt;&gt;")))</f>
        <v>7</v>
      </c>
      <c r="G245" s="151">
        <f>IF(COUNTIFS(Base!$B$3:$B$5001,G$213,Base!$A$3:$A$5001,"&gt;="&amp;$C$8,Base!$A$3:$A$5001,"&lt;="&amp;$D$8,Base!$N$3:$N$5001,"&lt;&gt;")=0,"",SUMIFS(Base!$N$3:$N$5001,Base!$B$3:$B$5001,G$213,Base!$A$3:$A$5001,_xlfn.MAXIFS(Base!$A$3:$A$5001,Base!$B$3:$B$5001,G$213,Base!$A$3:$A$5001,"&gt;="&amp;$C$8,Base!$A$3:$A$5001,"&lt;="&amp;$D$8,Base!$N$3:$N$5001,"&lt;&gt;")))</f>
        <v>6</v>
      </c>
    </row>
  </sheetData>
  <pageMargins left="0.25" right="0.25" top="0.4" bottom="0.4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Monitoramento diário de performance</dc:title>
  <dc:creator>IntraLog · Resumo operacional</dc:creator>
  <dcterms:created xsi:type="dcterms:W3CDTF">2026-09-30T18:58:57Z</dcterms:created>
</cp:coreProperties>
</file>